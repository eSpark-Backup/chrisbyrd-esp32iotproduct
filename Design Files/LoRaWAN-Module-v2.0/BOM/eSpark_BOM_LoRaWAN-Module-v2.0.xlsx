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esp32iotproduct\Design Files\LoRaWAN-Module-v2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Q15" i="1" l="1"/>
  <c r="M15" i="1"/>
  <c r="B15" i="1"/>
  <c r="Q14" i="1"/>
  <c r="Q16" i="1" s="1"/>
  <c r="M14" i="1"/>
  <c r="B14" i="1"/>
  <c r="Q13" i="1"/>
  <c r="M13" i="1"/>
  <c r="B13" i="1"/>
  <c r="M12" i="1"/>
  <c r="B12" i="1"/>
  <c r="Q17" i="1" l="1"/>
  <c r="Q11" i="1"/>
  <c r="Q10" i="1"/>
  <c r="M11" i="1"/>
  <c r="M10" i="1"/>
  <c r="B11" i="1"/>
  <c r="B10" i="1"/>
</calcChain>
</file>

<file path=xl/sharedStrings.xml><?xml version="1.0" encoding="utf-8"?>
<sst xmlns="http://schemas.openxmlformats.org/spreadsheetml/2006/main" count="91" uniqueCount="68">
  <si>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</si>
  <si>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</si>
  <si>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</si>
  <si>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</si>
  <si>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</si>
  <si>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</si>
  <si>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</si>
  <si>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</si>
  <si>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</si>
  <si>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</si>
  <si>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SMA</t>
  </si>
  <si>
    <t>Resistor</t>
  </si>
  <si>
    <t>Module</t>
  </si>
  <si>
    <t>Designator</t>
  </si>
  <si>
    <t>C1</t>
  </si>
  <si>
    <t>C2</t>
  </si>
  <si>
    <t>J1</t>
  </si>
  <si>
    <t>J2</t>
  </si>
  <si>
    <t>U1</t>
  </si>
  <si>
    <t>Description</t>
  </si>
  <si>
    <t>CAP CER 1UF 25V X5R 0603</t>
  </si>
  <si>
    <t>CAP CER 0.1UF 50V X5R 0603</t>
  </si>
  <si>
    <t>PCI Express Mini Card (Mini PCIe)</t>
  </si>
  <si>
    <t>1 Inner bore SMA Board Edge Bend -55℃~+155℃ 50Ω Plugin RF Connectors / Coaxial Connectors ROHS</t>
  </si>
  <si>
    <t>SMD,16x16mm LoRa Modules ROHS</t>
  </si>
  <si>
    <t>Footprint</t>
  </si>
  <si>
    <t>Cap-0603</t>
  </si>
  <si>
    <t>Mini PCIE Pad</t>
  </si>
  <si>
    <t>HJ-SMA508_</t>
  </si>
  <si>
    <t>SX1276S8S+T-X1</t>
  </si>
  <si>
    <t>Manufacturer Part Number</t>
  </si>
  <si>
    <t>CC0603KRX5R8BB105</t>
  </si>
  <si>
    <t>CC0603KRX5R9BB104</t>
  </si>
  <si>
    <t>HJ-SMA508</t>
  </si>
  <si>
    <t>Manufacturer</t>
  </si>
  <si>
    <t>Yageo</t>
  </si>
  <si>
    <t>HJ Tech</t>
  </si>
  <si>
    <t>Vollgo</t>
  </si>
  <si>
    <t>LCSC Part Number</t>
  </si>
  <si>
    <t>C14664</t>
  </si>
  <si>
    <t>C1509209</t>
  </si>
  <si>
    <t>C718834</t>
  </si>
  <si>
    <t>1uF</t>
  </si>
  <si>
    <t>0.1uF</t>
  </si>
  <si>
    <t>Quantity</t>
  </si>
  <si>
    <t>Bill of Materials for Project [LoRaWAN-Module-v2.0.]</t>
  </si>
  <si>
    <t>LoRaWAN-Module-v2.0.</t>
  </si>
  <si>
    <t>Alternate Part Number</t>
  </si>
  <si>
    <t>Value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</si>
  <si>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</si>
  <si>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</si>
  <si>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</si>
  <si>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</si>
  <si>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</si>
  <si>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</si>
  <si>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</si>
  <si>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PCIE SMD PAD</t>
  </si>
  <si>
    <t>LCSC</t>
  </si>
  <si>
    <t>-</t>
  </si>
  <si>
    <t>CC0603KRX7R9BB104</t>
  </si>
  <si>
    <t>C14663</t>
  </si>
  <si>
    <t>Custom</t>
  </si>
  <si>
    <t>R1, R2</t>
  </si>
  <si>
    <t>RES SMD 0R, 1%, 0.1W, 0603</t>
  </si>
  <si>
    <t>Res-0603</t>
  </si>
  <si>
    <t>RC0603FR-070RL</t>
  </si>
  <si>
    <t>C100044</t>
  </si>
  <si>
    <t>0R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</si>
</sst>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4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7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22" fillId="2" borderId="17" xfId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165" fontId="23" fillId="2" borderId="16" xfId="0" applyNumberFormat="1" applyFont="1" applyFill="1" applyBorder="1" applyAlignment="1">
      <alignment horizontal="center" vertical="center" wrapText="1"/>
    </xf>
    <xf numFmtId="0" fontId="22" fillId="2" borderId="16" xfId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csc.com/product-detail/RF-Connectors-Coaxial-Connectors_HJ-Tech-HJ-SMA508_C1509209.htm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lcsc.com/product-detail/Multilayer-Ceramic-Capacitors-MLCC-SMD-SMT_YAGEO-CC0603KRX7R9BB104_C14663.html" TargetMode="External"/><Relationship Id="rId1" Type="http://schemas.openxmlformats.org/officeDocument/2006/relationships/hyperlink" Target="https://www.lcsc.com/product-detail/Multilayer-Ceramic-Capacitors-MLCC-SMD-SMT_YAGEO-CC0603KRX5R8BB105_C14664.htm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lcsc.com/product-detail/Chip-Resistor-Surface-Mount_YAGEO-RC0603FR-070RL_C100044.html" TargetMode="External"/><Relationship Id="rId4" Type="http://schemas.openxmlformats.org/officeDocument/2006/relationships/hyperlink" Target="https://www.lcsc.com/product-detail/LoRa-Modules_Vollgo-SX1276S8S-T-X1_C71883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17"/>
  <sheetViews>
    <sheetView tabSelected="1" workbookViewId="0">
      <selection activeCell="A14" sqref="A14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13.28515625" bestFit="1" customWidth="1"/>
    <col min="9" max="9" width="21.5703125" bestFit="1" customWidth="1"/>
    <col min="10" max="10" width="25.7109375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8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4"/>
      <c r="L1" s="64"/>
      <c r="M1" s="64"/>
      <c r="N1" s="64"/>
      <c r="O1" s="64"/>
      <c r="P1" s="64"/>
      <c r="Q1" s="64"/>
      <c r="R1" s="64"/>
      <c r="S1" s="65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45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46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6"/>
    </row>
    <row r="4" spans="1:19" x14ac:dyDescent="0.25">
      <c r="A4" s="1"/>
      <c r="B4" s="22"/>
      <c r="C4" s="32"/>
      <c r="D4" s="13" t="s">
        <v>2</v>
      </c>
      <c r="E4" s="13"/>
      <c r="F4" s="57" t="s">
        <v>46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7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7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7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7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7"/>
    </row>
    <row r="9" spans="1:19" ht="15.75" thickBot="1" x14ac:dyDescent="0.3">
      <c r="A9" s="1"/>
      <c r="B9" s="30" t="s">
        <v>4</v>
      </c>
      <c r="C9" s="30" t="s">
        <v>8</v>
      </c>
      <c r="D9" s="30" t="s">
        <v>13</v>
      </c>
      <c r="E9" s="30" t="s">
        <v>19</v>
      </c>
      <c r="F9" s="30" t="s">
        <v>25</v>
      </c>
      <c r="G9" s="30" t="s">
        <v>30</v>
      </c>
      <c r="H9" s="30" t="s">
        <v>34</v>
      </c>
      <c r="I9" s="30" t="s">
        <v>47</v>
      </c>
      <c r="J9" s="30" t="s">
        <v>38</v>
      </c>
      <c r="K9" s="30" t="s">
        <v>48</v>
      </c>
      <c r="L9" s="30" t="s">
        <v>44</v>
      </c>
      <c r="M9" s="30" t="s">
        <v>49</v>
      </c>
      <c r="N9" s="30" t="s">
        <v>50</v>
      </c>
      <c r="O9" s="30" t="s">
        <v>51</v>
      </c>
      <c r="P9" s="30" t="s">
        <v>52</v>
      </c>
      <c r="Q9" s="30" t="s">
        <v>53</v>
      </c>
      <c r="R9" s="30" t="s">
        <v>54</v>
      </c>
      <c r="S9" s="30" t="s">
        <v>55</v>
      </c>
    </row>
    <row r="10" spans="1:19" x14ac:dyDescent="0.25">
      <c r="A10" s="1"/>
      <c r="B10" s="46">
        <f>ROW(B10) - ROW($B$9)</f>
        <v>1</v>
      </c>
      <c r="C10" s="54" t="s">
        <v>9</v>
      </c>
      <c r="D10" s="37" t="s">
        <v>14</v>
      </c>
      <c r="E10" s="37" t="s">
        <v>20</v>
      </c>
      <c r="F10" s="37" t="s">
        <v>26</v>
      </c>
      <c r="G10" s="37" t="s">
        <v>31</v>
      </c>
      <c r="H10" s="37" t="s">
        <v>35</v>
      </c>
      <c r="I10" s="37" t="s">
        <v>58</v>
      </c>
      <c r="J10" s="37" t="s">
        <v>39</v>
      </c>
      <c r="K10" s="37" t="s">
        <v>42</v>
      </c>
      <c r="L10" s="37">
        <v>1</v>
      </c>
      <c r="M10" s="37">
        <f>L10*5</f>
        <v>5</v>
      </c>
      <c r="N10" s="51">
        <v>100</v>
      </c>
      <c r="O10" s="60" t="s">
        <v>57</v>
      </c>
      <c r="P10" s="52">
        <v>5.1999999999999998E-3</v>
      </c>
      <c r="Q10" s="38">
        <f>P10*N10</f>
        <v>0.52</v>
      </c>
      <c r="R10" s="37"/>
      <c r="S10" s="50"/>
    </row>
    <row r="11" spans="1:19" x14ac:dyDescent="0.25">
      <c r="A11" s="1"/>
      <c r="B11" s="47">
        <f t="shared" ref="B11:B15" si="0">ROW(B11) - ROW($B$9)</f>
        <v>2</v>
      </c>
      <c r="C11" s="54" t="s">
        <v>9</v>
      </c>
      <c r="D11" s="51" t="s">
        <v>15</v>
      </c>
      <c r="E11" s="51" t="s">
        <v>21</v>
      </c>
      <c r="F11" s="51" t="s">
        <v>26</v>
      </c>
      <c r="G11" s="61" t="s">
        <v>32</v>
      </c>
      <c r="H11" s="51" t="s">
        <v>35</v>
      </c>
      <c r="I11" s="51" t="s">
        <v>59</v>
      </c>
      <c r="J11" s="51" t="s">
        <v>60</v>
      </c>
      <c r="K11" s="51" t="s">
        <v>43</v>
      </c>
      <c r="L11" s="51">
        <v>1</v>
      </c>
      <c r="M11" s="51">
        <f t="shared" ref="M11" si="1">L11*5</f>
        <v>5</v>
      </c>
      <c r="N11" s="51">
        <v>100</v>
      </c>
      <c r="O11" s="60" t="s">
        <v>57</v>
      </c>
      <c r="P11" s="52">
        <v>2.3999999999999998E-3</v>
      </c>
      <c r="Q11" s="52">
        <f t="shared" ref="Q11" si="2">P11*N11</f>
        <v>0.24</v>
      </c>
      <c r="R11" s="51"/>
      <c r="S11" s="51"/>
    </row>
    <row r="12" spans="1:19" x14ac:dyDescent="0.25">
      <c r="A12" s="1"/>
      <c r="B12" s="46">
        <f>ROW(B12) - ROW($B$9)</f>
        <v>3</v>
      </c>
      <c r="C12" s="53" t="s">
        <v>56</v>
      </c>
      <c r="D12" s="61" t="s">
        <v>16</v>
      </c>
      <c r="E12" s="61" t="s">
        <v>22</v>
      </c>
      <c r="F12" s="61" t="s">
        <v>27</v>
      </c>
      <c r="G12" s="61" t="s">
        <v>58</v>
      </c>
      <c r="H12" s="61" t="s">
        <v>58</v>
      </c>
      <c r="I12" s="61" t="s">
        <v>58</v>
      </c>
      <c r="J12" s="61" t="s">
        <v>58</v>
      </c>
      <c r="K12" s="61" t="s">
        <v>58</v>
      </c>
      <c r="L12" s="61">
        <v>1</v>
      </c>
      <c r="M12" s="61">
        <f>L12*5</f>
        <v>5</v>
      </c>
      <c r="N12" s="61" t="s">
        <v>58</v>
      </c>
      <c r="O12" s="61" t="s">
        <v>58</v>
      </c>
      <c r="P12" s="62" t="s">
        <v>58</v>
      </c>
      <c r="Q12" s="62" t="s">
        <v>58</v>
      </c>
      <c r="R12" s="61"/>
      <c r="S12" s="59"/>
    </row>
    <row r="13" spans="1:19" ht="36" x14ac:dyDescent="0.25">
      <c r="A13" s="1"/>
      <c r="B13" s="47">
        <f t="shared" si="0"/>
        <v>4</v>
      </c>
      <c r="C13" s="54" t="s">
        <v>10</v>
      </c>
      <c r="D13" s="51" t="s">
        <v>17</v>
      </c>
      <c r="E13" s="51" t="s">
        <v>23</v>
      </c>
      <c r="F13" s="51" t="s">
        <v>28</v>
      </c>
      <c r="G13" s="51" t="s">
        <v>33</v>
      </c>
      <c r="H13" s="51" t="s">
        <v>36</v>
      </c>
      <c r="I13" s="51" t="s">
        <v>58</v>
      </c>
      <c r="J13" s="51" t="s">
        <v>40</v>
      </c>
      <c r="K13" s="51" t="s">
        <v>58</v>
      </c>
      <c r="L13" s="51">
        <v>1</v>
      </c>
      <c r="M13" s="51">
        <f t="shared" ref="M13" si="3">L13*5</f>
        <v>5</v>
      </c>
      <c r="N13" s="51">
        <v>6</v>
      </c>
      <c r="O13" s="63" t="s">
        <v>57</v>
      </c>
      <c r="P13" s="52">
        <v>0.8306</v>
      </c>
      <c r="Q13" s="52">
        <f t="shared" ref="Q13" si="4">P13*N13</f>
        <v>4.9836</v>
      </c>
      <c r="R13" s="51"/>
      <c r="S13" s="59"/>
    </row>
    <row r="14" spans="1:19" x14ac:dyDescent="0.25">
      <c r="A14" s="1"/>
      <c r="B14" s="46">
        <f>ROW(B14) - ROW($B$9)</f>
        <v>5</v>
      </c>
      <c r="C14" s="53" t="s">
        <v>11</v>
      </c>
      <c r="D14" s="37" t="s">
        <v>62</v>
      </c>
      <c r="E14" s="37" t="s">
        <v>63</v>
      </c>
      <c r="F14" s="37" t="s">
        <v>64</v>
      </c>
      <c r="G14" s="37" t="s">
        <v>65</v>
      </c>
      <c r="H14" s="37" t="s">
        <v>35</v>
      </c>
      <c r="I14" s="37" t="s">
        <v>58</v>
      </c>
      <c r="J14" s="37" t="s">
        <v>66</v>
      </c>
      <c r="K14" s="37" t="s">
        <v>67</v>
      </c>
      <c r="L14" s="37">
        <v>2</v>
      </c>
      <c r="M14" s="37">
        <f>L14*5</f>
        <v>10</v>
      </c>
      <c r="N14" s="37">
        <v>100</v>
      </c>
      <c r="O14" s="63" t="s">
        <v>57</v>
      </c>
      <c r="P14" s="38">
        <v>1.2999999999999999E-3</v>
      </c>
      <c r="Q14" s="38">
        <f>P14*N14</f>
        <v>0.13</v>
      </c>
      <c r="R14" s="37"/>
      <c r="S14" s="59"/>
    </row>
    <row r="15" spans="1:19" ht="15.75" thickBot="1" x14ac:dyDescent="0.3">
      <c r="A15" s="1"/>
      <c r="B15" s="47">
        <f t="shared" si="0"/>
        <v>6</v>
      </c>
      <c r="C15" s="54" t="s">
        <v>12</v>
      </c>
      <c r="D15" s="51" t="s">
        <v>18</v>
      </c>
      <c r="E15" s="51" t="s">
        <v>24</v>
      </c>
      <c r="F15" s="51" t="s">
        <v>61</v>
      </c>
      <c r="G15" s="51" t="s">
        <v>29</v>
      </c>
      <c r="H15" s="51" t="s">
        <v>37</v>
      </c>
      <c r="I15" s="51" t="s">
        <v>58</v>
      </c>
      <c r="J15" s="51" t="s">
        <v>41</v>
      </c>
      <c r="K15" s="51" t="s">
        <v>58</v>
      </c>
      <c r="L15" s="51">
        <v>1</v>
      </c>
      <c r="M15" s="51">
        <f t="shared" ref="M15" si="5">L15*5</f>
        <v>5</v>
      </c>
      <c r="N15" s="51">
        <v>6</v>
      </c>
      <c r="O15" s="60" t="s">
        <v>57</v>
      </c>
      <c r="P15" s="52">
        <v>4.2380000000000004</v>
      </c>
      <c r="Q15" s="52">
        <f t="shared" ref="Q15" si="6">P15*N15</f>
        <v>25.428000000000004</v>
      </c>
      <c r="R15" s="51"/>
      <c r="S15" s="39"/>
    </row>
    <row r="16" spans="1:19" ht="19.5" thickBot="1" x14ac:dyDescent="0.3">
      <c r="A16" s="1"/>
      <c r="B16" s="40"/>
      <c r="C16" s="41"/>
      <c r="D16" s="42"/>
      <c r="E16" s="43"/>
      <c r="F16" s="44"/>
      <c r="G16" s="45"/>
      <c r="H16" s="44"/>
      <c r="I16" s="45"/>
      <c r="J16" s="44"/>
      <c r="K16" s="45"/>
      <c r="L16" s="45"/>
      <c r="M16" s="45"/>
      <c r="N16" s="72" t="s">
        <v>5</v>
      </c>
      <c r="O16" s="73"/>
      <c r="P16" s="73"/>
      <c r="Q16" s="48">
        <f>SUM(Q10:Q15)</f>
        <v>31.301600000000004</v>
      </c>
      <c r="R16" s="68"/>
      <c r="S16" s="69"/>
    </row>
    <row r="17" spans="1:19" ht="19.5" thickBot="1" x14ac:dyDescent="0.3">
      <c r="A17" s="1"/>
      <c r="B17" s="25"/>
      <c r="C17" s="36"/>
      <c r="D17" s="9"/>
      <c r="E17" s="10"/>
      <c r="F17" s="10"/>
      <c r="G17" s="10"/>
      <c r="H17" s="10"/>
      <c r="I17" s="10"/>
      <c r="J17" s="10"/>
      <c r="K17" s="10"/>
      <c r="L17" s="10"/>
      <c r="M17" s="10"/>
      <c r="N17" s="72" t="s">
        <v>6</v>
      </c>
      <c r="O17" s="73"/>
      <c r="P17" s="73"/>
      <c r="Q17" s="49">
        <f>Q16/5</f>
        <v>6.260320000000001</v>
      </c>
      <c r="R17" s="70"/>
      <c r="S17" s="71"/>
    </row>
  </sheetData>
  <mergeCells count="5">
    <mergeCell ref="K1:S1"/>
    <mergeCell ref="S3:S8"/>
    <mergeCell ref="R16:S17"/>
    <mergeCell ref="N16:P16"/>
    <mergeCell ref="N17:P17"/>
  </mergeCells>
  <hyperlinks>
    <hyperlink ref="O10" r:id="rId1"/>
    <hyperlink ref="O11" r:id="rId2"/>
    <hyperlink ref="O13" r:id="rId3"/>
    <hyperlink ref="O15" r:id="rId4"/>
    <hyperlink ref="O14" r:id="rId5"/>
  </hyperlinks>
  <pageMargins left="0.7" right="0.7" top="0.75" bottom="0.75" header="0.3" footer="0.3"/>
  <pageSetup paperSize="9"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2023-07-04T12:38:39Z</dcterms:modified>
</cp:coreProperties>
</file>