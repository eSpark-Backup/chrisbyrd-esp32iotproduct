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43" i="1" l="1"/>
  <c r="L42" i="1" l="1"/>
  <c r="O42" i="1" s="1"/>
  <c r="B42" i="1"/>
  <c r="L41" i="1" l="1"/>
  <c r="O41" i="1" s="1"/>
  <c r="B41" i="1"/>
  <c r="L40" i="1"/>
  <c r="O40" i="1" s="1"/>
  <c r="B40" i="1"/>
  <c r="L39" i="1"/>
  <c r="O39" i="1" s="1"/>
  <c r="B39" i="1"/>
  <c r="L38" i="1"/>
  <c r="O38" i="1" s="1"/>
  <c r="B38" i="1"/>
  <c r="L37" i="1"/>
  <c r="O37" i="1" s="1"/>
  <c r="B37" i="1"/>
  <c r="L36" i="1"/>
  <c r="O36" i="1" s="1"/>
  <c r="B36" i="1"/>
  <c r="L35" i="1"/>
  <c r="O35" i="1" s="1"/>
  <c r="B35" i="1"/>
  <c r="L34" i="1"/>
  <c r="O34" i="1" s="1"/>
  <c r="B34" i="1"/>
  <c r="L33" i="1"/>
  <c r="O33" i="1" s="1"/>
  <c r="B33" i="1"/>
  <c r="L32" i="1"/>
  <c r="O32" i="1" s="1"/>
  <c r="B32" i="1"/>
  <c r="L31" i="1"/>
  <c r="O31" i="1" s="1"/>
  <c r="B31" i="1"/>
  <c r="L30" i="1"/>
  <c r="O30" i="1" s="1"/>
  <c r="B30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O44" i="1" s="1"/>
  <c r="O45" i="1" s="1"/>
  <c r="B11" i="1"/>
  <c r="B10" i="1"/>
</calcChain>
</file>

<file path=xl/sharedStrings.xml><?xml version="1.0" encoding="utf-8"?>
<sst xmlns="http://schemas.openxmlformats.org/spreadsheetml/2006/main" count="321" uniqueCount="192">
  <si>
    <t>Component list</t>
  </si>
  <si>
    <t>Source Data From:</t>
  </si>
  <si>
    <t>Project:</t>
  </si>
  <si>
    <t>Variant:</t>
  </si>
  <si>
    <t>#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</si>
  <si>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</si>
  <si>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</si>
  <si>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</si>
  <si>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</si>
  <si>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</si>
  <si>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</si>
  <si>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</si>
  <si>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</si>
  <si>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</si>
  <si>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</si>
  <si>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</si>
  <si>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</si>
  <si>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</si>
  <si>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</si>
  <si>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</si>
  <si>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</si>
  <si>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</si>
  <si>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</si>
  <si>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</si>
  <si>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</si>
  <si>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</si>
  <si>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</si>
  <si>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</si>
  <si>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</si>
  <si>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</si>
  <si>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</si>
  <si>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</si>
  <si>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</si>
  <si>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</si>
  <si>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</si>
  <si>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</si>
  <si>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</si>
  <si>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</si>
  <si>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</si>
  <si>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</si>
  <si>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</si>
  <si>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</si>
  <si>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</si>
  <si>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</si>
  <si>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</si>
  <si>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</si>
  <si>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</si>
  <si>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</si>
  <si>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</si>
  <si>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</si>
  <si>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</si>
  <si>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</si>
  <si>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</si>
  <si>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</si>
  <si>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</si>
  <si>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</si>
  <si>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</si>
  <si>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</si>
  <si>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</si>
  <si>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</si>
  <si>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</si>
  <si>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</si>
  <si>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</si>
  <si>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</si>
  <si>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</si>
  <si>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</si>
  <si>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</si>
  <si>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</si>
  <si>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</si>
  <si>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</si>
  <si>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</si>
  <si>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</si>
  <si>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</si>
  <si>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</si>
  <si>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</si>
  <si>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</si>
  <si>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</si>
  <si>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</si>
  <si>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</si>
  <si>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</si>
  <si>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</si>
  <si>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</si>
  <si>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</si>
  <si>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</si>
  <si>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</si>
  <si>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</si>
  <si>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</si>
  <si>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</si>
  <si>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</si>
  <si>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</si>
  <si>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</si>
  <si>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</si>
  <si>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</si>
  <si>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</si>
  <si>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</si>
  <si>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</si>
  <si>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</si>
  <si>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</si>
  <si>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</si>
  <si>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</si>
  <si>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</si>
  <si>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</si>
  <si>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</si>
  <si>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</si>
  <si>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</si>
  <si>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</si>
  <si>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</si>
  <si>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</si>
  <si>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</si>
  <si>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</si>
  <si>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</si>
  <si>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</si>
  <si>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</si>
  <si>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</si>
  <si>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</si>
  <si>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</si>
  <si>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</si>
  <si>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</si>
  <si>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</si>
  <si>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</si>
  <si>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</si>
  <si>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</si>
  <si>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</si>
  <si>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</si>
  <si>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</si>
  <si>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</si>
  <si>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</si>
  <si>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</si>
  <si>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</si>
  <si>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</si>
  <si>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</si>
  <si>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</si>
  <si>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</si>
  <si>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</si>
  <si>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</si>
  <si>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</si>
  <si>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</si>
  <si>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</si>
  <si>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</si>
  <si>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</si>
  <si>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</si>
  <si>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</si>
  <si>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</si>
  <si>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</si>
  <si>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</si>
  <si>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</si>
  <si>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</si>
  <si>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</si>
  <si>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</si>
  <si>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</si>
  <si>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</si>
  <si>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</si>
  <si>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</si>
  <si>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</si>
  <si>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</si>
  <si>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</si>
  <si>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</si>
  <si>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</si>
  <si>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</si>
  <si>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</si>
  <si>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</si>
  <si>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</si>
  <si>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</si>
  <si>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</si>
  <si>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</si>
  <si>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</si>
  <si>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</si>
  <si>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</si>
  <si>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</si>
  <si>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</si>
  <si>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</si>
  <si>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</si>
  <si>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</si>
  <si>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</si>
  <si>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</si>
  <si>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</si>
  <si>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</si>
  <si>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</si>
  <si>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</si>
  <si>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 xml:space="preserve">SMA Male Antenna </t>
  </si>
  <si>
    <t>Aliexpress</t>
  </si>
  <si>
    <t>Custom Supplier</t>
  </si>
  <si>
    <t>1 Inner bore SMA Board Edge Bend -55℃~+155℃ 50Ω Plugin RF Connectors / Coaxial Connectors ROHS</t>
  </si>
  <si>
    <t>HJ-SMA508</t>
  </si>
  <si>
    <t>HJ Tech</t>
  </si>
  <si>
    <t>CAP TANT 220UF 20% 6.3V SMD</t>
  </si>
  <si>
    <t>Case-B</t>
  </si>
  <si>
    <t>TLJB227M006R0500</t>
  </si>
  <si>
    <t>Kyocera AVX</t>
  </si>
  <si>
    <t>R12, R15, R16, R19, R20</t>
  </si>
  <si>
    <t>Bill of Materials for Project [LTE_MODULE_v2.0.]</t>
  </si>
  <si>
    <t>LTE_MODULE_v2.0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</si>
</sst>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20" fillId="2" borderId="0" xfId="1" applyFill="1" applyBorder="1" applyAlignment="1">
      <alignment horizontal="center" vertical="center" wrapText="1"/>
    </xf>
    <xf numFmtId="165" fontId="17" fillId="2" borderId="0" xfId="0" applyNumberFormat="1" applyFont="1" applyFill="1" applyBorder="1" applyAlignment="1">
      <alignment horizontal="center" vertical="center" wrapText="1"/>
    </xf>
    <xf numFmtId="166" fontId="17" fillId="2" borderId="0" xfId="0" applyNumberFormat="1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experia-usa-inc/PESD5V0H1BSFYL/5981341?s=N4IgTCBcDaIAoFEDKARArANQAwAkCMAQkgGICaAMiALoC%2BQA" TargetMode="External"/><Relationship Id="rId13" Type="http://schemas.openxmlformats.org/officeDocument/2006/relationships/hyperlink" Target="https://www.digikey.com/en/products/detail/yageo/RC0603JR-0747KL/726794?s=N4IgTCBcDaIEoGEAMA2JBmAUnAtEg7ACz4DSAMiALoC%2BQA" TargetMode="External"/><Relationship Id="rId18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3" Type="http://schemas.openxmlformats.org/officeDocument/2006/relationships/hyperlink" Target="https://www.digikey.com/en/products/detail/yageo/CC0603KRX5R9BB104/5883729?s=N4IgTCBcDaIMJwAwDZEGYDSAlAGgViwE4AhYgRkQBYQBdAXyA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www.digikey.com/en/products/detail/onsemi/MMSZ5231BT1G/919749" TargetMode="External"/><Relationship Id="rId12" Type="http://schemas.openxmlformats.org/officeDocument/2006/relationships/hyperlink" Target="https://www.digikey.com/en/products/detail/yageo/RC0603JR-074K7L/726785?s=N4IgTCBcDaIEoGEAMA2JBmAUnAtEg7ACwDS%2BAMiALoC%2BQA" TargetMode="External"/><Relationship Id="rId17" Type="http://schemas.openxmlformats.org/officeDocument/2006/relationships/hyperlink" Target="https://www.digikey.com/en/products/detail/texas-instruments/TXB0102DCUT/1910149" TargetMode="External"/><Relationship Id="rId2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16" Type="http://schemas.openxmlformats.org/officeDocument/2006/relationships/hyperlink" Target="https://www.digikey.com/en/products/detail/hologram-inc/SIM-ST-MFF2/9489898?s=N4IgTCBcDaIMoEkCyBaOAVFSBi2IF0BfIA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ynzen/SZC-C-1G18/16584378?s=N4IgTCBcDaIMoC0DCBaVBGA4ugHCAugL5A" TargetMode="External"/><Relationship Id="rId6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1" Type="http://schemas.openxmlformats.org/officeDocument/2006/relationships/hyperlink" Target="https://www.digikey.com/en/products/detail/yageo/RC0603FR-07180RL/726994?s=N4IgTCBcDaIEoGEAMA2JBmAYnAtEg7AIwAcScAMiALoC%2BQA" TargetMode="External"/><Relationship Id="rId5" Type="http://schemas.openxmlformats.org/officeDocument/2006/relationships/hyperlink" Target="https://www.digikey.com/en/products/detail/yageo/CC0402JRNPO9BN220/302752?s=N4IgTCBcDaIMJwAwBZFgFICUByAFA8gJwBC2YYiIAugL5A" TargetMode="External"/><Relationship Id="rId15" Type="http://schemas.openxmlformats.org/officeDocument/2006/relationships/hyperlink" Target="https://www.digikey.com/en/products/detail/onsemi/FSA2567MPX/1739703" TargetMode="External"/><Relationship Id="rId10" Type="http://schemas.openxmlformats.org/officeDocument/2006/relationships/hyperlink" Target="https://www.digikey.com/en/products/detail/yageo/RC0603FR-0722RL/727055?s=N4IgTCBcDaIEoGEAMA2JBmAYnAtEg7GGHADIgC6AvkA" TargetMode="External"/><Relationship Id="rId19" Type="http://schemas.openxmlformats.org/officeDocument/2006/relationships/hyperlink" Target="https://www.digikey.com/en/products/detail/kyocera-avx/TLJB227M006R0500/3068504?s=N4IgTCBcDaICoBkBSAhMYDsBZADDgbAEo4CseIAugL5A" TargetMode="External"/><Relationship Id="rId4" Type="http://schemas.openxmlformats.org/officeDocument/2006/relationships/hyperlink" Target="https://www.digikey.com/en/products/detail/yageo/CC0603KRX5R8BB105/2833610?s=N4IgTCBcDaIMJwAwDZEGYDSAlAGgViwA4AhYgRkTxAF0BfIA" TargetMode="External"/><Relationship Id="rId9" Type="http://schemas.openxmlformats.org/officeDocument/2006/relationships/hyperlink" Target="https://www.digikey.com/en/products/detail/yageo/RC0603FR-070RL/1304008?s=N4IgTCBcDaIEoGEAMA2JBmAYnAtEg7EnADIgC6AvkA" TargetMode="External"/><Relationship Id="rId14" Type="http://schemas.openxmlformats.org/officeDocument/2006/relationships/hyperlink" Target="https://www.digikey.com/en/products/detail/yageo/AC0603JR-0710KL/2827830?s=N4IgTCBcDaIIIGEAMA2JBmAUgJQLRIHYBGJAaQBkQBdAX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5"/>
  <sheetViews>
    <sheetView tabSelected="1" workbookViewId="0">
      <selection activeCell="G23" sqref="G2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6.57031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2"/>
      <c r="K1" s="72"/>
      <c r="L1" s="72"/>
      <c r="M1" s="72"/>
      <c r="N1" s="72"/>
      <c r="O1" s="72"/>
      <c r="P1" s="72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190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191</v>
      </c>
      <c r="G3" s="12"/>
      <c r="H3" s="4"/>
      <c r="I3" s="12"/>
      <c r="J3" s="4"/>
      <c r="K3" s="4"/>
      <c r="L3" s="4"/>
      <c r="M3" s="4"/>
      <c r="N3" s="4"/>
      <c r="O3" s="4"/>
      <c r="P3" s="73"/>
    </row>
    <row r="4" spans="1:16" x14ac:dyDescent="0.25">
      <c r="A4" s="1"/>
      <c r="B4" s="21"/>
      <c r="C4" s="44"/>
      <c r="D4" s="12" t="s">
        <v>2</v>
      </c>
      <c r="E4" s="12"/>
      <c r="F4" s="53" t="s">
        <v>191</v>
      </c>
      <c r="G4" s="13"/>
      <c r="H4" s="6"/>
      <c r="I4" s="13"/>
      <c r="J4" s="6"/>
      <c r="K4" s="6"/>
      <c r="L4" s="6"/>
      <c r="M4" s="58"/>
      <c r="N4" s="58"/>
      <c r="O4" s="58"/>
      <c r="P4" s="74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74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74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74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74"/>
    </row>
    <row r="9" spans="1:16" ht="15.75" thickBot="1" x14ac:dyDescent="0.3">
      <c r="A9" s="1"/>
      <c r="B9" s="29" t="s">
        <v>4</v>
      </c>
      <c r="C9" s="29" t="s">
        <v>6</v>
      </c>
      <c r="D9" s="29" t="s">
        <v>20</v>
      </c>
      <c r="E9" s="30" t="s">
        <v>52</v>
      </c>
      <c r="F9" s="29" t="s">
        <v>83</v>
      </c>
      <c r="G9" s="30" t="s">
        <v>102</v>
      </c>
      <c r="H9" s="29" t="s">
        <v>130</v>
      </c>
      <c r="I9" s="29" t="s">
        <v>165</v>
      </c>
      <c r="J9" s="29" t="s">
        <v>167</v>
      </c>
      <c r="K9" s="29" t="s">
        <v>164</v>
      </c>
      <c r="L9" s="29" t="s">
        <v>166</v>
      </c>
      <c r="M9" s="29" t="s">
        <v>172</v>
      </c>
      <c r="N9" s="29" t="s">
        <v>174</v>
      </c>
      <c r="O9" s="29" t="s">
        <v>175</v>
      </c>
      <c r="P9" s="29" t="s">
        <v>171</v>
      </c>
    </row>
    <row r="10" spans="1:16" ht="36.75" thickBot="1" x14ac:dyDescent="0.3">
      <c r="A10" s="1"/>
      <c r="B10" s="50">
        <f>ROW(B10) - ROW($B$9)</f>
        <v>1</v>
      </c>
      <c r="C10" s="56" t="s">
        <v>7</v>
      </c>
      <c r="D10" s="36" t="s">
        <v>21</v>
      </c>
      <c r="E10" s="37" t="s">
        <v>53</v>
      </c>
      <c r="F10" s="36" t="s">
        <v>169</v>
      </c>
      <c r="G10" s="37" t="s">
        <v>103</v>
      </c>
      <c r="H10" s="36" t="s">
        <v>131</v>
      </c>
      <c r="I10" s="36" t="s">
        <v>168</v>
      </c>
      <c r="J10" s="36" t="s">
        <v>149</v>
      </c>
      <c r="K10" s="36">
        <v>1</v>
      </c>
      <c r="L10" s="36">
        <f>K10*5</f>
        <v>5</v>
      </c>
      <c r="M10" s="59" t="s">
        <v>173</v>
      </c>
      <c r="N10" s="61">
        <v>0.9</v>
      </c>
      <c r="O10" s="61">
        <f>N10*L10</f>
        <v>4.5</v>
      </c>
      <c r="P10" s="36"/>
    </row>
    <row r="11" spans="1:16" ht="36.75" thickBot="1" x14ac:dyDescent="0.3">
      <c r="A11" s="1"/>
      <c r="B11" s="50">
        <f t="shared" ref="B11:B43" si="0">ROW(B11) - ROW($B$9)</f>
        <v>2</v>
      </c>
      <c r="C11" s="57" t="s">
        <v>8</v>
      </c>
      <c r="D11" s="38" t="s">
        <v>22</v>
      </c>
      <c r="E11" s="39" t="s">
        <v>54</v>
      </c>
      <c r="F11" s="38" t="s">
        <v>84</v>
      </c>
      <c r="G11" s="39" t="s">
        <v>104</v>
      </c>
      <c r="H11" s="38" t="s">
        <v>132</v>
      </c>
      <c r="I11" s="36" t="s">
        <v>168</v>
      </c>
      <c r="J11" s="38" t="s">
        <v>150</v>
      </c>
      <c r="K11" s="38">
        <v>1</v>
      </c>
      <c r="L11" s="38">
        <f t="shared" ref="L11" si="1">K11*5</f>
        <v>5</v>
      </c>
      <c r="M11" s="60" t="s">
        <v>181</v>
      </c>
      <c r="N11" s="62"/>
      <c r="O11" s="61">
        <f t="shared" ref="O11:O30" si="2">N11*L11</f>
        <v>0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8</v>
      </c>
      <c r="D12" s="36" t="s">
        <v>23</v>
      </c>
      <c r="E12" s="37" t="s">
        <v>55</v>
      </c>
      <c r="F12" s="36" t="s">
        <v>85</v>
      </c>
      <c r="G12" s="37" t="s">
        <v>105</v>
      </c>
      <c r="H12" s="36" t="s">
        <v>133</v>
      </c>
      <c r="I12" s="36" t="s">
        <v>168</v>
      </c>
      <c r="J12" s="36" t="s">
        <v>151</v>
      </c>
      <c r="K12" s="36">
        <v>1</v>
      </c>
      <c r="L12" s="36">
        <f>K12*5</f>
        <v>5</v>
      </c>
      <c r="M12" s="59" t="s">
        <v>173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8</v>
      </c>
      <c r="D13" s="38" t="s">
        <v>24</v>
      </c>
      <c r="E13" s="39" t="s">
        <v>56</v>
      </c>
      <c r="F13" s="38" t="s">
        <v>84</v>
      </c>
      <c r="G13" s="39" t="s">
        <v>106</v>
      </c>
      <c r="H13" s="38" t="s">
        <v>134</v>
      </c>
      <c r="I13" s="36" t="s">
        <v>168</v>
      </c>
      <c r="J13" s="38" t="s">
        <v>152</v>
      </c>
      <c r="K13" s="38">
        <v>8</v>
      </c>
      <c r="L13" s="38">
        <f t="shared" ref="L13" si="3">K13*5</f>
        <v>40</v>
      </c>
      <c r="M13" s="60" t="s">
        <v>173</v>
      </c>
      <c r="N13" s="62">
        <v>0.1</v>
      </c>
      <c r="O13" s="61">
        <f t="shared" si="2"/>
        <v>4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8</v>
      </c>
      <c r="D14" s="36" t="s">
        <v>25</v>
      </c>
      <c r="E14" s="36" t="s">
        <v>185</v>
      </c>
      <c r="F14" s="36" t="s">
        <v>186</v>
      </c>
      <c r="G14" s="36" t="s">
        <v>187</v>
      </c>
      <c r="H14" s="36" t="s">
        <v>188</v>
      </c>
      <c r="I14" s="36" t="s">
        <v>168</v>
      </c>
      <c r="J14" s="36" t="s">
        <v>153</v>
      </c>
      <c r="K14" s="36">
        <v>1</v>
      </c>
      <c r="L14" s="36">
        <f>K14*5</f>
        <v>5</v>
      </c>
      <c r="M14" s="60" t="s">
        <v>173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8</v>
      </c>
      <c r="D15" s="38" t="s">
        <v>26</v>
      </c>
      <c r="E15" s="39" t="s">
        <v>57</v>
      </c>
      <c r="F15" s="38" t="s">
        <v>84</v>
      </c>
      <c r="G15" s="39" t="s">
        <v>107</v>
      </c>
      <c r="H15" s="38" t="s">
        <v>134</v>
      </c>
      <c r="I15" s="36" t="s">
        <v>168</v>
      </c>
      <c r="J15" s="38" t="s">
        <v>154</v>
      </c>
      <c r="K15" s="38">
        <v>1</v>
      </c>
      <c r="L15" s="38">
        <f t="shared" ref="L15" si="4">K15*5</f>
        <v>5</v>
      </c>
      <c r="M15" s="60" t="s">
        <v>173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8</v>
      </c>
      <c r="D16" s="36" t="s">
        <v>27</v>
      </c>
      <c r="E16" s="37" t="s">
        <v>58</v>
      </c>
      <c r="F16" s="36" t="s">
        <v>85</v>
      </c>
      <c r="G16" s="37" t="s">
        <v>108</v>
      </c>
      <c r="H16" s="36" t="s">
        <v>134</v>
      </c>
      <c r="I16" s="36" t="s">
        <v>168</v>
      </c>
      <c r="J16" s="36" t="s">
        <v>155</v>
      </c>
      <c r="K16" s="36">
        <v>3</v>
      </c>
      <c r="L16" s="36">
        <f>K16*5</f>
        <v>15</v>
      </c>
      <c r="M16" s="59" t="s">
        <v>173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8</v>
      </c>
      <c r="D17" s="38" t="s">
        <v>28</v>
      </c>
      <c r="E17" s="39" t="s">
        <v>59</v>
      </c>
      <c r="F17" s="38" t="s">
        <v>86</v>
      </c>
      <c r="G17" s="39" t="s">
        <v>109</v>
      </c>
      <c r="H17" s="38" t="s">
        <v>135</v>
      </c>
      <c r="I17" s="36" t="s">
        <v>168</v>
      </c>
      <c r="J17" s="38" t="s">
        <v>156</v>
      </c>
      <c r="K17" s="38">
        <v>2</v>
      </c>
      <c r="L17" s="38">
        <f t="shared" ref="L17" si="5">K17*5</f>
        <v>10</v>
      </c>
      <c r="M17" s="59" t="s">
        <v>173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9</v>
      </c>
      <c r="D18" s="36" t="s">
        <v>29</v>
      </c>
      <c r="E18" s="37" t="s">
        <v>60</v>
      </c>
      <c r="F18" s="36" t="s">
        <v>87</v>
      </c>
      <c r="G18" s="37" t="s">
        <v>110</v>
      </c>
      <c r="H18" s="36" t="s">
        <v>136</v>
      </c>
      <c r="I18" s="36" t="s">
        <v>168</v>
      </c>
      <c r="J18" s="36" t="s">
        <v>168</v>
      </c>
      <c r="K18" s="36">
        <v>1</v>
      </c>
      <c r="L18" s="36">
        <f>K18*5</f>
        <v>5</v>
      </c>
      <c r="M18" s="59" t="s">
        <v>173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9</v>
      </c>
      <c r="D19" s="38" t="s">
        <v>30</v>
      </c>
      <c r="E19" s="39" t="s">
        <v>61</v>
      </c>
      <c r="F19" s="38" t="s">
        <v>88</v>
      </c>
      <c r="G19" s="39" t="s">
        <v>111</v>
      </c>
      <c r="H19" s="38" t="s">
        <v>137</v>
      </c>
      <c r="I19" s="36" t="s">
        <v>168</v>
      </c>
      <c r="J19" s="38" t="s">
        <v>168</v>
      </c>
      <c r="K19" s="38">
        <v>2</v>
      </c>
      <c r="L19" s="38">
        <f t="shared" ref="L19" si="6">K19*5</f>
        <v>10</v>
      </c>
      <c r="M19" s="60" t="s">
        <v>181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9</v>
      </c>
      <c r="D20" s="36" t="s">
        <v>31</v>
      </c>
      <c r="E20" s="37" t="s">
        <v>62</v>
      </c>
      <c r="F20" s="36" t="s">
        <v>89</v>
      </c>
      <c r="G20" s="37" t="s">
        <v>112</v>
      </c>
      <c r="H20" s="36" t="s">
        <v>138</v>
      </c>
      <c r="I20" s="36" t="s">
        <v>168</v>
      </c>
      <c r="J20" s="36" t="s">
        <v>168</v>
      </c>
      <c r="K20" s="36">
        <v>1</v>
      </c>
      <c r="L20" s="36">
        <f>K20*5</f>
        <v>5</v>
      </c>
      <c r="M20" s="59" t="s">
        <v>173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9</v>
      </c>
      <c r="D21" s="38" t="s">
        <v>32</v>
      </c>
      <c r="E21" s="39" t="s">
        <v>63</v>
      </c>
      <c r="F21" s="38" t="s">
        <v>90</v>
      </c>
      <c r="G21" s="39" t="s">
        <v>113</v>
      </c>
      <c r="H21" s="38" t="s">
        <v>139</v>
      </c>
      <c r="I21" s="36" t="s">
        <v>168</v>
      </c>
      <c r="J21" s="38" t="s">
        <v>168</v>
      </c>
      <c r="K21" s="38">
        <v>1</v>
      </c>
      <c r="L21" s="38">
        <f t="shared" ref="L21" si="7">K21*5</f>
        <v>5</v>
      </c>
      <c r="M21" s="60" t="s">
        <v>181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10</v>
      </c>
      <c r="D22" s="36" t="s">
        <v>33</v>
      </c>
      <c r="E22" s="37" t="s">
        <v>64</v>
      </c>
      <c r="F22" s="36" t="s">
        <v>91</v>
      </c>
      <c r="G22" s="37" t="s">
        <v>114</v>
      </c>
      <c r="H22" s="36" t="s">
        <v>140</v>
      </c>
      <c r="I22" s="36" t="s">
        <v>168</v>
      </c>
      <c r="J22" s="36" t="s">
        <v>168</v>
      </c>
      <c r="K22" s="36">
        <v>1</v>
      </c>
      <c r="L22" s="36">
        <f>K22*5</f>
        <v>5</v>
      </c>
      <c r="M22" s="60" t="s">
        <v>181</v>
      </c>
      <c r="N22" s="61"/>
      <c r="O22" s="61">
        <f t="shared" si="2"/>
        <v>0</v>
      </c>
      <c r="P22" s="36"/>
    </row>
    <row r="23" spans="1:16" ht="48.75" thickBot="1" x14ac:dyDescent="0.3">
      <c r="A23" s="1"/>
      <c r="B23" s="50">
        <f t="shared" si="0"/>
        <v>14</v>
      </c>
      <c r="C23" s="57" t="s">
        <v>11</v>
      </c>
      <c r="D23" s="38" t="s">
        <v>34</v>
      </c>
      <c r="E23" s="38" t="s">
        <v>182</v>
      </c>
      <c r="F23" s="38" t="s">
        <v>169</v>
      </c>
      <c r="G23" s="38" t="s">
        <v>183</v>
      </c>
      <c r="H23" s="38" t="s">
        <v>184</v>
      </c>
      <c r="I23" s="36" t="s">
        <v>168</v>
      </c>
      <c r="J23" s="38" t="s">
        <v>168</v>
      </c>
      <c r="K23" s="38">
        <v>1</v>
      </c>
      <c r="L23" s="38">
        <f t="shared" ref="L23" si="8">K23*5</f>
        <v>5</v>
      </c>
      <c r="M23" s="60" t="s">
        <v>181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170</v>
      </c>
      <c r="D24" s="36" t="s">
        <v>35</v>
      </c>
      <c r="E24" s="37" t="s">
        <v>65</v>
      </c>
      <c r="F24" s="55" t="s">
        <v>169</v>
      </c>
      <c r="G24" s="37" t="s">
        <v>168</v>
      </c>
      <c r="H24" s="36" t="s">
        <v>168</v>
      </c>
      <c r="I24" s="36" t="s">
        <v>168</v>
      </c>
      <c r="J24" s="55" t="s">
        <v>168</v>
      </c>
      <c r="K24" s="36">
        <v>1</v>
      </c>
      <c r="L24" s="36">
        <f>K24*5</f>
        <v>5</v>
      </c>
      <c r="M24" s="55" t="s">
        <v>168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12</v>
      </c>
      <c r="D25" s="38" t="s">
        <v>36</v>
      </c>
      <c r="E25" s="39" t="s">
        <v>66</v>
      </c>
      <c r="F25" s="38" t="s">
        <v>169</v>
      </c>
      <c r="G25" s="39" t="s">
        <v>115</v>
      </c>
      <c r="H25" s="36" t="s">
        <v>168</v>
      </c>
      <c r="I25" s="36" t="s">
        <v>168</v>
      </c>
      <c r="J25" s="55" t="s">
        <v>168</v>
      </c>
      <c r="K25" s="38">
        <v>1</v>
      </c>
      <c r="L25" s="38">
        <f t="shared" ref="L25" si="9">K25*5</f>
        <v>5</v>
      </c>
      <c r="M25" s="55" t="s">
        <v>168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13</v>
      </c>
      <c r="D26" s="36" t="s">
        <v>37</v>
      </c>
      <c r="E26" s="37" t="s">
        <v>67</v>
      </c>
      <c r="F26" s="36" t="s">
        <v>169</v>
      </c>
      <c r="G26" s="37" t="s">
        <v>92</v>
      </c>
      <c r="H26" s="36" t="s">
        <v>141</v>
      </c>
      <c r="I26" s="36" t="s">
        <v>168</v>
      </c>
      <c r="J26" s="36" t="s">
        <v>168</v>
      </c>
      <c r="K26" s="36">
        <v>1</v>
      </c>
      <c r="L26" s="36">
        <f>K26*5</f>
        <v>5</v>
      </c>
      <c r="M26" s="60" t="s">
        <v>181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 t="shared" si="0"/>
        <v>18</v>
      </c>
      <c r="C27" s="57" t="s">
        <v>14</v>
      </c>
      <c r="D27" s="38" t="s">
        <v>38</v>
      </c>
      <c r="E27" s="39" t="s">
        <v>68</v>
      </c>
      <c r="F27" s="38" t="s">
        <v>93</v>
      </c>
      <c r="G27" s="39" t="s">
        <v>116</v>
      </c>
      <c r="H27" s="38" t="s">
        <v>132</v>
      </c>
      <c r="I27" s="36" t="s">
        <v>168</v>
      </c>
      <c r="J27" s="38" t="s">
        <v>157</v>
      </c>
      <c r="K27" s="38">
        <v>1</v>
      </c>
      <c r="L27" s="38">
        <f t="shared" ref="L27" si="10">K27*5</f>
        <v>5</v>
      </c>
      <c r="M27" s="60" t="s">
        <v>181</v>
      </c>
      <c r="N27" s="62"/>
      <c r="O27" s="61">
        <f t="shared" si="2"/>
        <v>0</v>
      </c>
      <c r="P27" s="38"/>
    </row>
    <row r="28" spans="1:16" ht="30.75" thickBot="1" x14ac:dyDescent="0.3">
      <c r="A28" s="1"/>
      <c r="B28" s="50">
        <f>ROW(B28) - ROW($B$9)</f>
        <v>19</v>
      </c>
      <c r="C28" s="56" t="s">
        <v>15</v>
      </c>
      <c r="D28" s="36" t="s">
        <v>39</v>
      </c>
      <c r="E28" s="37" t="s">
        <v>69</v>
      </c>
      <c r="F28" s="36" t="s">
        <v>94</v>
      </c>
      <c r="G28" s="37" t="s">
        <v>117</v>
      </c>
      <c r="H28" s="36" t="s">
        <v>142</v>
      </c>
      <c r="I28" s="36" t="s">
        <v>168</v>
      </c>
      <c r="J28" s="36" t="s">
        <v>168</v>
      </c>
      <c r="K28" s="36">
        <v>1</v>
      </c>
      <c r="L28" s="36">
        <f>K28*5</f>
        <v>5</v>
      </c>
      <c r="M28" s="60" t="s">
        <v>181</v>
      </c>
      <c r="N28" s="61"/>
      <c r="O28" s="61">
        <f t="shared" si="2"/>
        <v>0</v>
      </c>
      <c r="P28" s="36"/>
    </row>
    <row r="29" spans="1:16" ht="30.75" thickBot="1" x14ac:dyDescent="0.3">
      <c r="A29" s="1"/>
      <c r="B29" s="50">
        <f t="shared" si="0"/>
        <v>20</v>
      </c>
      <c r="C29" s="57" t="s">
        <v>15</v>
      </c>
      <c r="D29" s="38" t="s">
        <v>40</v>
      </c>
      <c r="E29" s="39" t="s">
        <v>70</v>
      </c>
      <c r="F29" s="38" t="s">
        <v>94</v>
      </c>
      <c r="G29" s="39" t="s">
        <v>118</v>
      </c>
      <c r="H29" s="38" t="s">
        <v>142</v>
      </c>
      <c r="I29" s="36" t="s">
        <v>168</v>
      </c>
      <c r="J29" s="38" t="s">
        <v>168</v>
      </c>
      <c r="K29" s="38">
        <v>1</v>
      </c>
      <c r="L29" s="38">
        <f t="shared" ref="L29" si="11">K29*5</f>
        <v>5</v>
      </c>
      <c r="M29" s="60" t="s">
        <v>181</v>
      </c>
      <c r="N29" s="62"/>
      <c r="O29" s="61">
        <f t="shared" si="2"/>
        <v>0</v>
      </c>
      <c r="P29" s="38"/>
    </row>
    <row r="30" spans="1:16" ht="48.75" thickBot="1" x14ac:dyDescent="0.3">
      <c r="A30" s="1"/>
      <c r="B30" s="50">
        <f>ROW(B30) - ROW($B$9)</f>
        <v>21</v>
      </c>
      <c r="C30" s="56" t="s">
        <v>16</v>
      </c>
      <c r="D30" s="36" t="s">
        <v>41</v>
      </c>
      <c r="E30" s="37" t="s">
        <v>71</v>
      </c>
      <c r="F30" s="36" t="s">
        <v>95</v>
      </c>
      <c r="G30" s="37" t="s">
        <v>119</v>
      </c>
      <c r="H30" s="36" t="s">
        <v>143</v>
      </c>
      <c r="I30" s="36" t="s">
        <v>168</v>
      </c>
      <c r="J30" s="36" t="s">
        <v>168</v>
      </c>
      <c r="K30" s="36">
        <v>4</v>
      </c>
      <c r="L30" s="36">
        <f>K30*5</f>
        <v>20</v>
      </c>
      <c r="M30" s="60" t="s">
        <v>181</v>
      </c>
      <c r="N30" s="61"/>
      <c r="O30" s="61">
        <f t="shared" si="2"/>
        <v>0</v>
      </c>
      <c r="P30" s="36"/>
    </row>
    <row r="31" spans="1:16" ht="15.75" thickBot="1" x14ac:dyDescent="0.3">
      <c r="A31" s="1"/>
      <c r="B31" s="50">
        <f t="shared" si="0"/>
        <v>22</v>
      </c>
      <c r="C31" s="57" t="s">
        <v>17</v>
      </c>
      <c r="D31" s="38" t="s">
        <v>42</v>
      </c>
      <c r="E31" s="39" t="s">
        <v>72</v>
      </c>
      <c r="F31" s="38" t="s">
        <v>96</v>
      </c>
      <c r="G31" s="39" t="s">
        <v>120</v>
      </c>
      <c r="H31" s="38" t="s">
        <v>134</v>
      </c>
      <c r="I31" s="36" t="s">
        <v>168</v>
      </c>
      <c r="J31" s="38" t="s">
        <v>158</v>
      </c>
      <c r="K31" s="38">
        <v>3</v>
      </c>
      <c r="L31" s="38">
        <f t="shared" ref="L31" si="12">K31*5</f>
        <v>15</v>
      </c>
      <c r="M31" s="59" t="s">
        <v>173</v>
      </c>
      <c r="N31" s="62">
        <v>0.1</v>
      </c>
      <c r="O31" s="63">
        <f>N31*L31</f>
        <v>1.5</v>
      </c>
      <c r="P31" s="38"/>
    </row>
    <row r="32" spans="1:16" ht="15.75" thickBot="1" x14ac:dyDescent="0.3">
      <c r="A32" s="1"/>
      <c r="B32" s="50">
        <f>ROW(B32) - ROW($B$9)</f>
        <v>23</v>
      </c>
      <c r="C32" s="56" t="s">
        <v>17</v>
      </c>
      <c r="D32" s="36" t="s">
        <v>43</v>
      </c>
      <c r="E32" s="37" t="s">
        <v>73</v>
      </c>
      <c r="F32" s="36" t="s">
        <v>96</v>
      </c>
      <c r="G32" s="37" t="s">
        <v>121</v>
      </c>
      <c r="H32" s="36" t="s">
        <v>134</v>
      </c>
      <c r="I32" s="36" t="s">
        <v>168</v>
      </c>
      <c r="J32" s="36" t="s">
        <v>159</v>
      </c>
      <c r="K32" s="36">
        <v>2</v>
      </c>
      <c r="L32" s="36">
        <f>K32*5</f>
        <v>10</v>
      </c>
      <c r="M32" s="59" t="s">
        <v>173</v>
      </c>
      <c r="N32" s="62">
        <v>0.1</v>
      </c>
      <c r="O32" s="63">
        <f t="shared" ref="O32:O42" si="13">N32*L32</f>
        <v>1</v>
      </c>
      <c r="P32" s="36"/>
    </row>
    <row r="33" spans="1:16" ht="15.75" thickBot="1" x14ac:dyDescent="0.3">
      <c r="A33" s="1"/>
      <c r="B33" s="50">
        <f t="shared" si="0"/>
        <v>24</v>
      </c>
      <c r="C33" s="57" t="s">
        <v>17</v>
      </c>
      <c r="D33" s="38" t="s">
        <v>44</v>
      </c>
      <c r="E33" s="39" t="s">
        <v>74</v>
      </c>
      <c r="F33" s="38" t="s">
        <v>96</v>
      </c>
      <c r="G33" s="39" t="s">
        <v>122</v>
      </c>
      <c r="H33" s="38" t="s">
        <v>134</v>
      </c>
      <c r="I33" s="36" t="s">
        <v>168</v>
      </c>
      <c r="J33" s="38" t="s">
        <v>160</v>
      </c>
      <c r="K33" s="38">
        <v>2</v>
      </c>
      <c r="L33" s="38">
        <f t="shared" ref="L33" si="14">K33*5</f>
        <v>10</v>
      </c>
      <c r="M33" s="59" t="s">
        <v>173</v>
      </c>
      <c r="N33" s="62">
        <v>0.1</v>
      </c>
      <c r="O33" s="63">
        <f t="shared" si="13"/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17</v>
      </c>
      <c r="D34" s="36" t="s">
        <v>45</v>
      </c>
      <c r="E34" s="37" t="s">
        <v>75</v>
      </c>
      <c r="F34" s="36" t="s">
        <v>96</v>
      </c>
      <c r="G34" s="37" t="s">
        <v>123</v>
      </c>
      <c r="H34" s="36" t="s">
        <v>134</v>
      </c>
      <c r="I34" s="36" t="s">
        <v>168</v>
      </c>
      <c r="J34" s="36" t="s">
        <v>161</v>
      </c>
      <c r="K34" s="36">
        <v>4</v>
      </c>
      <c r="L34" s="36">
        <f>K34*5</f>
        <v>20</v>
      </c>
      <c r="M34" s="59" t="s">
        <v>173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17</v>
      </c>
      <c r="D35" s="38" t="s">
        <v>46</v>
      </c>
      <c r="E35" s="39" t="s">
        <v>76</v>
      </c>
      <c r="F35" s="38" t="s">
        <v>96</v>
      </c>
      <c r="G35" s="39" t="s">
        <v>124</v>
      </c>
      <c r="H35" s="38" t="s">
        <v>134</v>
      </c>
      <c r="I35" s="36" t="s">
        <v>168</v>
      </c>
      <c r="J35" s="38" t="s">
        <v>162</v>
      </c>
      <c r="K35" s="38">
        <v>4</v>
      </c>
      <c r="L35" s="38">
        <f t="shared" ref="L35" si="15">K35*5</f>
        <v>20</v>
      </c>
      <c r="M35" s="59" t="s">
        <v>173</v>
      </c>
      <c r="N35" s="62">
        <v>0.1</v>
      </c>
      <c r="O35" s="63">
        <f t="shared" si="13"/>
        <v>2</v>
      </c>
      <c r="P35" s="38"/>
    </row>
    <row r="36" spans="1:16" ht="15.75" thickBot="1" x14ac:dyDescent="0.3">
      <c r="A36" s="1"/>
      <c r="B36" s="50">
        <f>ROW(B36) - ROW($B$9)</f>
        <v>27</v>
      </c>
      <c r="C36" s="56" t="s">
        <v>17</v>
      </c>
      <c r="D36" s="36" t="s">
        <v>189</v>
      </c>
      <c r="E36" s="37" t="s">
        <v>77</v>
      </c>
      <c r="F36" s="36" t="s">
        <v>96</v>
      </c>
      <c r="G36" s="37" t="s">
        <v>125</v>
      </c>
      <c r="H36" s="36" t="s">
        <v>134</v>
      </c>
      <c r="I36" s="36" t="s">
        <v>168</v>
      </c>
      <c r="J36" s="36" t="s">
        <v>163</v>
      </c>
      <c r="K36" s="36">
        <v>5</v>
      </c>
      <c r="L36" s="36">
        <f>K36*5</f>
        <v>25</v>
      </c>
      <c r="M36" s="59" t="s">
        <v>173</v>
      </c>
      <c r="N36" s="62">
        <v>0.1</v>
      </c>
      <c r="O36" s="63">
        <f t="shared" si="13"/>
        <v>2.5</v>
      </c>
      <c r="P36" s="36"/>
    </row>
    <row r="37" spans="1:16" ht="30.75" thickBot="1" x14ac:dyDescent="0.3">
      <c r="A37" s="1"/>
      <c r="B37" s="50">
        <f t="shared" si="0"/>
        <v>28</v>
      </c>
      <c r="C37" s="57" t="s">
        <v>18</v>
      </c>
      <c r="D37" s="38" t="s">
        <v>47</v>
      </c>
      <c r="E37" s="39" t="s">
        <v>78</v>
      </c>
      <c r="F37" s="38" t="s">
        <v>169</v>
      </c>
      <c r="G37" s="39" t="s">
        <v>97</v>
      </c>
      <c r="H37" s="38" t="s">
        <v>144</v>
      </c>
      <c r="I37" s="36" t="s">
        <v>168</v>
      </c>
      <c r="J37" s="38" t="s">
        <v>168</v>
      </c>
      <c r="K37" s="38">
        <v>1</v>
      </c>
      <c r="L37" s="38">
        <f t="shared" ref="L37" si="16">K37*5</f>
        <v>5</v>
      </c>
      <c r="M37" s="60" t="s">
        <v>181</v>
      </c>
      <c r="N37" s="62"/>
      <c r="O37" s="63">
        <f t="shared" si="13"/>
        <v>0</v>
      </c>
      <c r="P37" s="38"/>
    </row>
    <row r="38" spans="1:16" ht="24.75" thickBot="1" x14ac:dyDescent="0.3">
      <c r="A38" s="1"/>
      <c r="B38" s="50">
        <f>ROW(B38) - ROW($B$9)</f>
        <v>29</v>
      </c>
      <c r="C38" s="56" t="s">
        <v>18</v>
      </c>
      <c r="D38" s="36" t="s">
        <v>48</v>
      </c>
      <c r="E38" s="37" t="s">
        <v>79</v>
      </c>
      <c r="F38" s="36" t="s">
        <v>98</v>
      </c>
      <c r="G38" s="37" t="s">
        <v>126</v>
      </c>
      <c r="H38" s="36" t="s">
        <v>145</v>
      </c>
      <c r="I38" s="36" t="s">
        <v>168</v>
      </c>
      <c r="J38" s="36" t="s">
        <v>168</v>
      </c>
      <c r="K38" s="36">
        <v>1</v>
      </c>
      <c r="L38" s="36">
        <f>K38*5</f>
        <v>5</v>
      </c>
      <c r="M38" s="59" t="s">
        <v>173</v>
      </c>
      <c r="N38" s="61">
        <v>0.95</v>
      </c>
      <c r="O38" s="63">
        <f t="shared" si="13"/>
        <v>4.75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18</v>
      </c>
      <c r="D39" s="38" t="s">
        <v>49</v>
      </c>
      <c r="E39" s="39" t="s">
        <v>80</v>
      </c>
      <c r="F39" s="38" t="s">
        <v>99</v>
      </c>
      <c r="G39" s="39" t="s">
        <v>127</v>
      </c>
      <c r="H39" s="38" t="s">
        <v>146</v>
      </c>
      <c r="I39" s="36" t="s">
        <v>168</v>
      </c>
      <c r="J39" s="38"/>
      <c r="K39" s="38">
        <v>1</v>
      </c>
      <c r="L39" s="38">
        <f t="shared" ref="L39" si="17">K39*5</f>
        <v>5</v>
      </c>
      <c r="M39" s="59" t="s">
        <v>173</v>
      </c>
      <c r="N39" s="62"/>
      <c r="O39" s="63">
        <f t="shared" si="13"/>
        <v>0</v>
      </c>
      <c r="P39" s="38"/>
    </row>
    <row r="40" spans="1:16" ht="30.75" thickBot="1" x14ac:dyDescent="0.3">
      <c r="A40" s="1"/>
      <c r="B40" s="50">
        <f>ROW(B40) - ROW($B$9)</f>
        <v>31</v>
      </c>
      <c r="C40" s="56" t="s">
        <v>19</v>
      </c>
      <c r="D40" s="36" t="s">
        <v>50</v>
      </c>
      <c r="E40" s="37" t="s">
        <v>81</v>
      </c>
      <c r="F40" s="36" t="s">
        <v>100</v>
      </c>
      <c r="G40" s="37" t="s">
        <v>128</v>
      </c>
      <c r="H40" s="36" t="s">
        <v>147</v>
      </c>
      <c r="I40" s="36" t="s">
        <v>168</v>
      </c>
      <c r="J40" s="36" t="s">
        <v>168</v>
      </c>
      <c r="K40" s="36">
        <v>1</v>
      </c>
      <c r="L40" s="36">
        <f>K40*5</f>
        <v>5</v>
      </c>
      <c r="M40" s="60" t="s">
        <v>181</v>
      </c>
      <c r="N40" s="61"/>
      <c r="O40" s="63">
        <f t="shared" si="13"/>
        <v>0</v>
      </c>
      <c r="P40" s="36"/>
    </row>
    <row r="41" spans="1:16" ht="15.75" thickBot="1" x14ac:dyDescent="0.3">
      <c r="A41" s="1"/>
      <c r="B41" s="50">
        <f t="shared" si="0"/>
        <v>32</v>
      </c>
      <c r="C41" s="57" t="s">
        <v>18</v>
      </c>
      <c r="D41" s="38" t="s">
        <v>51</v>
      </c>
      <c r="E41" s="39" t="s">
        <v>82</v>
      </c>
      <c r="F41" s="38" t="s">
        <v>101</v>
      </c>
      <c r="G41" s="39" t="s">
        <v>129</v>
      </c>
      <c r="H41" s="38" t="s">
        <v>148</v>
      </c>
      <c r="I41" s="36" t="s">
        <v>168</v>
      </c>
      <c r="J41" s="38" t="s">
        <v>168</v>
      </c>
      <c r="K41" s="38">
        <v>1</v>
      </c>
      <c r="L41" s="38">
        <f t="shared" ref="L41:L42" si="18">K41*5</f>
        <v>5</v>
      </c>
      <c r="M41" s="59" t="s">
        <v>173</v>
      </c>
      <c r="N41" s="62">
        <v>1.08</v>
      </c>
      <c r="O41" s="63">
        <f t="shared" si="13"/>
        <v>5.4</v>
      </c>
      <c r="P41" s="38"/>
    </row>
    <row r="42" spans="1:16" x14ac:dyDescent="0.25">
      <c r="A42" s="1"/>
      <c r="B42" s="71">
        <f t="shared" si="0"/>
        <v>33</v>
      </c>
      <c r="C42" s="57" t="s">
        <v>178</v>
      </c>
      <c r="D42" s="38" t="s">
        <v>168</v>
      </c>
      <c r="E42" s="38" t="s">
        <v>168</v>
      </c>
      <c r="F42" s="38" t="s">
        <v>168</v>
      </c>
      <c r="G42" s="38" t="s">
        <v>179</v>
      </c>
      <c r="H42" s="38"/>
      <c r="I42" s="36" t="s">
        <v>168</v>
      </c>
      <c r="J42" s="38"/>
      <c r="K42" s="38">
        <v>1</v>
      </c>
      <c r="L42" s="38">
        <f t="shared" si="18"/>
        <v>5</v>
      </c>
      <c r="M42" s="59" t="s">
        <v>180</v>
      </c>
      <c r="N42" s="62">
        <v>0.8</v>
      </c>
      <c r="O42" s="63">
        <f t="shared" si="13"/>
        <v>4</v>
      </c>
      <c r="P42" s="38"/>
    </row>
    <row r="43" spans="1:16" ht="15.75" thickBot="1" x14ac:dyDescent="0.3">
      <c r="A43" s="1"/>
      <c r="B43" s="71">
        <f t="shared" si="0"/>
        <v>34</v>
      </c>
      <c r="C43" s="57" t="s">
        <v>178</v>
      </c>
      <c r="D43" s="64"/>
      <c r="E43" s="64"/>
      <c r="F43" s="64"/>
      <c r="G43" s="64"/>
      <c r="H43" s="64"/>
      <c r="I43" s="36" t="s">
        <v>168</v>
      </c>
      <c r="J43" s="64"/>
      <c r="K43" s="64"/>
      <c r="L43" s="64"/>
      <c r="M43" s="65"/>
      <c r="N43" s="66"/>
      <c r="O43" s="67"/>
      <c r="P43" s="68"/>
    </row>
    <row r="44" spans="1:16" ht="19.5" thickBot="1" x14ac:dyDescent="0.3">
      <c r="A44" s="1"/>
      <c r="B44" s="31"/>
      <c r="C44" s="48"/>
      <c r="D44" s="32"/>
      <c r="E44" s="33"/>
      <c r="F44" s="34"/>
      <c r="G44" s="35"/>
      <c r="H44" s="34"/>
      <c r="I44" s="35"/>
      <c r="J44" s="35"/>
      <c r="K44" s="35"/>
      <c r="L44" s="75" t="s">
        <v>176</v>
      </c>
      <c r="M44" s="76"/>
      <c r="N44" s="76"/>
      <c r="O44" s="69">
        <f>SUM(O10:O43)</f>
        <v>44.999999999999993</v>
      </c>
      <c r="P44" s="41"/>
    </row>
    <row r="45" spans="1:16" ht="19.5" thickBot="1" x14ac:dyDescent="0.3">
      <c r="A45" s="1"/>
      <c r="B45" s="24"/>
      <c r="C45" s="49"/>
      <c r="D45" s="8"/>
      <c r="E45" s="9"/>
      <c r="F45" s="9"/>
      <c r="G45" s="9"/>
      <c r="H45" s="9"/>
      <c r="I45" s="9"/>
      <c r="J45" s="9"/>
      <c r="K45" s="9"/>
      <c r="L45" s="75" t="s">
        <v>177</v>
      </c>
      <c r="M45" s="76"/>
      <c r="N45" s="76"/>
      <c r="O45" s="70">
        <f>O44/5</f>
        <v>8.9999999999999982</v>
      </c>
      <c r="P45" s="42"/>
    </row>
  </sheetData>
  <mergeCells count="4">
    <mergeCell ref="J1:P1"/>
    <mergeCell ref="P3:P8"/>
    <mergeCell ref="L44:N44"/>
    <mergeCell ref="L45:N45"/>
  </mergeCells>
  <hyperlinks>
    <hyperlink ref="M10" r:id="rId1"/>
    <hyperlink ref="M12" r:id="rId2"/>
    <hyperlink ref="M13" r:id="rId3"/>
    <hyperlink ref="M15" r:id="rId4"/>
    <hyperlink ref="M16" r:id="rId5"/>
    <hyperlink ref="M17" r:id="rId6"/>
    <hyperlink ref="M18" r:id="rId7"/>
    <hyperlink ref="M20" r:id="rId8"/>
    <hyperlink ref="M31" r:id="rId9"/>
    <hyperlink ref="M32" r:id="rId10"/>
    <hyperlink ref="M33" r:id="rId11"/>
    <hyperlink ref="M34" r:id="rId12"/>
    <hyperlink ref="M35" r:id="rId13"/>
    <hyperlink ref="M36" r:id="rId14"/>
    <hyperlink ref="M38" r:id="rId15"/>
    <hyperlink ref="M39" r:id="rId16"/>
    <hyperlink ref="M41" r:id="rId17"/>
    <hyperlink ref="M42" r:id="rId18"/>
    <hyperlink ref="M14" r:id="rId19"/>
  </hyperlinks>
  <pageMargins left="0.7" right="0.7" top="0.75" bottom="0.75" header="0.3" footer="0.3"/>
  <pageSetup paperSize="9" orientation="portrait" r:id="rId20"/>
  <drawing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2023-06-09T11:23:09Z</dcterms:modified>
</cp:coreProperties>
</file>