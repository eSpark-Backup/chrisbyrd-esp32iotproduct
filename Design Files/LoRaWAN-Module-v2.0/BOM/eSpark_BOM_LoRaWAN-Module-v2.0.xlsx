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oRaWAN-Module-v2.0\BOM\"/>
    </mc:Choice>
  </mc:AlternateContent>
  <bookViews>
    <workbookView xWindow="28680" yWindow="-120" windowWidth="29040" windowHeight="15840"/>
  </bookViews>
  <sheets>
    <sheet name="5 Boards" sheetId="1" r:id="rId1"/>
    <sheet name="20 Boards" sheetId="2" r:id="rId2"/>
    <sheet name="50 Boards" sheetId="3" r:id="rId3"/>
    <sheet name="100 Boards" sheetId="4" r:id="rId4"/>
    <sheet name="500 Boards" sheetId="5" r:id="rId5"/>
    <sheet name="1000 Boards" sheetId="6" r:id="rId6"/>
  </sheets>
  <calcPr calcId="162913"/>
</workbook>
</file>

<file path=xl/calcChain.xml><?xml version="1.0" encoding="utf-8"?>
<calcChain xmlns="http://schemas.openxmlformats.org/spreadsheetml/2006/main">
  <c r="Q18" i="6" l="1"/>
  <c r="M11" i="6"/>
  <c r="M12" i="6"/>
  <c r="M13" i="6"/>
  <c r="M14" i="6"/>
  <c r="M15" i="6"/>
  <c r="M16" i="6"/>
  <c r="M10" i="6"/>
  <c r="M11" i="5"/>
  <c r="M12" i="5"/>
  <c r="M13" i="5"/>
  <c r="M14" i="5"/>
  <c r="M15" i="5"/>
  <c r="M16" i="5"/>
  <c r="M10" i="5"/>
  <c r="M11" i="4"/>
  <c r="M12" i="4"/>
  <c r="M13" i="4"/>
  <c r="M14" i="4"/>
  <c r="M15" i="4"/>
  <c r="M16" i="4"/>
  <c r="M10" i="4"/>
  <c r="M11" i="3"/>
  <c r="M12" i="3"/>
  <c r="M13" i="3"/>
  <c r="M14" i="3"/>
  <c r="M15" i="3"/>
  <c r="M16" i="3"/>
  <c r="M10" i="3"/>
  <c r="M11" i="2"/>
  <c r="M12" i="2"/>
  <c r="M13" i="2"/>
  <c r="M14" i="2"/>
  <c r="M15" i="2"/>
  <c r="M16" i="2"/>
  <c r="M10" i="2"/>
  <c r="Q16" i="6" l="1"/>
  <c r="B16" i="6"/>
  <c r="Q15" i="6"/>
  <c r="B15" i="6"/>
  <c r="Q14" i="6"/>
  <c r="B14" i="6"/>
  <c r="Q13" i="6"/>
  <c r="B13" i="6"/>
  <c r="B12" i="6"/>
  <c r="Q11" i="6"/>
  <c r="B11" i="6"/>
  <c r="Q10" i="6"/>
  <c r="B10" i="6"/>
  <c r="Q16" i="5"/>
  <c r="B16" i="5"/>
  <c r="Q15" i="5"/>
  <c r="B15" i="5"/>
  <c r="Q14" i="5"/>
  <c r="B14" i="5"/>
  <c r="Q13" i="5"/>
  <c r="B13" i="5"/>
  <c r="B12" i="5"/>
  <c r="Q11" i="5"/>
  <c r="B11" i="5"/>
  <c r="Q10" i="5"/>
  <c r="B10" i="5"/>
  <c r="Q16" i="4"/>
  <c r="B16" i="4"/>
  <c r="Q15" i="4"/>
  <c r="B15" i="4"/>
  <c r="Q14" i="4"/>
  <c r="B14" i="4"/>
  <c r="Q13" i="4"/>
  <c r="B13" i="4"/>
  <c r="B12" i="4"/>
  <c r="Q11" i="4"/>
  <c r="B11" i="4"/>
  <c r="Q10" i="4"/>
  <c r="B10" i="4"/>
  <c r="Q16" i="3"/>
  <c r="B16" i="3"/>
  <c r="Q15" i="3"/>
  <c r="B15" i="3"/>
  <c r="Q14" i="3"/>
  <c r="B14" i="3"/>
  <c r="Q13" i="3"/>
  <c r="B13" i="3"/>
  <c r="B12" i="3"/>
  <c r="Q11" i="3"/>
  <c r="B11" i="3"/>
  <c r="Q10" i="3"/>
  <c r="B10" i="3"/>
  <c r="Q16" i="2"/>
  <c r="B16" i="2"/>
  <c r="Q15" i="2"/>
  <c r="B15" i="2"/>
  <c r="Q14" i="2"/>
  <c r="B14" i="2"/>
  <c r="Q13" i="2"/>
  <c r="B13" i="2"/>
  <c r="B12" i="2"/>
  <c r="Q11" i="2"/>
  <c r="B11" i="2"/>
  <c r="Q10" i="2"/>
  <c r="B10" i="2"/>
  <c r="Q17" i="6" l="1"/>
  <c r="Q17" i="5"/>
  <c r="Q18" i="5" s="1"/>
  <c r="Q17" i="4"/>
  <c r="Q18" i="4" s="1"/>
  <c r="Q17" i="3"/>
  <c r="Q18" i="3" s="1"/>
  <c r="Q17" i="2"/>
  <c r="Q18" i="2" s="1"/>
  <c r="Q16" i="1"/>
  <c r="M16" i="1"/>
  <c r="B16" i="1"/>
  <c r="Q15" i="1" l="1"/>
  <c r="M15" i="1"/>
  <c r="B15" i="1"/>
  <c r="Q14" i="1"/>
  <c r="M14" i="1"/>
  <c r="B14" i="1"/>
  <c r="Q13" i="1"/>
  <c r="Q17" i="1" s="1"/>
  <c r="M13" i="1"/>
  <c r="B13" i="1"/>
  <c r="M12" i="1"/>
  <c r="B12" i="1"/>
  <c r="Q18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<sst xmlns="http://schemas.openxmlformats.org/spreadsheetml/2006/main" count="606" uniqueCount="92">
  <si>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</si>
  <si>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</si>
  <si>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</si>
  <si>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</si>
  <si>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</si>
  <si>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</si>
  <si>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</si>
  <si>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</si>
  <si>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</si>
  <si>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</si>
  <si>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Resistor</t>
  </si>
  <si>
    <t>Module</t>
  </si>
  <si>
    <t>Designator</t>
  </si>
  <si>
    <t>C1</t>
  </si>
  <si>
    <t>C2</t>
  </si>
  <si>
    <t>J1</t>
  </si>
  <si>
    <t>J2</t>
  </si>
  <si>
    <t>U1</t>
  </si>
  <si>
    <t>Description</t>
  </si>
  <si>
    <t>CAP CER 1UF 25V X5R 0603</t>
  </si>
  <si>
    <t>CAP CER 0.1UF 50V X5R 0603</t>
  </si>
  <si>
    <t>PCI Express Mini Card (Mini PCIe)</t>
  </si>
  <si>
    <t>SMD,16x16mm LoRa Modules ROHS</t>
  </si>
  <si>
    <t>Footprint</t>
  </si>
  <si>
    <t>Cap-0603</t>
  </si>
  <si>
    <t>Mini PCIE Pad</t>
  </si>
  <si>
    <t>SX1276S8S+T-X1</t>
  </si>
  <si>
    <t>Manufacturer Part Number</t>
  </si>
  <si>
    <t>CC0603KRX5R8BB105</t>
  </si>
  <si>
    <t>CC0603KRX5R9BB104</t>
  </si>
  <si>
    <t>Manufacturer</t>
  </si>
  <si>
    <t>Yageo</t>
  </si>
  <si>
    <t>HJ Tech</t>
  </si>
  <si>
    <t>Vollgo</t>
  </si>
  <si>
    <t>LCSC Part Number</t>
  </si>
  <si>
    <t>C14664</t>
  </si>
  <si>
    <t>C718834</t>
  </si>
  <si>
    <t>1uF</t>
  </si>
  <si>
    <t>0.1uF</t>
  </si>
  <si>
    <t>Quantity</t>
  </si>
  <si>
    <t>Bill of Materials for Project [LoRaWAN-Module-v2.0.]</t>
  </si>
  <si>
    <t>LoRaWAN-Module-v2.0.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</si>
  <si>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</si>
  <si>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</si>
  <si>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</si>
  <si>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</si>
  <si>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</si>
  <si>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</si>
  <si>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</si>
  <si>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</si>
  <si>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</si>
  <si>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PCIE SMD PAD</t>
  </si>
  <si>
    <t>LCSC</t>
  </si>
  <si>
    <t>-</t>
  </si>
  <si>
    <t>CC0603KRX7R9BB104</t>
  </si>
  <si>
    <t>C14663</t>
  </si>
  <si>
    <t>Custom</t>
  </si>
  <si>
    <t>R1, R2</t>
  </si>
  <si>
    <t>RES SMD 0R, 1%, 0.1W, 0603</t>
  </si>
  <si>
    <t>Res-0603</t>
  </si>
  <si>
    <t>RC0603FR-070RL</t>
  </si>
  <si>
    <t>C100044</t>
  </si>
  <si>
    <t>0R</t>
  </si>
  <si>
    <t>Peripheral</t>
  </si>
  <si>
    <t>1.8 3dBi Vertical 50W - Antennas ROHS</t>
  </si>
  <si>
    <t>BW868JWX105-10KJ</t>
  </si>
  <si>
    <t>BAT WIRELESS</t>
  </si>
  <si>
    <t>C496578</t>
  </si>
  <si>
    <t>SMA Connector</t>
  </si>
  <si>
    <t>1 Inner bore SMA Board Edge Bend 11mm 5.35mm Plugin RF Connectors / Coaxial Connectors ROHS</t>
  </si>
  <si>
    <t>HJ-SMA175</t>
  </si>
  <si>
    <t>C1509213</t>
  </si>
  <si>
    <t>Quantity (20 Boards)</t>
  </si>
  <si>
    <t>MOQ (20 Boards)</t>
  </si>
  <si>
    <t>Unit Cost (20 Boards)</t>
  </si>
  <si>
    <t>Total Cost (20 Boards)</t>
  </si>
  <si>
    <t>Quantity (50 Boards)</t>
  </si>
  <si>
    <t>MOQ (50 Boards)</t>
  </si>
  <si>
    <t>Unit Cost (50 Boards)</t>
  </si>
  <si>
    <t>Total Cost (50 Boards)</t>
  </si>
  <si>
    <t>Quantity (100 Boards)</t>
  </si>
  <si>
    <t>MOQ (100 Boards)</t>
  </si>
  <si>
    <t>Unit Cost (100 Boards)</t>
  </si>
  <si>
    <t>Total Cost (100 Boards)</t>
  </si>
  <si>
    <t>Quantity (500 Boards)</t>
  </si>
  <si>
    <t>MOQ (500 Boards)</t>
  </si>
  <si>
    <t>Unit Cost (500 Boards)</t>
  </si>
  <si>
    <t>Total Cost (500 Boards)</t>
  </si>
  <si>
    <t>Quantity (1000 Boards)</t>
  </si>
  <si>
    <t>MOQ (1000 Boards)</t>
  </si>
  <si>
    <t>Unit Cost (1000 Boards)</t>
  </si>
  <si>
    <t>Total Cost (1000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</si>
</sst>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9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/>
    <xf numFmtId="0" fontId="11" fillId="4" borderId="16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4" borderId="17" xfId="0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165" fontId="23" fillId="2" borderId="16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2309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2309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2309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2309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2309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lcsc.com/product-detail/LoRa-Modules_Vollgo-SX1276S8S-T-X1_C718834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YAGEO-CC0603KRX7R9BB104_C1466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RF-Connectors-Coaxial-Connectors_HJ-Tech-HJ-SMA175_C1509213.html" TargetMode="External"/><Relationship Id="rId5" Type="http://schemas.openxmlformats.org/officeDocument/2006/relationships/hyperlink" Target="https://www.lcsc.com/product-detail/Antennas_BAT-WIRELESS-BW868JWX105-10KJ_C496578.html" TargetMode="External"/><Relationship Id="rId4" Type="http://schemas.openxmlformats.org/officeDocument/2006/relationships/hyperlink" Target="https://www.lcsc.com/product-detail/Chip-Resistor-Surface-Mount_YAGEO-RC0603FR-070RL_C100044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csc.com/product-detail/LoRa-Modules_Vollgo-SX1276S8S-T-X1_C718834.html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www.lcsc.com/product-detail/Multilayer-Ceramic-Capacitors-MLCC-SMD-SMT_YAGEO-CC0603KRX7R9BB104_C1466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RF-Connectors-Coaxial-Connectors_HJ-Tech-HJ-SMA175_C1509213.html" TargetMode="External"/><Relationship Id="rId5" Type="http://schemas.openxmlformats.org/officeDocument/2006/relationships/hyperlink" Target="https://www.lcsc.com/product-detail/Antennas_BAT-WIRELESS-BW868JWX105-10KJ_C496578.html" TargetMode="External"/><Relationship Id="rId4" Type="http://schemas.openxmlformats.org/officeDocument/2006/relationships/hyperlink" Target="https://www.lcsc.com/product-detail/Chip-Resistor-Surface-Mount_YAGEO-RC0603FR-070RL_C100044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csc.com/product-detail/LoRa-Modules_Vollgo-SX1276S8S-T-X1_C718834.html" TargetMode="External"/><Relationship Id="rId7" Type="http://schemas.openxmlformats.org/officeDocument/2006/relationships/drawing" Target="../drawings/drawing3.xml"/><Relationship Id="rId2" Type="http://schemas.openxmlformats.org/officeDocument/2006/relationships/hyperlink" Target="https://www.lcsc.com/product-detail/Multilayer-Ceramic-Capacitors-MLCC-SMD-SMT_YAGEO-CC0603KRX7R9BB104_C1466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RF-Connectors-Coaxial-Connectors_HJ-Tech-HJ-SMA175_C1509213.html" TargetMode="External"/><Relationship Id="rId5" Type="http://schemas.openxmlformats.org/officeDocument/2006/relationships/hyperlink" Target="https://www.lcsc.com/product-detail/Antennas_BAT-WIRELESS-BW868JWX105-10KJ_C496578.html" TargetMode="External"/><Relationship Id="rId4" Type="http://schemas.openxmlformats.org/officeDocument/2006/relationships/hyperlink" Target="https://www.lcsc.com/product-detail/Chip-Resistor-Surface-Mount_YAGEO-RC0603FR-070RL_C100044.html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csc.com/product-detail/LoRa-Modules_Vollgo-SX1276S8S-T-X1_C718834.html" TargetMode="External"/><Relationship Id="rId7" Type="http://schemas.openxmlformats.org/officeDocument/2006/relationships/drawing" Target="../drawings/drawing4.xml"/><Relationship Id="rId2" Type="http://schemas.openxmlformats.org/officeDocument/2006/relationships/hyperlink" Target="https://www.lcsc.com/product-detail/Multilayer-Ceramic-Capacitors-MLCC-SMD-SMT_YAGEO-CC0603KRX7R9BB104_C1466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RF-Connectors-Coaxial-Connectors_HJ-Tech-HJ-SMA175_C1509213.html" TargetMode="External"/><Relationship Id="rId5" Type="http://schemas.openxmlformats.org/officeDocument/2006/relationships/hyperlink" Target="https://www.lcsc.com/product-detail/Antennas_BAT-WIRELESS-BW868JWX105-10KJ_C496578.html" TargetMode="External"/><Relationship Id="rId4" Type="http://schemas.openxmlformats.org/officeDocument/2006/relationships/hyperlink" Target="https://www.lcsc.com/product-detail/Chip-Resistor-Surface-Mount_YAGEO-RC0603FR-070RL_C100044.html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csc.com/product-detail/LoRa-Modules_Vollgo-SX1276S8S-T-X1_C718834.html" TargetMode="External"/><Relationship Id="rId7" Type="http://schemas.openxmlformats.org/officeDocument/2006/relationships/drawing" Target="../drawings/drawing5.xml"/><Relationship Id="rId2" Type="http://schemas.openxmlformats.org/officeDocument/2006/relationships/hyperlink" Target="https://www.lcsc.com/product-detail/Multilayer-Ceramic-Capacitors-MLCC-SMD-SMT_YAGEO-CC0603KRX7R9BB104_C1466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RF-Connectors-Coaxial-Connectors_HJ-Tech-HJ-SMA175_C1509213.html" TargetMode="External"/><Relationship Id="rId5" Type="http://schemas.openxmlformats.org/officeDocument/2006/relationships/hyperlink" Target="https://www.lcsc.com/product-detail/Antennas_BAT-WIRELESS-BW868JWX105-10KJ_C496578.html" TargetMode="External"/><Relationship Id="rId4" Type="http://schemas.openxmlformats.org/officeDocument/2006/relationships/hyperlink" Target="https://www.lcsc.com/product-detail/Chip-Resistor-Surface-Mount_YAGEO-RC0603FR-070RL_C100044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csc.com/product-detail/LoRa-Modules_Vollgo-SX1276S8S-T-X1_C718834.html" TargetMode="External"/><Relationship Id="rId7" Type="http://schemas.openxmlformats.org/officeDocument/2006/relationships/drawing" Target="../drawings/drawing6.xml"/><Relationship Id="rId2" Type="http://schemas.openxmlformats.org/officeDocument/2006/relationships/hyperlink" Target="https://www.lcsc.com/product-detail/Multilayer-Ceramic-Capacitors-MLCC-SMD-SMT_YAGEO-CC0603KRX7R9BB104_C1466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RF-Connectors-Coaxial-Connectors_HJ-Tech-HJ-SMA175_C1509213.html" TargetMode="External"/><Relationship Id="rId5" Type="http://schemas.openxmlformats.org/officeDocument/2006/relationships/hyperlink" Target="https://www.lcsc.com/product-detail/Antennas_BAT-WIRELESS-BW868JWX105-10KJ_C496578.html" TargetMode="External"/><Relationship Id="rId4" Type="http://schemas.openxmlformats.org/officeDocument/2006/relationships/hyperlink" Target="https://www.lcsc.com/product-detail/Chip-Resistor-Surface-Mount_YAGEO-RC0603FR-070RL_C10004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8"/>
  <sheetViews>
    <sheetView tabSelected="1" topLeftCell="E1" workbookViewId="0">
      <selection activeCell="M29" sqref="M2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7"/>
      <c r="S1" s="6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9"/>
    </row>
    <row r="4" spans="1:19" x14ac:dyDescent="0.25">
      <c r="A4" s="1"/>
      <c r="B4" s="22"/>
      <c r="C4" s="32"/>
      <c r="D4" s="13" t="s">
        <v>2</v>
      </c>
      <c r="E4" s="13"/>
      <c r="F4" s="57" t="s">
        <v>41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0"/>
    </row>
    <row r="9" spans="1:19" ht="15.75" thickBot="1" x14ac:dyDescent="0.3">
      <c r="A9" s="1"/>
      <c r="B9" s="30" t="s">
        <v>4</v>
      </c>
      <c r="C9" s="30" t="s">
        <v>8</v>
      </c>
      <c r="D9" s="30" t="s">
        <v>12</v>
      </c>
      <c r="E9" s="30" t="s">
        <v>18</v>
      </c>
      <c r="F9" s="30" t="s">
        <v>23</v>
      </c>
      <c r="G9" s="30" t="s">
        <v>27</v>
      </c>
      <c r="H9" s="30" t="s">
        <v>30</v>
      </c>
      <c r="I9" s="30" t="s">
        <v>42</v>
      </c>
      <c r="J9" s="30" t="s">
        <v>34</v>
      </c>
      <c r="K9" s="30" t="s">
        <v>43</v>
      </c>
      <c r="L9" s="30" t="s">
        <v>39</v>
      </c>
      <c r="M9" s="30" t="s">
        <v>44</v>
      </c>
      <c r="N9" s="30" t="s">
        <v>45</v>
      </c>
      <c r="O9" s="30" t="s">
        <v>46</v>
      </c>
      <c r="P9" s="30" t="s">
        <v>47</v>
      </c>
      <c r="Q9" s="30" t="s">
        <v>48</v>
      </c>
      <c r="R9" s="30" t="s">
        <v>49</v>
      </c>
      <c r="S9" s="30" t="s">
        <v>50</v>
      </c>
    </row>
    <row r="10" spans="1:19" x14ac:dyDescent="0.25">
      <c r="A10" s="1"/>
      <c r="B10" s="46">
        <f>ROW(B10) - ROW($B$9)</f>
        <v>1</v>
      </c>
      <c r="C10" s="54" t="s">
        <v>9</v>
      </c>
      <c r="D10" s="37" t="s">
        <v>13</v>
      </c>
      <c r="E10" s="37" t="s">
        <v>19</v>
      </c>
      <c r="F10" s="37" t="s">
        <v>24</v>
      </c>
      <c r="G10" s="37" t="s">
        <v>28</v>
      </c>
      <c r="H10" s="37" t="s">
        <v>31</v>
      </c>
      <c r="I10" s="37" t="s">
        <v>53</v>
      </c>
      <c r="J10" s="37" t="s">
        <v>35</v>
      </c>
      <c r="K10" s="37" t="s">
        <v>37</v>
      </c>
      <c r="L10" s="37">
        <v>1</v>
      </c>
      <c r="M10" s="37">
        <f>L10*5</f>
        <v>5</v>
      </c>
      <c r="N10" s="51">
        <v>100</v>
      </c>
      <c r="O10" s="60" t="s">
        <v>52</v>
      </c>
      <c r="P10" s="52">
        <v>5.1999999999999998E-3</v>
      </c>
      <c r="Q10" s="38">
        <f>P10*N10</f>
        <v>0.52</v>
      </c>
      <c r="R10" s="37"/>
      <c r="S10" s="50"/>
    </row>
    <row r="11" spans="1:19" x14ac:dyDescent="0.25">
      <c r="A11" s="1"/>
      <c r="B11" s="47">
        <f t="shared" ref="B11:B16" si="0">ROW(B11) - ROW($B$9)</f>
        <v>2</v>
      </c>
      <c r="C11" s="54" t="s">
        <v>9</v>
      </c>
      <c r="D11" s="51" t="s">
        <v>14</v>
      </c>
      <c r="E11" s="51" t="s">
        <v>20</v>
      </c>
      <c r="F11" s="51" t="s">
        <v>24</v>
      </c>
      <c r="G11" s="61" t="s">
        <v>29</v>
      </c>
      <c r="H11" s="51" t="s">
        <v>31</v>
      </c>
      <c r="I11" s="51" t="s">
        <v>54</v>
      </c>
      <c r="J11" s="51" t="s">
        <v>55</v>
      </c>
      <c r="K11" s="51" t="s">
        <v>38</v>
      </c>
      <c r="L11" s="51">
        <v>1</v>
      </c>
      <c r="M11" s="51">
        <f t="shared" ref="M11" si="1">L11*5</f>
        <v>5</v>
      </c>
      <c r="N11" s="51">
        <v>100</v>
      </c>
      <c r="O11" s="60" t="s">
        <v>52</v>
      </c>
      <c r="P11" s="52">
        <v>2.3999999999999998E-3</v>
      </c>
      <c r="Q11" s="52">
        <f t="shared" ref="Q11" si="2">P11*N11</f>
        <v>0.24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51</v>
      </c>
      <c r="D12" s="61" t="s">
        <v>15</v>
      </c>
      <c r="E12" s="61" t="s">
        <v>21</v>
      </c>
      <c r="F12" s="61" t="s">
        <v>25</v>
      </c>
      <c r="G12" s="61" t="s">
        <v>53</v>
      </c>
      <c r="H12" s="61" t="s">
        <v>53</v>
      </c>
      <c r="I12" s="61" t="s">
        <v>53</v>
      </c>
      <c r="J12" s="61" t="s">
        <v>53</v>
      </c>
      <c r="K12" s="61" t="s">
        <v>53</v>
      </c>
      <c r="L12" s="61">
        <v>1</v>
      </c>
      <c r="M12" s="61">
        <f>L12*5</f>
        <v>5</v>
      </c>
      <c r="N12" s="61" t="s">
        <v>53</v>
      </c>
      <c r="O12" s="61" t="s">
        <v>53</v>
      </c>
      <c r="P12" s="62" t="s">
        <v>53</v>
      </c>
      <c r="Q12" s="62" t="s">
        <v>53</v>
      </c>
      <c r="R12" s="61"/>
      <c r="S12" s="59"/>
    </row>
    <row r="13" spans="1:19" ht="36" x14ac:dyDescent="0.25">
      <c r="A13" s="1"/>
      <c r="B13" s="47">
        <f t="shared" si="0"/>
        <v>4</v>
      </c>
      <c r="C13" s="54" t="s">
        <v>68</v>
      </c>
      <c r="D13" s="51" t="s">
        <v>16</v>
      </c>
      <c r="E13" s="51" t="s">
        <v>69</v>
      </c>
      <c r="F13" s="51" t="s">
        <v>70</v>
      </c>
      <c r="G13" s="51" t="s">
        <v>70</v>
      </c>
      <c r="H13" s="51" t="s">
        <v>32</v>
      </c>
      <c r="I13" s="51" t="s">
        <v>53</v>
      </c>
      <c r="J13" s="51" t="s">
        <v>71</v>
      </c>
      <c r="K13" s="51" t="s">
        <v>53</v>
      </c>
      <c r="L13" s="51">
        <v>1</v>
      </c>
      <c r="M13" s="51">
        <f t="shared" ref="M13" si="3">L13*5</f>
        <v>5</v>
      </c>
      <c r="N13" s="51">
        <v>6</v>
      </c>
      <c r="O13" s="63" t="s">
        <v>52</v>
      </c>
      <c r="P13" s="52">
        <v>0.81620000000000004</v>
      </c>
      <c r="Q13" s="52">
        <f t="shared" ref="Q13" si="4">P13*N13</f>
        <v>4.8971999999999998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10</v>
      </c>
      <c r="D14" s="37" t="s">
        <v>57</v>
      </c>
      <c r="E14" s="37" t="s">
        <v>58</v>
      </c>
      <c r="F14" s="37" t="s">
        <v>59</v>
      </c>
      <c r="G14" s="37" t="s">
        <v>60</v>
      </c>
      <c r="H14" s="37" t="s">
        <v>31</v>
      </c>
      <c r="I14" s="37" t="s">
        <v>53</v>
      </c>
      <c r="J14" s="37" t="s">
        <v>61</v>
      </c>
      <c r="K14" s="37" t="s">
        <v>62</v>
      </c>
      <c r="L14" s="37">
        <v>2</v>
      </c>
      <c r="M14" s="37">
        <f>L14*5</f>
        <v>10</v>
      </c>
      <c r="N14" s="37">
        <v>100</v>
      </c>
      <c r="O14" s="63" t="s">
        <v>52</v>
      </c>
      <c r="P14" s="38">
        <v>1.2999999999999999E-3</v>
      </c>
      <c r="Q14" s="38">
        <f>P14*N14</f>
        <v>0.13</v>
      </c>
      <c r="R14" s="37"/>
      <c r="S14" s="59"/>
    </row>
    <row r="15" spans="1:19" ht="15.75" thickBot="1" x14ac:dyDescent="0.3">
      <c r="A15" s="1"/>
      <c r="B15" s="47">
        <f t="shared" si="0"/>
        <v>6</v>
      </c>
      <c r="C15" s="54" t="s">
        <v>11</v>
      </c>
      <c r="D15" s="51" t="s">
        <v>17</v>
      </c>
      <c r="E15" s="51" t="s">
        <v>22</v>
      </c>
      <c r="F15" s="51" t="s">
        <v>56</v>
      </c>
      <c r="G15" s="51" t="s">
        <v>26</v>
      </c>
      <c r="H15" s="51" t="s">
        <v>33</v>
      </c>
      <c r="I15" s="51" t="s">
        <v>53</v>
      </c>
      <c r="J15" s="51" t="s">
        <v>36</v>
      </c>
      <c r="K15" s="51" t="s">
        <v>53</v>
      </c>
      <c r="L15" s="51">
        <v>1</v>
      </c>
      <c r="M15" s="51">
        <f t="shared" ref="M15:M16" si="5">L15*5</f>
        <v>5</v>
      </c>
      <c r="N15" s="51">
        <v>6</v>
      </c>
      <c r="O15" s="60" t="s">
        <v>52</v>
      </c>
      <c r="P15" s="52">
        <v>4.2380000000000004</v>
      </c>
      <c r="Q15" s="52">
        <f t="shared" ref="Q15:Q16" si="6">P15*N15</f>
        <v>25.428000000000004</v>
      </c>
      <c r="R15" s="51"/>
      <c r="S15" s="39"/>
    </row>
    <row r="16" spans="1:19" s="85" customFormat="1" ht="15.75" thickBot="1" x14ac:dyDescent="0.3">
      <c r="A16" s="77"/>
      <c r="B16" s="86">
        <f t="shared" si="0"/>
        <v>7</v>
      </c>
      <c r="C16" s="79" t="s">
        <v>63</v>
      </c>
      <c r="D16" s="81" t="s">
        <v>53</v>
      </c>
      <c r="E16" s="81" t="s">
        <v>64</v>
      </c>
      <c r="F16" s="81" t="s">
        <v>53</v>
      </c>
      <c r="G16" s="81" t="s">
        <v>65</v>
      </c>
      <c r="H16" s="81" t="s">
        <v>66</v>
      </c>
      <c r="I16" s="81" t="s">
        <v>53</v>
      </c>
      <c r="J16" s="81" t="s">
        <v>67</v>
      </c>
      <c r="K16" s="81" t="s">
        <v>53</v>
      </c>
      <c r="L16" s="81">
        <v>1</v>
      </c>
      <c r="M16" s="81">
        <f t="shared" si="5"/>
        <v>5</v>
      </c>
      <c r="N16" s="81">
        <v>5</v>
      </c>
      <c r="O16" s="82" t="s">
        <v>52</v>
      </c>
      <c r="P16" s="83">
        <v>1.0126999999999999</v>
      </c>
      <c r="Q16" s="83">
        <f t="shared" si="6"/>
        <v>5.0634999999999994</v>
      </c>
      <c r="R16" s="81"/>
      <c r="S16" s="92"/>
    </row>
    <row r="17" spans="1:19" ht="19.5" thickBot="1" x14ac:dyDescent="0.3">
      <c r="A17" s="1"/>
      <c r="B17" s="40"/>
      <c r="C17" s="41"/>
      <c r="D17" s="42"/>
      <c r="E17" s="43"/>
      <c r="F17" s="44"/>
      <c r="G17" s="45"/>
      <c r="H17" s="44"/>
      <c r="I17" s="45"/>
      <c r="J17" s="44"/>
      <c r="K17" s="45"/>
      <c r="L17" s="45"/>
      <c r="M17" s="45"/>
      <c r="N17" s="75" t="s">
        <v>5</v>
      </c>
      <c r="O17" s="76"/>
      <c r="P17" s="76"/>
      <c r="Q17" s="48">
        <f>SUM(Q10:Q16)</f>
        <v>36.278700000000001</v>
      </c>
      <c r="R17" s="71"/>
      <c r="S17" s="72"/>
    </row>
    <row r="18" spans="1:19" ht="19.5" thickBot="1" x14ac:dyDescent="0.3">
      <c r="A18" s="1"/>
      <c r="B18" s="25"/>
      <c r="C18" s="36"/>
      <c r="D18" s="9"/>
      <c r="E18" s="10"/>
      <c r="F18" s="10"/>
      <c r="G18" s="10"/>
      <c r="H18" s="10"/>
      <c r="I18" s="10"/>
      <c r="J18" s="10"/>
      <c r="K18" s="10"/>
      <c r="L18" s="10"/>
      <c r="M18" s="10"/>
      <c r="N18" s="75" t="s">
        <v>6</v>
      </c>
      <c r="O18" s="76"/>
      <c r="P18" s="76"/>
      <c r="Q18" s="49">
        <f>Q17/5</f>
        <v>7.2557400000000003</v>
      </c>
      <c r="R18" s="73"/>
      <c r="S18" s="74"/>
    </row>
  </sheetData>
  <mergeCells count="5">
    <mergeCell ref="K1:S1"/>
    <mergeCell ref="S3:S8"/>
    <mergeCell ref="R17:S18"/>
    <mergeCell ref="N17:P17"/>
    <mergeCell ref="N18:P18"/>
  </mergeCells>
  <hyperlinks>
    <hyperlink ref="O10" r:id="rId1"/>
    <hyperlink ref="O11" r:id="rId2"/>
    <hyperlink ref="O15" r:id="rId3"/>
    <hyperlink ref="O14" r:id="rId4"/>
    <hyperlink ref="O16" r:id="rId5"/>
    <hyperlink ref="O13" r:id="rId6"/>
  </hyperlinks>
  <pageMargins left="0.7" right="0.7" top="0.75" bottom="0.75" header="0.3" footer="0.3"/>
  <pageSetup paperSize="9" orientation="portrait" r:id="rId7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8"/>
  <sheetViews>
    <sheetView topLeftCell="B1" workbookViewId="0">
      <selection activeCell="O13" sqref="O13:P13"/>
    </sheetView>
  </sheetViews>
  <sheetFormatPr defaultRowHeight="15" x14ac:dyDescent="0.25"/>
  <cols>
    <col min="2" max="2" width="2" bestFit="1" customWidth="1"/>
    <col min="3" max="3" width="9.85546875" bestFit="1" customWidth="1"/>
    <col min="4" max="4" width="31.140625" bestFit="1" customWidth="1"/>
    <col min="5" max="5" width="24.7109375" customWidth="1"/>
    <col min="6" max="6" width="12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5.425781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7"/>
      <c r="S1" s="6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9"/>
    </row>
    <row r="4" spans="1:19" x14ac:dyDescent="0.25">
      <c r="A4" s="1"/>
      <c r="B4" s="22"/>
      <c r="C4" s="32"/>
      <c r="D4" s="13" t="s">
        <v>2</v>
      </c>
      <c r="E4" s="13"/>
      <c r="F4" s="57" t="s">
        <v>41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0"/>
    </row>
    <row r="9" spans="1:19" ht="15.75" thickBot="1" x14ac:dyDescent="0.3">
      <c r="A9" s="1"/>
      <c r="B9" s="30" t="s">
        <v>4</v>
      </c>
      <c r="C9" s="30" t="s">
        <v>8</v>
      </c>
      <c r="D9" s="30" t="s">
        <v>12</v>
      </c>
      <c r="E9" s="30" t="s">
        <v>18</v>
      </c>
      <c r="F9" s="30" t="s">
        <v>23</v>
      </c>
      <c r="G9" s="30" t="s">
        <v>27</v>
      </c>
      <c r="H9" s="30" t="s">
        <v>30</v>
      </c>
      <c r="I9" s="30" t="s">
        <v>42</v>
      </c>
      <c r="J9" s="30" t="s">
        <v>34</v>
      </c>
      <c r="K9" s="30" t="s">
        <v>43</v>
      </c>
      <c r="L9" s="30" t="s">
        <v>39</v>
      </c>
      <c r="M9" s="30" t="s">
        <v>72</v>
      </c>
      <c r="N9" s="30" t="s">
        <v>73</v>
      </c>
      <c r="O9" s="30" t="s">
        <v>46</v>
      </c>
      <c r="P9" s="30" t="s">
        <v>74</v>
      </c>
      <c r="Q9" s="30" t="s">
        <v>75</v>
      </c>
      <c r="R9" s="30" t="s">
        <v>49</v>
      </c>
      <c r="S9" s="30" t="s">
        <v>50</v>
      </c>
    </row>
    <row r="10" spans="1:19" s="66" customFormat="1" x14ac:dyDescent="0.25">
      <c r="A10" s="64"/>
      <c r="B10" s="46">
        <f>ROW(B10) - ROW($B$9)</f>
        <v>1</v>
      </c>
      <c r="C10" s="54" t="s">
        <v>9</v>
      </c>
      <c r="D10" s="37" t="s">
        <v>13</v>
      </c>
      <c r="E10" s="37" t="s">
        <v>19</v>
      </c>
      <c r="F10" s="37" t="s">
        <v>24</v>
      </c>
      <c r="G10" s="37" t="s">
        <v>28</v>
      </c>
      <c r="H10" s="37" t="s">
        <v>31</v>
      </c>
      <c r="I10" s="37" t="s">
        <v>53</v>
      </c>
      <c r="J10" s="37" t="s">
        <v>35</v>
      </c>
      <c r="K10" s="37" t="s">
        <v>37</v>
      </c>
      <c r="L10" s="37">
        <v>1</v>
      </c>
      <c r="M10" s="37">
        <f>L10*20</f>
        <v>20</v>
      </c>
      <c r="N10" s="51">
        <v>100</v>
      </c>
      <c r="O10" s="60" t="s">
        <v>52</v>
      </c>
      <c r="P10" s="52">
        <v>5.1999999999999998E-3</v>
      </c>
      <c r="Q10" s="38">
        <f>P10*N10</f>
        <v>0.52</v>
      </c>
      <c r="R10" s="37"/>
      <c r="S10" s="65"/>
    </row>
    <row r="11" spans="1:19" s="66" customFormat="1" x14ac:dyDescent="0.25">
      <c r="A11" s="64"/>
      <c r="B11" s="47">
        <f t="shared" ref="B11:B16" si="0">ROW(B11) - ROW($B$9)</f>
        <v>2</v>
      </c>
      <c r="C11" s="54" t="s">
        <v>9</v>
      </c>
      <c r="D11" s="51" t="s">
        <v>14</v>
      </c>
      <c r="E11" s="51" t="s">
        <v>20</v>
      </c>
      <c r="F11" s="51" t="s">
        <v>24</v>
      </c>
      <c r="G11" s="61" t="s">
        <v>29</v>
      </c>
      <c r="H11" s="51" t="s">
        <v>31</v>
      </c>
      <c r="I11" s="51" t="s">
        <v>54</v>
      </c>
      <c r="J11" s="51" t="s">
        <v>55</v>
      </c>
      <c r="K11" s="51" t="s">
        <v>38</v>
      </c>
      <c r="L11" s="51">
        <v>1</v>
      </c>
      <c r="M11" s="37">
        <f t="shared" ref="M11:M16" si="1">L11*20</f>
        <v>20</v>
      </c>
      <c r="N11" s="51">
        <v>100</v>
      </c>
      <c r="O11" s="60" t="s">
        <v>52</v>
      </c>
      <c r="P11" s="52">
        <v>2.3999999999999998E-3</v>
      </c>
      <c r="Q11" s="52">
        <f t="shared" ref="Q11" si="2">P11*N11</f>
        <v>0.24</v>
      </c>
      <c r="R11" s="51"/>
      <c r="S11" s="51"/>
    </row>
    <row r="12" spans="1:19" s="66" customFormat="1" ht="25.5" x14ac:dyDescent="0.25">
      <c r="A12" s="64"/>
      <c r="B12" s="46">
        <f>ROW(B12) - ROW($B$9)</f>
        <v>3</v>
      </c>
      <c r="C12" s="53" t="s">
        <v>51</v>
      </c>
      <c r="D12" s="61" t="s">
        <v>15</v>
      </c>
      <c r="E12" s="61" t="s">
        <v>21</v>
      </c>
      <c r="F12" s="61" t="s">
        <v>25</v>
      </c>
      <c r="G12" s="61" t="s">
        <v>53</v>
      </c>
      <c r="H12" s="61" t="s">
        <v>53</v>
      </c>
      <c r="I12" s="61" t="s">
        <v>53</v>
      </c>
      <c r="J12" s="61" t="s">
        <v>53</v>
      </c>
      <c r="K12" s="61" t="s">
        <v>53</v>
      </c>
      <c r="L12" s="61">
        <v>1</v>
      </c>
      <c r="M12" s="61">
        <f t="shared" si="1"/>
        <v>20</v>
      </c>
      <c r="N12" s="61" t="s">
        <v>53</v>
      </c>
      <c r="O12" s="61" t="s">
        <v>53</v>
      </c>
      <c r="P12" s="62" t="s">
        <v>53</v>
      </c>
      <c r="Q12" s="62" t="s">
        <v>53</v>
      </c>
      <c r="R12" s="61"/>
      <c r="S12" s="59"/>
    </row>
    <row r="13" spans="1:19" s="66" customFormat="1" ht="48" x14ac:dyDescent="0.25">
      <c r="A13" s="64"/>
      <c r="B13" s="47">
        <f t="shared" si="0"/>
        <v>4</v>
      </c>
      <c r="C13" s="54" t="s">
        <v>68</v>
      </c>
      <c r="D13" s="51" t="s">
        <v>16</v>
      </c>
      <c r="E13" s="51" t="s">
        <v>69</v>
      </c>
      <c r="F13" s="51" t="s">
        <v>70</v>
      </c>
      <c r="G13" s="51" t="s">
        <v>70</v>
      </c>
      <c r="H13" s="51" t="s">
        <v>32</v>
      </c>
      <c r="I13" s="51" t="s">
        <v>53</v>
      </c>
      <c r="J13" s="51" t="s">
        <v>71</v>
      </c>
      <c r="K13" s="51" t="s">
        <v>53</v>
      </c>
      <c r="L13" s="51">
        <v>1</v>
      </c>
      <c r="M13" s="37">
        <f t="shared" si="1"/>
        <v>20</v>
      </c>
      <c r="N13" s="51">
        <v>21</v>
      </c>
      <c r="O13" s="63" t="s">
        <v>52</v>
      </c>
      <c r="P13" s="52">
        <v>0.66659999999999997</v>
      </c>
      <c r="Q13" s="52">
        <f t="shared" ref="Q13" si="3">P13*N13</f>
        <v>13.9986</v>
      </c>
      <c r="R13" s="51"/>
      <c r="S13" s="59"/>
    </row>
    <row r="14" spans="1:19" s="66" customFormat="1" x14ac:dyDescent="0.25">
      <c r="A14" s="64"/>
      <c r="B14" s="46">
        <f>ROW(B14) - ROW($B$9)</f>
        <v>5</v>
      </c>
      <c r="C14" s="53" t="s">
        <v>10</v>
      </c>
      <c r="D14" s="37" t="s">
        <v>57</v>
      </c>
      <c r="E14" s="37" t="s">
        <v>58</v>
      </c>
      <c r="F14" s="37" t="s">
        <v>59</v>
      </c>
      <c r="G14" s="37" t="s">
        <v>60</v>
      </c>
      <c r="H14" s="37" t="s">
        <v>31</v>
      </c>
      <c r="I14" s="37" t="s">
        <v>53</v>
      </c>
      <c r="J14" s="37" t="s">
        <v>61</v>
      </c>
      <c r="K14" s="37" t="s">
        <v>62</v>
      </c>
      <c r="L14" s="37">
        <v>2</v>
      </c>
      <c r="M14" s="37">
        <f t="shared" si="1"/>
        <v>40</v>
      </c>
      <c r="N14" s="37">
        <v>100</v>
      </c>
      <c r="O14" s="63" t="s">
        <v>52</v>
      </c>
      <c r="P14" s="38">
        <v>1.2999999999999999E-3</v>
      </c>
      <c r="Q14" s="38">
        <f>P14*N14</f>
        <v>0.13</v>
      </c>
      <c r="R14" s="37"/>
      <c r="S14" s="59"/>
    </row>
    <row r="15" spans="1:19" s="66" customFormat="1" ht="24.75" thickBot="1" x14ac:dyDescent="0.3">
      <c r="A15" s="64"/>
      <c r="B15" s="47">
        <f t="shared" si="0"/>
        <v>6</v>
      </c>
      <c r="C15" s="54" t="s">
        <v>11</v>
      </c>
      <c r="D15" s="51" t="s">
        <v>17</v>
      </c>
      <c r="E15" s="51" t="s">
        <v>22</v>
      </c>
      <c r="F15" s="51" t="s">
        <v>56</v>
      </c>
      <c r="G15" s="51" t="s">
        <v>26</v>
      </c>
      <c r="H15" s="51" t="s">
        <v>33</v>
      </c>
      <c r="I15" s="51" t="s">
        <v>53</v>
      </c>
      <c r="J15" s="51" t="s">
        <v>36</v>
      </c>
      <c r="K15" s="51" t="s">
        <v>53</v>
      </c>
      <c r="L15" s="51">
        <v>1</v>
      </c>
      <c r="M15" s="37">
        <f t="shared" si="1"/>
        <v>20</v>
      </c>
      <c r="N15" s="51">
        <v>21</v>
      </c>
      <c r="O15" s="60" t="s">
        <v>52</v>
      </c>
      <c r="P15" s="52">
        <v>4.4610000000000003</v>
      </c>
      <c r="Q15" s="52">
        <f t="shared" ref="Q15:Q16" si="4">P15*N15</f>
        <v>93.681000000000012</v>
      </c>
      <c r="R15" s="51"/>
      <c r="S15" s="39"/>
    </row>
    <row r="16" spans="1:19" s="66" customFormat="1" ht="24.75" thickBot="1" x14ac:dyDescent="0.3">
      <c r="A16" s="64"/>
      <c r="B16" s="47">
        <f t="shared" si="0"/>
        <v>7</v>
      </c>
      <c r="C16" s="54" t="s">
        <v>63</v>
      </c>
      <c r="D16" s="51" t="s">
        <v>53</v>
      </c>
      <c r="E16" s="51" t="s">
        <v>64</v>
      </c>
      <c r="F16" s="51" t="s">
        <v>53</v>
      </c>
      <c r="G16" s="51" t="s">
        <v>65</v>
      </c>
      <c r="H16" s="51" t="s">
        <v>66</v>
      </c>
      <c r="I16" s="51" t="s">
        <v>53</v>
      </c>
      <c r="J16" s="51" t="s">
        <v>67</v>
      </c>
      <c r="K16" s="51" t="s">
        <v>53</v>
      </c>
      <c r="L16" s="51">
        <v>1</v>
      </c>
      <c r="M16" s="37">
        <f t="shared" si="1"/>
        <v>20</v>
      </c>
      <c r="N16" s="51">
        <v>20</v>
      </c>
      <c r="O16" s="60" t="s">
        <v>52</v>
      </c>
      <c r="P16" s="52">
        <v>0.85399999999999998</v>
      </c>
      <c r="Q16" s="52">
        <f t="shared" si="4"/>
        <v>17.079999999999998</v>
      </c>
      <c r="R16" s="51"/>
      <c r="S16" s="39"/>
    </row>
    <row r="17" spans="1:19" ht="19.5" thickBot="1" x14ac:dyDescent="0.3">
      <c r="A17" s="1"/>
      <c r="B17" s="40"/>
      <c r="C17" s="41"/>
      <c r="D17" s="42"/>
      <c r="E17" s="43"/>
      <c r="F17" s="44"/>
      <c r="G17" s="45"/>
      <c r="H17" s="44"/>
      <c r="I17" s="45"/>
      <c r="J17" s="44"/>
      <c r="K17" s="45"/>
      <c r="L17" s="45"/>
      <c r="M17" s="45"/>
      <c r="N17" s="75" t="s">
        <v>5</v>
      </c>
      <c r="O17" s="76"/>
      <c r="P17" s="76"/>
      <c r="Q17" s="48">
        <f>SUM(Q10:Q16)</f>
        <v>125.64960000000001</v>
      </c>
      <c r="R17" s="71"/>
      <c r="S17" s="72"/>
    </row>
    <row r="18" spans="1:19" ht="19.5" thickBot="1" x14ac:dyDescent="0.3">
      <c r="A18" s="1"/>
      <c r="B18" s="25"/>
      <c r="C18" s="36"/>
      <c r="D18" s="9"/>
      <c r="E18" s="10"/>
      <c r="F18" s="10"/>
      <c r="G18" s="10"/>
      <c r="H18" s="10"/>
      <c r="I18" s="10"/>
      <c r="J18" s="10"/>
      <c r="K18" s="10"/>
      <c r="L18" s="10"/>
      <c r="M18" s="10"/>
      <c r="N18" s="75" t="s">
        <v>6</v>
      </c>
      <c r="O18" s="76"/>
      <c r="P18" s="76"/>
      <c r="Q18" s="49">
        <f>Q17/20</f>
        <v>6.2824800000000005</v>
      </c>
      <c r="R18" s="73"/>
      <c r="S18" s="74"/>
    </row>
  </sheetData>
  <mergeCells count="5">
    <mergeCell ref="K1:S1"/>
    <mergeCell ref="S3:S8"/>
    <mergeCell ref="N17:P17"/>
    <mergeCell ref="R17:S18"/>
    <mergeCell ref="N18:P18"/>
  </mergeCells>
  <hyperlinks>
    <hyperlink ref="O10" r:id="rId1"/>
    <hyperlink ref="O11" r:id="rId2"/>
    <hyperlink ref="O15" r:id="rId3"/>
    <hyperlink ref="O14" r:id="rId4"/>
    <hyperlink ref="O16" r:id="rId5"/>
    <hyperlink ref="O13" r:id="rId6"/>
  </hyperlinks>
  <pageMargins left="0.7" right="0.7" top="0.75" bottom="0.75" header="0.3" footer="0.3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8"/>
  <sheetViews>
    <sheetView topLeftCell="E1" workbookViewId="0">
      <selection activeCell="N17" sqref="N17:P17"/>
    </sheetView>
  </sheetViews>
  <sheetFormatPr defaultRowHeight="15" x14ac:dyDescent="0.25"/>
  <cols>
    <col min="2" max="2" width="2" bestFit="1" customWidth="1"/>
    <col min="3" max="3" width="9.85546875" bestFit="1" customWidth="1"/>
    <col min="4" max="4" width="31.140625" bestFit="1" customWidth="1"/>
    <col min="5" max="5" width="26.7109375" customWidth="1"/>
    <col min="6" max="6" width="13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5.42578125" bestFit="1" customWidth="1"/>
    <col min="16" max="16" width="19.7109375" bestFit="1" customWidth="1"/>
    <col min="17" max="17" width="20.285156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7"/>
      <c r="S1" s="6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9"/>
    </row>
    <row r="4" spans="1:19" x14ac:dyDescent="0.25">
      <c r="A4" s="1"/>
      <c r="B4" s="22"/>
      <c r="C4" s="32"/>
      <c r="D4" s="13" t="s">
        <v>2</v>
      </c>
      <c r="E4" s="13"/>
      <c r="F4" s="57" t="s">
        <v>41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0"/>
    </row>
    <row r="9" spans="1:19" ht="15.75" thickBot="1" x14ac:dyDescent="0.3">
      <c r="A9" s="1"/>
      <c r="B9" s="30" t="s">
        <v>4</v>
      </c>
      <c r="C9" s="30" t="s">
        <v>8</v>
      </c>
      <c r="D9" s="30" t="s">
        <v>12</v>
      </c>
      <c r="E9" s="30" t="s">
        <v>18</v>
      </c>
      <c r="F9" s="30" t="s">
        <v>23</v>
      </c>
      <c r="G9" s="30" t="s">
        <v>27</v>
      </c>
      <c r="H9" s="30" t="s">
        <v>30</v>
      </c>
      <c r="I9" s="30" t="s">
        <v>42</v>
      </c>
      <c r="J9" s="30" t="s">
        <v>34</v>
      </c>
      <c r="K9" s="30" t="s">
        <v>43</v>
      </c>
      <c r="L9" s="30" t="s">
        <v>39</v>
      </c>
      <c r="M9" s="30" t="s">
        <v>76</v>
      </c>
      <c r="N9" s="30" t="s">
        <v>77</v>
      </c>
      <c r="O9" s="30" t="s">
        <v>46</v>
      </c>
      <c r="P9" s="30" t="s">
        <v>78</v>
      </c>
      <c r="Q9" s="30" t="s">
        <v>79</v>
      </c>
      <c r="R9" s="30" t="s">
        <v>49</v>
      </c>
      <c r="S9" s="30" t="s">
        <v>50</v>
      </c>
    </row>
    <row r="10" spans="1:19" s="66" customFormat="1" x14ac:dyDescent="0.25">
      <c r="A10" s="64"/>
      <c r="B10" s="46">
        <f>ROW(B10) - ROW($B$9)</f>
        <v>1</v>
      </c>
      <c r="C10" s="54" t="s">
        <v>9</v>
      </c>
      <c r="D10" s="37" t="s">
        <v>13</v>
      </c>
      <c r="E10" s="37" t="s">
        <v>19</v>
      </c>
      <c r="F10" s="37" t="s">
        <v>24</v>
      </c>
      <c r="G10" s="37" t="s">
        <v>28</v>
      </c>
      <c r="H10" s="37" t="s">
        <v>31</v>
      </c>
      <c r="I10" s="37" t="s">
        <v>53</v>
      </c>
      <c r="J10" s="37" t="s">
        <v>35</v>
      </c>
      <c r="K10" s="37" t="s">
        <v>37</v>
      </c>
      <c r="L10" s="37">
        <v>1</v>
      </c>
      <c r="M10" s="37">
        <f>L10*50</f>
        <v>50</v>
      </c>
      <c r="N10" s="51">
        <v>100</v>
      </c>
      <c r="O10" s="60" t="s">
        <v>52</v>
      </c>
      <c r="P10" s="52">
        <v>5.1999999999999998E-3</v>
      </c>
      <c r="Q10" s="38">
        <f>P10*N10</f>
        <v>0.52</v>
      </c>
      <c r="R10" s="37"/>
      <c r="S10" s="65"/>
    </row>
    <row r="11" spans="1:19" s="66" customFormat="1" x14ac:dyDescent="0.25">
      <c r="A11" s="64"/>
      <c r="B11" s="47">
        <f t="shared" ref="B11:B16" si="0">ROW(B11) - ROW($B$9)</f>
        <v>2</v>
      </c>
      <c r="C11" s="54" t="s">
        <v>9</v>
      </c>
      <c r="D11" s="51" t="s">
        <v>14</v>
      </c>
      <c r="E11" s="51" t="s">
        <v>20</v>
      </c>
      <c r="F11" s="51" t="s">
        <v>24</v>
      </c>
      <c r="G11" s="61" t="s">
        <v>29</v>
      </c>
      <c r="H11" s="51" t="s">
        <v>31</v>
      </c>
      <c r="I11" s="51" t="s">
        <v>54</v>
      </c>
      <c r="J11" s="51" t="s">
        <v>55</v>
      </c>
      <c r="K11" s="51" t="s">
        <v>38</v>
      </c>
      <c r="L11" s="51">
        <v>1</v>
      </c>
      <c r="M11" s="37">
        <f t="shared" ref="M11:M16" si="1">L11*50</f>
        <v>50</v>
      </c>
      <c r="N11" s="51">
        <v>100</v>
      </c>
      <c r="O11" s="60" t="s">
        <v>52</v>
      </c>
      <c r="P11" s="52">
        <v>2.3999999999999998E-3</v>
      </c>
      <c r="Q11" s="52">
        <f t="shared" ref="Q11" si="2">P11*N11</f>
        <v>0.24</v>
      </c>
      <c r="R11" s="51"/>
      <c r="S11" s="51"/>
    </row>
    <row r="12" spans="1:19" s="66" customFormat="1" ht="25.5" x14ac:dyDescent="0.25">
      <c r="A12" s="64"/>
      <c r="B12" s="46">
        <f>ROW(B12) - ROW($B$9)</f>
        <v>3</v>
      </c>
      <c r="C12" s="53" t="s">
        <v>51</v>
      </c>
      <c r="D12" s="61" t="s">
        <v>15</v>
      </c>
      <c r="E12" s="61" t="s">
        <v>21</v>
      </c>
      <c r="F12" s="61" t="s">
        <v>25</v>
      </c>
      <c r="G12" s="61" t="s">
        <v>53</v>
      </c>
      <c r="H12" s="61" t="s">
        <v>53</v>
      </c>
      <c r="I12" s="61" t="s">
        <v>53</v>
      </c>
      <c r="J12" s="61" t="s">
        <v>53</v>
      </c>
      <c r="K12" s="61" t="s">
        <v>53</v>
      </c>
      <c r="L12" s="61">
        <v>1</v>
      </c>
      <c r="M12" s="61">
        <f t="shared" si="1"/>
        <v>50</v>
      </c>
      <c r="N12" s="61" t="s">
        <v>53</v>
      </c>
      <c r="O12" s="61" t="s">
        <v>53</v>
      </c>
      <c r="P12" s="62" t="s">
        <v>53</v>
      </c>
      <c r="Q12" s="62" t="s">
        <v>53</v>
      </c>
      <c r="R12" s="61"/>
      <c r="S12" s="59"/>
    </row>
    <row r="13" spans="1:19" s="66" customFormat="1" ht="48" x14ac:dyDescent="0.25">
      <c r="A13" s="64"/>
      <c r="B13" s="47">
        <f t="shared" si="0"/>
        <v>4</v>
      </c>
      <c r="C13" s="54" t="s">
        <v>68</v>
      </c>
      <c r="D13" s="51" t="s">
        <v>16</v>
      </c>
      <c r="E13" s="51" t="s">
        <v>69</v>
      </c>
      <c r="F13" s="51" t="s">
        <v>70</v>
      </c>
      <c r="G13" s="51" t="s">
        <v>70</v>
      </c>
      <c r="H13" s="51" t="s">
        <v>32</v>
      </c>
      <c r="I13" s="51" t="s">
        <v>53</v>
      </c>
      <c r="J13" s="51" t="s">
        <v>71</v>
      </c>
      <c r="K13" s="51" t="s">
        <v>53</v>
      </c>
      <c r="L13" s="51">
        <v>1</v>
      </c>
      <c r="M13" s="37">
        <f t="shared" si="1"/>
        <v>50</v>
      </c>
      <c r="N13" s="51">
        <v>51</v>
      </c>
      <c r="O13" s="63" t="s">
        <v>52</v>
      </c>
      <c r="P13" s="52">
        <v>0.59189999999999998</v>
      </c>
      <c r="Q13" s="52">
        <f t="shared" ref="Q13" si="3">P13*N13</f>
        <v>30.186899999999998</v>
      </c>
      <c r="R13" s="51"/>
      <c r="S13" s="59"/>
    </row>
    <row r="14" spans="1:19" s="66" customFormat="1" x14ac:dyDescent="0.25">
      <c r="A14" s="64"/>
      <c r="B14" s="46">
        <f>ROW(B14) - ROW($B$9)</f>
        <v>5</v>
      </c>
      <c r="C14" s="53" t="s">
        <v>10</v>
      </c>
      <c r="D14" s="37" t="s">
        <v>57</v>
      </c>
      <c r="E14" s="37" t="s">
        <v>58</v>
      </c>
      <c r="F14" s="37" t="s">
        <v>59</v>
      </c>
      <c r="G14" s="37" t="s">
        <v>60</v>
      </c>
      <c r="H14" s="37" t="s">
        <v>31</v>
      </c>
      <c r="I14" s="37" t="s">
        <v>53</v>
      </c>
      <c r="J14" s="37" t="s">
        <v>61</v>
      </c>
      <c r="K14" s="37" t="s">
        <v>62</v>
      </c>
      <c r="L14" s="37">
        <v>2</v>
      </c>
      <c r="M14" s="37">
        <f t="shared" si="1"/>
        <v>100</v>
      </c>
      <c r="N14" s="37">
        <v>200</v>
      </c>
      <c r="O14" s="63" t="s">
        <v>52</v>
      </c>
      <c r="P14" s="38">
        <v>1.2999999999999999E-3</v>
      </c>
      <c r="Q14" s="38">
        <f>P14*N14</f>
        <v>0.26</v>
      </c>
      <c r="R14" s="37"/>
      <c r="S14" s="59"/>
    </row>
    <row r="15" spans="1:19" s="66" customFormat="1" ht="24.75" thickBot="1" x14ac:dyDescent="0.3">
      <c r="A15" s="64"/>
      <c r="B15" s="47">
        <f t="shared" si="0"/>
        <v>6</v>
      </c>
      <c r="C15" s="54" t="s">
        <v>11</v>
      </c>
      <c r="D15" s="51" t="s">
        <v>17</v>
      </c>
      <c r="E15" s="51" t="s">
        <v>22</v>
      </c>
      <c r="F15" s="51" t="s">
        <v>56</v>
      </c>
      <c r="G15" s="51" t="s">
        <v>26</v>
      </c>
      <c r="H15" s="51" t="s">
        <v>33</v>
      </c>
      <c r="I15" s="51" t="s">
        <v>53</v>
      </c>
      <c r="J15" s="51" t="s">
        <v>36</v>
      </c>
      <c r="K15" s="51" t="s">
        <v>53</v>
      </c>
      <c r="L15" s="51">
        <v>1</v>
      </c>
      <c r="M15" s="37">
        <f t="shared" si="1"/>
        <v>50</v>
      </c>
      <c r="N15" s="51">
        <v>51</v>
      </c>
      <c r="O15" s="60" t="s">
        <v>52</v>
      </c>
      <c r="P15" s="52">
        <v>4.3240999999999996</v>
      </c>
      <c r="Q15" s="52">
        <f t="shared" ref="Q15:Q16" si="4">P15*N15</f>
        <v>220.52909999999997</v>
      </c>
      <c r="R15" s="51"/>
      <c r="S15" s="39"/>
    </row>
    <row r="16" spans="1:19" s="66" customFormat="1" ht="24.75" thickBot="1" x14ac:dyDescent="0.3">
      <c r="A16" s="64"/>
      <c r="B16" s="47">
        <f t="shared" si="0"/>
        <v>7</v>
      </c>
      <c r="C16" s="54" t="s">
        <v>63</v>
      </c>
      <c r="D16" s="51" t="s">
        <v>53</v>
      </c>
      <c r="E16" s="51" t="s">
        <v>64</v>
      </c>
      <c r="F16" s="51" t="s">
        <v>53</v>
      </c>
      <c r="G16" s="51" t="s">
        <v>65</v>
      </c>
      <c r="H16" s="51" t="s">
        <v>66</v>
      </c>
      <c r="I16" s="51" t="s">
        <v>53</v>
      </c>
      <c r="J16" s="51" t="s">
        <v>67</v>
      </c>
      <c r="K16" s="51" t="s">
        <v>53</v>
      </c>
      <c r="L16" s="51">
        <v>1</v>
      </c>
      <c r="M16" s="37">
        <f t="shared" si="1"/>
        <v>50</v>
      </c>
      <c r="N16" s="51">
        <v>50</v>
      </c>
      <c r="O16" s="60" t="s">
        <v>52</v>
      </c>
      <c r="P16" s="52">
        <v>0.76780000000000004</v>
      </c>
      <c r="Q16" s="52">
        <f t="shared" si="4"/>
        <v>38.39</v>
      </c>
      <c r="R16" s="51"/>
      <c r="S16" s="39"/>
    </row>
    <row r="17" spans="1:19" ht="19.5" thickBot="1" x14ac:dyDescent="0.3">
      <c r="A17" s="1"/>
      <c r="B17" s="40"/>
      <c r="C17" s="41"/>
      <c r="D17" s="42"/>
      <c r="E17" s="43"/>
      <c r="F17" s="44"/>
      <c r="G17" s="45"/>
      <c r="H17" s="44"/>
      <c r="I17" s="45"/>
      <c r="J17" s="44"/>
      <c r="K17" s="45"/>
      <c r="L17" s="45"/>
      <c r="M17" s="45"/>
      <c r="N17" s="75" t="s">
        <v>5</v>
      </c>
      <c r="O17" s="76"/>
      <c r="P17" s="76"/>
      <c r="Q17" s="48">
        <f>SUM(Q10:Q16)</f>
        <v>290.12599999999998</v>
      </c>
      <c r="R17" s="71"/>
      <c r="S17" s="72"/>
    </row>
    <row r="18" spans="1:19" ht="19.5" thickBot="1" x14ac:dyDescent="0.3">
      <c r="A18" s="1"/>
      <c r="B18" s="25"/>
      <c r="C18" s="36"/>
      <c r="D18" s="9"/>
      <c r="E18" s="10"/>
      <c r="F18" s="10"/>
      <c r="G18" s="10"/>
      <c r="H18" s="10"/>
      <c r="I18" s="10"/>
      <c r="J18" s="10"/>
      <c r="K18" s="10"/>
      <c r="L18" s="10"/>
      <c r="M18" s="10"/>
      <c r="N18" s="75" t="s">
        <v>6</v>
      </c>
      <c r="O18" s="76"/>
      <c r="P18" s="76"/>
      <c r="Q18" s="49">
        <f>Q17/50</f>
        <v>5.8025199999999995</v>
      </c>
      <c r="R18" s="73"/>
      <c r="S18" s="74"/>
    </row>
  </sheetData>
  <mergeCells count="5">
    <mergeCell ref="K1:S1"/>
    <mergeCell ref="S3:S8"/>
    <mergeCell ref="N17:P17"/>
    <mergeCell ref="R17:S18"/>
    <mergeCell ref="N18:P18"/>
  </mergeCells>
  <hyperlinks>
    <hyperlink ref="O10" r:id="rId1"/>
    <hyperlink ref="O11" r:id="rId2"/>
    <hyperlink ref="O15" r:id="rId3"/>
    <hyperlink ref="O14" r:id="rId4"/>
    <hyperlink ref="O16" r:id="rId5"/>
    <hyperlink ref="O13" r:id="rId6"/>
  </hyperlinks>
  <pageMargins left="0.7" right="0.7" top="0.75" bottom="0.75" header="0.3" footer="0.3"/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8"/>
  <sheetViews>
    <sheetView topLeftCell="F1" workbookViewId="0">
      <selection activeCell="O13" sqref="O13:P13"/>
    </sheetView>
  </sheetViews>
  <sheetFormatPr defaultRowHeight="15" x14ac:dyDescent="0.25"/>
  <cols>
    <col min="2" max="2" width="2" bestFit="1" customWidth="1"/>
    <col min="3" max="3" width="13.28515625" bestFit="1" customWidth="1"/>
    <col min="4" max="4" width="31.140625" bestFit="1" customWidth="1"/>
    <col min="5" max="5" width="29.5703125" customWidth="1"/>
    <col min="6" max="6" width="12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5.425781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7"/>
      <c r="S1" s="6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9"/>
    </row>
    <row r="4" spans="1:19" x14ac:dyDescent="0.25">
      <c r="A4" s="1"/>
      <c r="B4" s="22"/>
      <c r="C4" s="32"/>
      <c r="D4" s="13" t="s">
        <v>2</v>
      </c>
      <c r="E4" s="13"/>
      <c r="F4" s="57" t="s">
        <v>41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0"/>
    </row>
    <row r="9" spans="1:19" ht="15.75" thickBot="1" x14ac:dyDescent="0.3">
      <c r="A9" s="1"/>
      <c r="B9" s="30" t="s">
        <v>4</v>
      </c>
      <c r="C9" s="30" t="s">
        <v>8</v>
      </c>
      <c r="D9" s="30" t="s">
        <v>12</v>
      </c>
      <c r="E9" s="30" t="s">
        <v>18</v>
      </c>
      <c r="F9" s="30" t="s">
        <v>23</v>
      </c>
      <c r="G9" s="30" t="s">
        <v>27</v>
      </c>
      <c r="H9" s="30" t="s">
        <v>30</v>
      </c>
      <c r="I9" s="30" t="s">
        <v>42</v>
      </c>
      <c r="J9" s="30" t="s">
        <v>34</v>
      </c>
      <c r="K9" s="30" t="s">
        <v>43</v>
      </c>
      <c r="L9" s="30" t="s">
        <v>39</v>
      </c>
      <c r="M9" s="30" t="s">
        <v>80</v>
      </c>
      <c r="N9" s="30" t="s">
        <v>81</v>
      </c>
      <c r="O9" s="30" t="s">
        <v>46</v>
      </c>
      <c r="P9" s="30" t="s">
        <v>82</v>
      </c>
      <c r="Q9" s="30" t="s">
        <v>83</v>
      </c>
      <c r="R9" s="30" t="s">
        <v>49</v>
      </c>
      <c r="S9" s="30" t="s">
        <v>50</v>
      </c>
    </row>
    <row r="10" spans="1:19" s="85" customFormat="1" x14ac:dyDescent="0.25">
      <c r="A10" s="77"/>
      <c r="B10" s="78">
        <f>ROW(B10) - ROW($B$9)</f>
        <v>1</v>
      </c>
      <c r="C10" s="79" t="s">
        <v>9</v>
      </c>
      <c r="D10" s="80" t="s">
        <v>13</v>
      </c>
      <c r="E10" s="80" t="s">
        <v>19</v>
      </c>
      <c r="F10" s="80" t="s">
        <v>24</v>
      </c>
      <c r="G10" s="80" t="s">
        <v>28</v>
      </c>
      <c r="H10" s="80" t="s">
        <v>31</v>
      </c>
      <c r="I10" s="80" t="s">
        <v>53</v>
      </c>
      <c r="J10" s="80" t="s">
        <v>35</v>
      </c>
      <c r="K10" s="80" t="s">
        <v>37</v>
      </c>
      <c r="L10" s="80">
        <v>1</v>
      </c>
      <c r="M10" s="80">
        <f>L10*100</f>
        <v>100</v>
      </c>
      <c r="N10" s="81">
        <v>200</v>
      </c>
      <c r="O10" s="82" t="s">
        <v>52</v>
      </c>
      <c r="P10" s="83">
        <v>5.1999999999999998E-3</v>
      </c>
      <c r="Q10" s="84">
        <f>P10*N10</f>
        <v>1.04</v>
      </c>
      <c r="R10" s="80"/>
      <c r="S10" s="50"/>
    </row>
    <row r="11" spans="1:19" s="85" customFormat="1" x14ac:dyDescent="0.25">
      <c r="A11" s="77"/>
      <c r="B11" s="86">
        <f t="shared" ref="B11:B16" si="0">ROW(B11) - ROW($B$9)</f>
        <v>2</v>
      </c>
      <c r="C11" s="79" t="s">
        <v>9</v>
      </c>
      <c r="D11" s="81" t="s">
        <v>14</v>
      </c>
      <c r="E11" s="81" t="s">
        <v>20</v>
      </c>
      <c r="F11" s="81" t="s">
        <v>24</v>
      </c>
      <c r="G11" s="87" t="s">
        <v>29</v>
      </c>
      <c r="H11" s="81" t="s">
        <v>31</v>
      </c>
      <c r="I11" s="81" t="s">
        <v>54</v>
      </c>
      <c r="J11" s="81" t="s">
        <v>55</v>
      </c>
      <c r="K11" s="81" t="s">
        <v>38</v>
      </c>
      <c r="L11" s="81">
        <v>1</v>
      </c>
      <c r="M11" s="80">
        <f t="shared" ref="M11:M16" si="1">L11*100</f>
        <v>100</v>
      </c>
      <c r="N11" s="81">
        <v>200</v>
      </c>
      <c r="O11" s="82" t="s">
        <v>52</v>
      </c>
      <c r="P11" s="83">
        <v>2.3999999999999998E-3</v>
      </c>
      <c r="Q11" s="83">
        <f t="shared" ref="Q11" si="2">P11*N11</f>
        <v>0.48</v>
      </c>
      <c r="R11" s="81"/>
      <c r="S11" s="81"/>
    </row>
    <row r="12" spans="1:19" s="85" customFormat="1" x14ac:dyDescent="0.25">
      <c r="A12" s="77"/>
      <c r="B12" s="78">
        <f>ROW(B12) - ROW($B$9)</f>
        <v>3</v>
      </c>
      <c r="C12" s="88" t="s">
        <v>51</v>
      </c>
      <c r="D12" s="87" t="s">
        <v>15</v>
      </c>
      <c r="E12" s="87" t="s">
        <v>21</v>
      </c>
      <c r="F12" s="87" t="s">
        <v>25</v>
      </c>
      <c r="G12" s="87" t="s">
        <v>53</v>
      </c>
      <c r="H12" s="87" t="s">
        <v>53</v>
      </c>
      <c r="I12" s="87" t="s">
        <v>53</v>
      </c>
      <c r="J12" s="87" t="s">
        <v>53</v>
      </c>
      <c r="K12" s="87" t="s">
        <v>53</v>
      </c>
      <c r="L12" s="87">
        <v>1</v>
      </c>
      <c r="M12" s="87">
        <f t="shared" si="1"/>
        <v>100</v>
      </c>
      <c r="N12" s="87" t="s">
        <v>53</v>
      </c>
      <c r="O12" s="87" t="s">
        <v>53</v>
      </c>
      <c r="P12" s="89" t="s">
        <v>53</v>
      </c>
      <c r="Q12" s="89" t="s">
        <v>53</v>
      </c>
      <c r="R12" s="87"/>
      <c r="S12" s="90"/>
    </row>
    <row r="13" spans="1:19" s="85" customFormat="1" ht="36" x14ac:dyDescent="0.25">
      <c r="A13" s="77"/>
      <c r="B13" s="86">
        <f t="shared" si="0"/>
        <v>4</v>
      </c>
      <c r="C13" s="79" t="s">
        <v>68</v>
      </c>
      <c r="D13" s="81" t="s">
        <v>16</v>
      </c>
      <c r="E13" s="51" t="s">
        <v>69</v>
      </c>
      <c r="F13" s="81" t="s">
        <v>70</v>
      </c>
      <c r="G13" s="81" t="s">
        <v>70</v>
      </c>
      <c r="H13" s="81" t="s">
        <v>32</v>
      </c>
      <c r="I13" s="81" t="s">
        <v>53</v>
      </c>
      <c r="J13" s="81" t="s">
        <v>71</v>
      </c>
      <c r="K13" s="81" t="s">
        <v>53</v>
      </c>
      <c r="L13" s="81">
        <v>1</v>
      </c>
      <c r="M13" s="80">
        <f t="shared" si="1"/>
        <v>100</v>
      </c>
      <c r="N13" s="81">
        <v>101</v>
      </c>
      <c r="O13" s="63" t="s">
        <v>52</v>
      </c>
      <c r="P13" s="52">
        <v>0.51870000000000005</v>
      </c>
      <c r="Q13" s="83">
        <f t="shared" ref="Q13" si="3">P13*N13</f>
        <v>52.388700000000007</v>
      </c>
      <c r="R13" s="81"/>
      <c r="S13" s="90"/>
    </row>
    <row r="14" spans="1:19" s="85" customFormat="1" x14ac:dyDescent="0.25">
      <c r="A14" s="77"/>
      <c r="B14" s="78">
        <f>ROW(B14) - ROW($B$9)</f>
        <v>5</v>
      </c>
      <c r="C14" s="88" t="s">
        <v>10</v>
      </c>
      <c r="D14" s="80" t="s">
        <v>57</v>
      </c>
      <c r="E14" s="80" t="s">
        <v>58</v>
      </c>
      <c r="F14" s="80" t="s">
        <v>59</v>
      </c>
      <c r="G14" s="80" t="s">
        <v>60</v>
      </c>
      <c r="H14" s="80" t="s">
        <v>31</v>
      </c>
      <c r="I14" s="80" t="s">
        <v>53</v>
      </c>
      <c r="J14" s="80" t="s">
        <v>61</v>
      </c>
      <c r="K14" s="80" t="s">
        <v>62</v>
      </c>
      <c r="L14" s="80">
        <v>2</v>
      </c>
      <c r="M14" s="80">
        <f t="shared" si="1"/>
        <v>200</v>
      </c>
      <c r="N14" s="80">
        <v>300</v>
      </c>
      <c r="O14" s="91" t="s">
        <v>52</v>
      </c>
      <c r="P14" s="84">
        <v>1.2999999999999999E-3</v>
      </c>
      <c r="Q14" s="84">
        <f>P14*N14</f>
        <v>0.38999999999999996</v>
      </c>
      <c r="R14" s="80"/>
      <c r="S14" s="90"/>
    </row>
    <row r="15" spans="1:19" s="85" customFormat="1" ht="15.75" thickBot="1" x14ac:dyDescent="0.3">
      <c r="A15" s="77"/>
      <c r="B15" s="86">
        <f t="shared" si="0"/>
        <v>6</v>
      </c>
      <c r="C15" s="79" t="s">
        <v>11</v>
      </c>
      <c r="D15" s="81" t="s">
        <v>17</v>
      </c>
      <c r="E15" s="81" t="s">
        <v>22</v>
      </c>
      <c r="F15" s="81" t="s">
        <v>56</v>
      </c>
      <c r="G15" s="81" t="s">
        <v>26</v>
      </c>
      <c r="H15" s="81" t="s">
        <v>33</v>
      </c>
      <c r="I15" s="81" t="s">
        <v>53</v>
      </c>
      <c r="J15" s="81" t="s">
        <v>36</v>
      </c>
      <c r="K15" s="81" t="s">
        <v>53</v>
      </c>
      <c r="L15" s="81">
        <v>1</v>
      </c>
      <c r="M15" s="80">
        <f t="shared" si="1"/>
        <v>100</v>
      </c>
      <c r="N15" s="81">
        <v>101</v>
      </c>
      <c r="O15" s="82" t="s">
        <v>52</v>
      </c>
      <c r="P15" s="83">
        <v>4.3240999999999996</v>
      </c>
      <c r="Q15" s="83">
        <f t="shared" ref="Q15:Q16" si="4">P15*N15</f>
        <v>436.73409999999996</v>
      </c>
      <c r="R15" s="81"/>
      <c r="S15" s="92"/>
    </row>
    <row r="16" spans="1:19" s="85" customFormat="1" ht="15.75" thickBot="1" x14ac:dyDescent="0.3">
      <c r="A16" s="77"/>
      <c r="B16" s="86">
        <f t="shared" si="0"/>
        <v>7</v>
      </c>
      <c r="C16" s="79" t="s">
        <v>63</v>
      </c>
      <c r="D16" s="81" t="s">
        <v>53</v>
      </c>
      <c r="E16" s="81" t="s">
        <v>64</v>
      </c>
      <c r="F16" s="81" t="s">
        <v>53</v>
      </c>
      <c r="G16" s="81" t="s">
        <v>65</v>
      </c>
      <c r="H16" s="81" t="s">
        <v>66</v>
      </c>
      <c r="I16" s="81" t="s">
        <v>53</v>
      </c>
      <c r="J16" s="81" t="s">
        <v>67</v>
      </c>
      <c r="K16" s="81" t="s">
        <v>53</v>
      </c>
      <c r="L16" s="81">
        <v>1</v>
      </c>
      <c r="M16" s="80">
        <f t="shared" si="1"/>
        <v>100</v>
      </c>
      <c r="N16" s="81">
        <v>100</v>
      </c>
      <c r="O16" s="82" t="s">
        <v>52</v>
      </c>
      <c r="P16" s="83">
        <v>0.64090000000000003</v>
      </c>
      <c r="Q16" s="83">
        <f t="shared" si="4"/>
        <v>64.09</v>
      </c>
      <c r="R16" s="81"/>
      <c r="S16" s="92"/>
    </row>
    <row r="17" spans="1:19" ht="19.5" thickBot="1" x14ac:dyDescent="0.3">
      <c r="A17" s="1"/>
      <c r="B17" s="40"/>
      <c r="C17" s="41"/>
      <c r="D17" s="42"/>
      <c r="E17" s="43"/>
      <c r="F17" s="44"/>
      <c r="G17" s="45"/>
      <c r="H17" s="44"/>
      <c r="I17" s="45"/>
      <c r="J17" s="44"/>
      <c r="K17" s="45"/>
      <c r="L17" s="45"/>
      <c r="M17" s="45"/>
      <c r="N17" s="75" t="s">
        <v>5</v>
      </c>
      <c r="O17" s="76"/>
      <c r="P17" s="76"/>
      <c r="Q17" s="48">
        <f>SUM(Q10:Q16)</f>
        <v>555.12279999999998</v>
      </c>
      <c r="R17" s="71"/>
      <c r="S17" s="72"/>
    </row>
    <row r="18" spans="1:19" ht="19.5" thickBot="1" x14ac:dyDescent="0.3">
      <c r="A18" s="1"/>
      <c r="B18" s="25"/>
      <c r="C18" s="36"/>
      <c r="D18" s="9"/>
      <c r="E18" s="10"/>
      <c r="F18" s="10"/>
      <c r="G18" s="10"/>
      <c r="H18" s="10"/>
      <c r="I18" s="10"/>
      <c r="J18" s="10"/>
      <c r="K18" s="10"/>
      <c r="L18" s="10"/>
      <c r="M18" s="10"/>
      <c r="N18" s="75" t="s">
        <v>6</v>
      </c>
      <c r="O18" s="76"/>
      <c r="P18" s="76"/>
      <c r="Q18" s="49">
        <f>Q17/100</f>
        <v>5.5512280000000001</v>
      </c>
      <c r="R18" s="73"/>
      <c r="S18" s="74"/>
    </row>
  </sheetData>
  <mergeCells count="5">
    <mergeCell ref="K1:S1"/>
    <mergeCell ref="S3:S8"/>
    <mergeCell ref="N17:P17"/>
    <mergeCell ref="R17:S18"/>
    <mergeCell ref="N18:P18"/>
  </mergeCells>
  <hyperlinks>
    <hyperlink ref="O10" r:id="rId1"/>
    <hyperlink ref="O11" r:id="rId2"/>
    <hyperlink ref="O15" r:id="rId3"/>
    <hyperlink ref="O14" r:id="rId4"/>
    <hyperlink ref="O16" r:id="rId5"/>
    <hyperlink ref="O13" r:id="rId6"/>
  </hyperlinks>
  <pageMargins left="0.7" right="0.7" top="0.75" bottom="0.75" header="0.3" footer="0.3"/>
  <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8"/>
  <sheetViews>
    <sheetView topLeftCell="F1" workbookViewId="0">
      <selection activeCell="J27" sqref="J27"/>
    </sheetView>
  </sheetViews>
  <sheetFormatPr defaultRowHeight="15" x14ac:dyDescent="0.25"/>
  <cols>
    <col min="2" max="2" width="2" bestFit="1" customWidth="1"/>
    <col min="3" max="3" width="13.42578125" customWidth="1"/>
    <col min="4" max="4" width="31.140625" bestFit="1" customWidth="1"/>
    <col min="5" max="5" width="32.140625" customWidth="1"/>
    <col min="6" max="6" width="13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5.425781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7"/>
      <c r="S1" s="6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9"/>
    </row>
    <row r="4" spans="1:19" x14ac:dyDescent="0.25">
      <c r="A4" s="1"/>
      <c r="B4" s="22"/>
      <c r="C4" s="32"/>
      <c r="D4" s="13" t="s">
        <v>2</v>
      </c>
      <c r="E4" s="13"/>
      <c r="F4" s="57" t="s">
        <v>41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0"/>
    </row>
    <row r="9" spans="1:19" ht="15.75" thickBot="1" x14ac:dyDescent="0.3">
      <c r="A9" s="1"/>
      <c r="B9" s="30" t="s">
        <v>4</v>
      </c>
      <c r="C9" s="30" t="s">
        <v>8</v>
      </c>
      <c r="D9" s="30" t="s">
        <v>12</v>
      </c>
      <c r="E9" s="30" t="s">
        <v>18</v>
      </c>
      <c r="F9" s="30" t="s">
        <v>23</v>
      </c>
      <c r="G9" s="30" t="s">
        <v>27</v>
      </c>
      <c r="H9" s="30" t="s">
        <v>30</v>
      </c>
      <c r="I9" s="30" t="s">
        <v>42</v>
      </c>
      <c r="J9" s="30" t="s">
        <v>34</v>
      </c>
      <c r="K9" s="30" t="s">
        <v>43</v>
      </c>
      <c r="L9" s="30" t="s">
        <v>39</v>
      </c>
      <c r="M9" s="30" t="s">
        <v>84</v>
      </c>
      <c r="N9" s="30" t="s">
        <v>85</v>
      </c>
      <c r="O9" s="30" t="s">
        <v>46</v>
      </c>
      <c r="P9" s="30" t="s">
        <v>86</v>
      </c>
      <c r="Q9" s="30" t="s">
        <v>87</v>
      </c>
      <c r="R9" s="30" t="s">
        <v>49</v>
      </c>
      <c r="S9" s="30" t="s">
        <v>50</v>
      </c>
    </row>
    <row r="10" spans="1:19" s="85" customFormat="1" x14ac:dyDescent="0.25">
      <c r="A10" s="77"/>
      <c r="B10" s="78">
        <f>ROW(B10) - ROW($B$9)</f>
        <v>1</v>
      </c>
      <c r="C10" s="79" t="s">
        <v>9</v>
      </c>
      <c r="D10" s="80" t="s">
        <v>13</v>
      </c>
      <c r="E10" s="80" t="s">
        <v>19</v>
      </c>
      <c r="F10" s="80" t="s">
        <v>24</v>
      </c>
      <c r="G10" s="80" t="s">
        <v>28</v>
      </c>
      <c r="H10" s="80" t="s">
        <v>31</v>
      </c>
      <c r="I10" s="80" t="s">
        <v>53</v>
      </c>
      <c r="J10" s="80" t="s">
        <v>35</v>
      </c>
      <c r="K10" s="80" t="s">
        <v>37</v>
      </c>
      <c r="L10" s="80">
        <v>1</v>
      </c>
      <c r="M10" s="80">
        <f>L10*500</f>
        <v>500</v>
      </c>
      <c r="N10" s="81">
        <v>600</v>
      </c>
      <c r="O10" s="82" t="s">
        <v>52</v>
      </c>
      <c r="P10" s="83">
        <v>5.1999999999999998E-3</v>
      </c>
      <c r="Q10" s="84">
        <f>P10*N10</f>
        <v>3.1199999999999997</v>
      </c>
      <c r="R10" s="80"/>
      <c r="S10" s="50"/>
    </row>
    <row r="11" spans="1:19" s="85" customFormat="1" x14ac:dyDescent="0.25">
      <c r="A11" s="77"/>
      <c r="B11" s="86">
        <f t="shared" ref="B11:B16" si="0">ROW(B11) - ROW($B$9)</f>
        <v>2</v>
      </c>
      <c r="C11" s="79" t="s">
        <v>9</v>
      </c>
      <c r="D11" s="81" t="s">
        <v>14</v>
      </c>
      <c r="E11" s="81" t="s">
        <v>20</v>
      </c>
      <c r="F11" s="81" t="s">
        <v>24</v>
      </c>
      <c r="G11" s="87" t="s">
        <v>29</v>
      </c>
      <c r="H11" s="81" t="s">
        <v>31</v>
      </c>
      <c r="I11" s="81" t="s">
        <v>54</v>
      </c>
      <c r="J11" s="81" t="s">
        <v>55</v>
      </c>
      <c r="K11" s="81" t="s">
        <v>38</v>
      </c>
      <c r="L11" s="81">
        <v>1</v>
      </c>
      <c r="M11" s="80">
        <f t="shared" ref="M11:M16" si="1">L11*500</f>
        <v>500</v>
      </c>
      <c r="N11" s="81">
        <v>600</v>
      </c>
      <c r="O11" s="82" t="s">
        <v>52</v>
      </c>
      <c r="P11" s="83">
        <v>2.3999999999999998E-3</v>
      </c>
      <c r="Q11" s="83">
        <f t="shared" ref="Q11" si="2">P11*N11</f>
        <v>1.44</v>
      </c>
      <c r="R11" s="81"/>
      <c r="S11" s="81"/>
    </row>
    <row r="12" spans="1:19" s="85" customFormat="1" x14ac:dyDescent="0.25">
      <c r="A12" s="77"/>
      <c r="B12" s="78">
        <f>ROW(B12) - ROW($B$9)</f>
        <v>3</v>
      </c>
      <c r="C12" s="88" t="s">
        <v>51</v>
      </c>
      <c r="D12" s="87" t="s">
        <v>15</v>
      </c>
      <c r="E12" s="87" t="s">
        <v>21</v>
      </c>
      <c r="F12" s="87" t="s">
        <v>25</v>
      </c>
      <c r="G12" s="87" t="s">
        <v>53</v>
      </c>
      <c r="H12" s="87" t="s">
        <v>53</v>
      </c>
      <c r="I12" s="87" t="s">
        <v>53</v>
      </c>
      <c r="J12" s="87" t="s">
        <v>53</v>
      </c>
      <c r="K12" s="87" t="s">
        <v>53</v>
      </c>
      <c r="L12" s="87">
        <v>1</v>
      </c>
      <c r="M12" s="80">
        <f t="shared" si="1"/>
        <v>500</v>
      </c>
      <c r="N12" s="87" t="s">
        <v>53</v>
      </c>
      <c r="O12" s="87" t="s">
        <v>53</v>
      </c>
      <c r="P12" s="89" t="s">
        <v>53</v>
      </c>
      <c r="Q12" s="89" t="s">
        <v>53</v>
      </c>
      <c r="R12" s="87"/>
      <c r="S12" s="90"/>
    </row>
    <row r="13" spans="1:19" s="85" customFormat="1" ht="36" x14ac:dyDescent="0.25">
      <c r="A13" s="77"/>
      <c r="B13" s="86">
        <f t="shared" si="0"/>
        <v>4</v>
      </c>
      <c r="C13" s="79" t="s">
        <v>68</v>
      </c>
      <c r="D13" s="81" t="s">
        <v>16</v>
      </c>
      <c r="E13" s="51" t="s">
        <v>69</v>
      </c>
      <c r="F13" s="81" t="s">
        <v>70</v>
      </c>
      <c r="G13" s="81" t="s">
        <v>70</v>
      </c>
      <c r="H13" s="81" t="s">
        <v>32</v>
      </c>
      <c r="I13" s="81" t="s">
        <v>53</v>
      </c>
      <c r="J13" s="81" t="s">
        <v>71</v>
      </c>
      <c r="K13" s="81" t="s">
        <v>53</v>
      </c>
      <c r="L13" s="81">
        <v>1</v>
      </c>
      <c r="M13" s="80">
        <f t="shared" si="1"/>
        <v>500</v>
      </c>
      <c r="N13" s="81">
        <v>502</v>
      </c>
      <c r="O13" s="63" t="s">
        <v>52</v>
      </c>
      <c r="P13" s="52">
        <v>0.47410000000000002</v>
      </c>
      <c r="Q13" s="83">
        <f t="shared" ref="Q13" si="3">P13*N13</f>
        <v>237.9982</v>
      </c>
      <c r="R13" s="81"/>
      <c r="S13" s="90"/>
    </row>
    <row r="14" spans="1:19" s="85" customFormat="1" x14ac:dyDescent="0.25">
      <c r="A14" s="77"/>
      <c r="B14" s="78">
        <f>ROW(B14) - ROW($B$9)</f>
        <v>5</v>
      </c>
      <c r="C14" s="88" t="s">
        <v>10</v>
      </c>
      <c r="D14" s="80" t="s">
        <v>57</v>
      </c>
      <c r="E14" s="80" t="s">
        <v>58</v>
      </c>
      <c r="F14" s="80" t="s">
        <v>59</v>
      </c>
      <c r="G14" s="80" t="s">
        <v>60</v>
      </c>
      <c r="H14" s="80" t="s">
        <v>31</v>
      </c>
      <c r="I14" s="80" t="s">
        <v>53</v>
      </c>
      <c r="J14" s="80" t="s">
        <v>61</v>
      </c>
      <c r="K14" s="80" t="s">
        <v>62</v>
      </c>
      <c r="L14" s="80">
        <v>2</v>
      </c>
      <c r="M14" s="80">
        <f t="shared" si="1"/>
        <v>1000</v>
      </c>
      <c r="N14" s="80">
        <v>1100</v>
      </c>
      <c r="O14" s="91" t="s">
        <v>52</v>
      </c>
      <c r="P14" s="84">
        <v>1E-3</v>
      </c>
      <c r="Q14" s="84">
        <f>P14*N14</f>
        <v>1.1000000000000001</v>
      </c>
      <c r="R14" s="80"/>
      <c r="S14" s="90"/>
    </row>
    <row r="15" spans="1:19" s="85" customFormat="1" ht="15.75" thickBot="1" x14ac:dyDescent="0.3">
      <c r="A15" s="77"/>
      <c r="B15" s="86">
        <f t="shared" si="0"/>
        <v>6</v>
      </c>
      <c r="C15" s="79" t="s">
        <v>11</v>
      </c>
      <c r="D15" s="81" t="s">
        <v>17</v>
      </c>
      <c r="E15" s="81" t="s">
        <v>22</v>
      </c>
      <c r="F15" s="81" t="s">
        <v>56</v>
      </c>
      <c r="G15" s="81" t="s">
        <v>26</v>
      </c>
      <c r="H15" s="81" t="s">
        <v>33</v>
      </c>
      <c r="I15" s="81" t="s">
        <v>53</v>
      </c>
      <c r="J15" s="81" t="s">
        <v>36</v>
      </c>
      <c r="K15" s="81" t="s">
        <v>53</v>
      </c>
      <c r="L15" s="81">
        <v>1</v>
      </c>
      <c r="M15" s="80">
        <f t="shared" si="1"/>
        <v>500</v>
      </c>
      <c r="N15" s="81">
        <v>502</v>
      </c>
      <c r="O15" s="82" t="s">
        <v>52</v>
      </c>
      <c r="P15" s="83">
        <v>4.3240999999999996</v>
      </c>
      <c r="Q15" s="83">
        <f t="shared" ref="Q15:Q16" si="4">P15*N15</f>
        <v>2170.6981999999998</v>
      </c>
      <c r="R15" s="81"/>
      <c r="S15" s="92"/>
    </row>
    <row r="16" spans="1:19" s="85" customFormat="1" ht="15.75" thickBot="1" x14ac:dyDescent="0.3">
      <c r="A16" s="77"/>
      <c r="B16" s="86">
        <f t="shared" si="0"/>
        <v>7</v>
      </c>
      <c r="C16" s="79" t="s">
        <v>63</v>
      </c>
      <c r="D16" s="81" t="s">
        <v>53</v>
      </c>
      <c r="E16" s="81" t="s">
        <v>64</v>
      </c>
      <c r="F16" s="81" t="s">
        <v>53</v>
      </c>
      <c r="G16" s="81" t="s">
        <v>65</v>
      </c>
      <c r="H16" s="81" t="s">
        <v>66</v>
      </c>
      <c r="I16" s="81" t="s">
        <v>53</v>
      </c>
      <c r="J16" s="81" t="s">
        <v>67</v>
      </c>
      <c r="K16" s="81" t="s">
        <v>53</v>
      </c>
      <c r="L16" s="81">
        <v>1</v>
      </c>
      <c r="M16" s="80">
        <f t="shared" si="1"/>
        <v>500</v>
      </c>
      <c r="N16" s="81">
        <v>500</v>
      </c>
      <c r="O16" s="82" t="s">
        <v>52</v>
      </c>
      <c r="P16" s="83">
        <v>0.59709999999999996</v>
      </c>
      <c r="Q16" s="83">
        <f t="shared" si="4"/>
        <v>298.54999999999995</v>
      </c>
      <c r="R16" s="81"/>
      <c r="S16" s="92"/>
    </row>
    <row r="17" spans="1:19" ht="19.5" thickBot="1" x14ac:dyDescent="0.3">
      <c r="A17" s="1"/>
      <c r="B17" s="40"/>
      <c r="C17" s="41"/>
      <c r="D17" s="42"/>
      <c r="E17" s="43"/>
      <c r="F17" s="44"/>
      <c r="G17" s="45"/>
      <c r="H17" s="44"/>
      <c r="I17" s="45"/>
      <c r="J17" s="44"/>
      <c r="K17" s="45"/>
      <c r="L17" s="45"/>
      <c r="M17" s="45"/>
      <c r="N17" s="75" t="s">
        <v>5</v>
      </c>
      <c r="O17" s="76"/>
      <c r="P17" s="76"/>
      <c r="Q17" s="48">
        <f>SUM(Q10:Q16)</f>
        <v>2712.9063999999998</v>
      </c>
      <c r="R17" s="71"/>
      <c r="S17" s="72"/>
    </row>
    <row r="18" spans="1:19" ht="19.5" thickBot="1" x14ac:dyDescent="0.3">
      <c r="A18" s="1"/>
      <c r="B18" s="25"/>
      <c r="C18" s="36"/>
      <c r="D18" s="9"/>
      <c r="E18" s="10"/>
      <c r="F18" s="10"/>
      <c r="G18" s="10"/>
      <c r="H18" s="10"/>
      <c r="I18" s="10"/>
      <c r="J18" s="10"/>
      <c r="K18" s="10"/>
      <c r="L18" s="10"/>
      <c r="M18" s="10"/>
      <c r="N18" s="75" t="s">
        <v>6</v>
      </c>
      <c r="O18" s="76"/>
      <c r="P18" s="76"/>
      <c r="Q18" s="49">
        <f>Q17/500</f>
        <v>5.4258128000000001</v>
      </c>
      <c r="R18" s="73"/>
      <c r="S18" s="74"/>
    </row>
  </sheetData>
  <mergeCells count="5">
    <mergeCell ref="K1:S1"/>
    <mergeCell ref="S3:S8"/>
    <mergeCell ref="N17:P17"/>
    <mergeCell ref="R17:S18"/>
    <mergeCell ref="N18:P18"/>
  </mergeCells>
  <hyperlinks>
    <hyperlink ref="O10" r:id="rId1"/>
    <hyperlink ref="O11" r:id="rId2"/>
    <hyperlink ref="O15" r:id="rId3"/>
    <hyperlink ref="O14" r:id="rId4"/>
    <hyperlink ref="O16" r:id="rId5"/>
    <hyperlink ref="O13" r:id="rId6"/>
  </hyperlinks>
  <pageMargins left="0.7" right="0.7" top="0.75" bottom="0.75" header="0.3" footer="0.3"/>
  <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8"/>
  <sheetViews>
    <sheetView topLeftCell="F1" workbookViewId="0">
      <selection activeCell="M10" sqref="M10"/>
    </sheetView>
  </sheetViews>
  <sheetFormatPr defaultRowHeight="15" x14ac:dyDescent="0.25"/>
  <cols>
    <col min="2" max="2" width="2" bestFit="1" customWidth="1"/>
    <col min="3" max="3" width="14.28515625" customWidth="1"/>
    <col min="4" max="4" width="31.140625" bestFit="1" customWidth="1"/>
    <col min="5" max="5" width="29.5703125" customWidth="1"/>
    <col min="6" max="6" width="15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5.42578125" bestFit="1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7"/>
      <c r="S1" s="6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9"/>
    </row>
    <row r="4" spans="1:19" x14ac:dyDescent="0.25">
      <c r="A4" s="1"/>
      <c r="B4" s="22"/>
      <c r="C4" s="32"/>
      <c r="D4" s="13" t="s">
        <v>2</v>
      </c>
      <c r="E4" s="13"/>
      <c r="F4" s="57" t="s">
        <v>41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0"/>
    </row>
    <row r="9" spans="1:19" ht="15.75" thickBot="1" x14ac:dyDescent="0.3">
      <c r="A9" s="1"/>
      <c r="B9" s="30" t="s">
        <v>4</v>
      </c>
      <c r="C9" s="30" t="s">
        <v>8</v>
      </c>
      <c r="D9" s="30" t="s">
        <v>12</v>
      </c>
      <c r="E9" s="30" t="s">
        <v>18</v>
      </c>
      <c r="F9" s="30" t="s">
        <v>23</v>
      </c>
      <c r="G9" s="30" t="s">
        <v>27</v>
      </c>
      <c r="H9" s="30" t="s">
        <v>30</v>
      </c>
      <c r="I9" s="30" t="s">
        <v>42</v>
      </c>
      <c r="J9" s="30" t="s">
        <v>34</v>
      </c>
      <c r="K9" s="30" t="s">
        <v>43</v>
      </c>
      <c r="L9" s="30" t="s">
        <v>39</v>
      </c>
      <c r="M9" s="30" t="s">
        <v>88</v>
      </c>
      <c r="N9" s="30" t="s">
        <v>89</v>
      </c>
      <c r="O9" s="30" t="s">
        <v>46</v>
      </c>
      <c r="P9" s="30" t="s">
        <v>90</v>
      </c>
      <c r="Q9" s="30" t="s">
        <v>91</v>
      </c>
      <c r="R9" s="30" t="s">
        <v>49</v>
      </c>
      <c r="S9" s="30" t="s">
        <v>50</v>
      </c>
    </row>
    <row r="10" spans="1:19" s="66" customFormat="1" x14ac:dyDescent="0.25">
      <c r="A10" s="64"/>
      <c r="B10" s="46">
        <f>ROW(B10) - ROW($B$9)</f>
        <v>1</v>
      </c>
      <c r="C10" s="54" t="s">
        <v>9</v>
      </c>
      <c r="D10" s="37" t="s">
        <v>13</v>
      </c>
      <c r="E10" s="37" t="s">
        <v>19</v>
      </c>
      <c r="F10" s="37" t="s">
        <v>24</v>
      </c>
      <c r="G10" s="37" t="s">
        <v>28</v>
      </c>
      <c r="H10" s="37" t="s">
        <v>31</v>
      </c>
      <c r="I10" s="37" t="s">
        <v>53</v>
      </c>
      <c r="J10" s="37" t="s">
        <v>35</v>
      </c>
      <c r="K10" s="37" t="s">
        <v>37</v>
      </c>
      <c r="L10" s="37">
        <v>1</v>
      </c>
      <c r="M10" s="37">
        <f>L10*1000</f>
        <v>1000</v>
      </c>
      <c r="N10" s="51">
        <v>1100</v>
      </c>
      <c r="O10" s="60" t="s">
        <v>52</v>
      </c>
      <c r="P10" s="52">
        <v>4.1000000000000003E-3</v>
      </c>
      <c r="Q10" s="38">
        <f>P10*N10</f>
        <v>4.5100000000000007</v>
      </c>
      <c r="R10" s="37"/>
      <c r="S10" s="65"/>
    </row>
    <row r="11" spans="1:19" s="66" customFormat="1" x14ac:dyDescent="0.25">
      <c r="A11" s="64"/>
      <c r="B11" s="47">
        <f t="shared" ref="B11:B16" si="0">ROW(B11) - ROW($B$9)</f>
        <v>2</v>
      </c>
      <c r="C11" s="54" t="s">
        <v>9</v>
      </c>
      <c r="D11" s="51" t="s">
        <v>14</v>
      </c>
      <c r="E11" s="51" t="s">
        <v>20</v>
      </c>
      <c r="F11" s="51" t="s">
        <v>24</v>
      </c>
      <c r="G11" s="61" t="s">
        <v>29</v>
      </c>
      <c r="H11" s="51" t="s">
        <v>31</v>
      </c>
      <c r="I11" s="51" t="s">
        <v>54</v>
      </c>
      <c r="J11" s="51" t="s">
        <v>55</v>
      </c>
      <c r="K11" s="51" t="s">
        <v>38</v>
      </c>
      <c r="L11" s="51">
        <v>1</v>
      </c>
      <c r="M11" s="37">
        <f t="shared" ref="M11:M16" si="1">L11*1000</f>
        <v>1000</v>
      </c>
      <c r="N11" s="51">
        <v>1100</v>
      </c>
      <c r="O11" s="60" t="s">
        <v>52</v>
      </c>
      <c r="P11" s="52">
        <v>1.8E-3</v>
      </c>
      <c r="Q11" s="52">
        <f t="shared" ref="Q11" si="2">P11*N11</f>
        <v>1.98</v>
      </c>
      <c r="R11" s="51"/>
      <c r="S11" s="51"/>
    </row>
    <row r="12" spans="1:19" s="66" customFormat="1" x14ac:dyDescent="0.25">
      <c r="A12" s="64"/>
      <c r="B12" s="46">
        <f>ROW(B12) - ROW($B$9)</f>
        <v>3</v>
      </c>
      <c r="C12" s="53" t="s">
        <v>51</v>
      </c>
      <c r="D12" s="61" t="s">
        <v>15</v>
      </c>
      <c r="E12" s="61" t="s">
        <v>21</v>
      </c>
      <c r="F12" s="61" t="s">
        <v>25</v>
      </c>
      <c r="G12" s="61" t="s">
        <v>53</v>
      </c>
      <c r="H12" s="61" t="s">
        <v>53</v>
      </c>
      <c r="I12" s="61" t="s">
        <v>53</v>
      </c>
      <c r="J12" s="61" t="s">
        <v>53</v>
      </c>
      <c r="K12" s="61" t="s">
        <v>53</v>
      </c>
      <c r="L12" s="61">
        <v>1</v>
      </c>
      <c r="M12" s="61">
        <f t="shared" si="1"/>
        <v>1000</v>
      </c>
      <c r="N12" s="61" t="s">
        <v>53</v>
      </c>
      <c r="O12" s="61" t="s">
        <v>53</v>
      </c>
      <c r="P12" s="62" t="s">
        <v>53</v>
      </c>
      <c r="Q12" s="62" t="s">
        <v>53</v>
      </c>
      <c r="R12" s="61"/>
      <c r="S12" s="59"/>
    </row>
    <row r="13" spans="1:19" s="66" customFormat="1" ht="36" x14ac:dyDescent="0.25">
      <c r="A13" s="64"/>
      <c r="B13" s="47">
        <f t="shared" si="0"/>
        <v>4</v>
      </c>
      <c r="C13" s="54" t="s">
        <v>68</v>
      </c>
      <c r="D13" s="51" t="s">
        <v>16</v>
      </c>
      <c r="E13" s="51" t="s">
        <v>69</v>
      </c>
      <c r="F13" s="51" t="s">
        <v>70</v>
      </c>
      <c r="G13" s="51" t="s">
        <v>70</v>
      </c>
      <c r="H13" s="51" t="s">
        <v>32</v>
      </c>
      <c r="I13" s="51" t="s">
        <v>53</v>
      </c>
      <c r="J13" s="51" t="s">
        <v>71</v>
      </c>
      <c r="K13" s="51" t="s">
        <v>53</v>
      </c>
      <c r="L13" s="51">
        <v>1</v>
      </c>
      <c r="M13" s="37">
        <f t="shared" si="1"/>
        <v>1000</v>
      </c>
      <c r="N13" s="51">
        <v>1002</v>
      </c>
      <c r="O13" s="63" t="s">
        <v>52</v>
      </c>
      <c r="P13" s="52">
        <v>0.45190000000000002</v>
      </c>
      <c r="Q13" s="52">
        <f t="shared" ref="Q13" si="3">P13*N13</f>
        <v>452.80380000000002</v>
      </c>
      <c r="R13" s="51"/>
      <c r="S13" s="59"/>
    </row>
    <row r="14" spans="1:19" s="66" customFormat="1" x14ac:dyDescent="0.25">
      <c r="A14" s="64"/>
      <c r="B14" s="46">
        <f>ROW(B14) - ROW($B$9)</f>
        <v>5</v>
      </c>
      <c r="C14" s="53" t="s">
        <v>10</v>
      </c>
      <c r="D14" s="37" t="s">
        <v>57</v>
      </c>
      <c r="E14" s="37" t="s">
        <v>58</v>
      </c>
      <c r="F14" s="37" t="s">
        <v>59</v>
      </c>
      <c r="G14" s="37" t="s">
        <v>60</v>
      </c>
      <c r="H14" s="37" t="s">
        <v>31</v>
      </c>
      <c r="I14" s="37" t="s">
        <v>53</v>
      </c>
      <c r="J14" s="37" t="s">
        <v>61</v>
      </c>
      <c r="K14" s="37" t="s">
        <v>62</v>
      </c>
      <c r="L14" s="37">
        <v>2</v>
      </c>
      <c r="M14" s="37">
        <f t="shared" si="1"/>
        <v>2000</v>
      </c>
      <c r="N14" s="37">
        <v>2100</v>
      </c>
      <c r="O14" s="63" t="s">
        <v>52</v>
      </c>
      <c r="P14" s="38">
        <v>1E-3</v>
      </c>
      <c r="Q14" s="38">
        <f>P14*N14</f>
        <v>2.1</v>
      </c>
      <c r="R14" s="37"/>
      <c r="S14" s="59"/>
    </row>
    <row r="15" spans="1:19" s="66" customFormat="1" ht="15.75" thickBot="1" x14ac:dyDescent="0.3">
      <c r="A15" s="64"/>
      <c r="B15" s="47">
        <f t="shared" si="0"/>
        <v>6</v>
      </c>
      <c r="C15" s="54" t="s">
        <v>11</v>
      </c>
      <c r="D15" s="51" t="s">
        <v>17</v>
      </c>
      <c r="E15" s="51" t="s">
        <v>22</v>
      </c>
      <c r="F15" s="51" t="s">
        <v>56</v>
      </c>
      <c r="G15" s="51" t="s">
        <v>26</v>
      </c>
      <c r="H15" s="51" t="s">
        <v>33</v>
      </c>
      <c r="I15" s="51" t="s">
        <v>53</v>
      </c>
      <c r="J15" s="51" t="s">
        <v>36</v>
      </c>
      <c r="K15" s="51" t="s">
        <v>53</v>
      </c>
      <c r="L15" s="51">
        <v>1</v>
      </c>
      <c r="M15" s="37">
        <f t="shared" si="1"/>
        <v>1000</v>
      </c>
      <c r="N15" s="51">
        <v>1002</v>
      </c>
      <c r="O15" s="60" t="s">
        <v>52</v>
      </c>
      <c r="P15" s="52">
        <v>4.3240999999999996</v>
      </c>
      <c r="Q15" s="52">
        <f t="shared" ref="Q15:Q16" si="4">P15*N15</f>
        <v>4332.7482</v>
      </c>
      <c r="R15" s="51"/>
      <c r="S15" s="39"/>
    </row>
    <row r="16" spans="1:19" s="66" customFormat="1" ht="24.75" thickBot="1" x14ac:dyDescent="0.3">
      <c r="A16" s="64"/>
      <c r="B16" s="47">
        <f t="shared" si="0"/>
        <v>7</v>
      </c>
      <c r="C16" s="54" t="s">
        <v>63</v>
      </c>
      <c r="D16" s="51" t="s">
        <v>53</v>
      </c>
      <c r="E16" s="51" t="s">
        <v>64</v>
      </c>
      <c r="F16" s="51" t="s">
        <v>53</v>
      </c>
      <c r="G16" s="51" t="s">
        <v>65</v>
      </c>
      <c r="H16" s="51" t="s">
        <v>66</v>
      </c>
      <c r="I16" s="51" t="s">
        <v>53</v>
      </c>
      <c r="J16" s="51" t="s">
        <v>67</v>
      </c>
      <c r="K16" s="51" t="s">
        <v>53</v>
      </c>
      <c r="L16" s="51">
        <v>1</v>
      </c>
      <c r="M16" s="37">
        <f t="shared" si="1"/>
        <v>1000</v>
      </c>
      <c r="N16" s="51">
        <v>1000</v>
      </c>
      <c r="O16" s="60" t="s">
        <v>52</v>
      </c>
      <c r="P16" s="52">
        <v>0.57750000000000001</v>
      </c>
      <c r="Q16" s="52">
        <f t="shared" si="4"/>
        <v>577.5</v>
      </c>
      <c r="R16" s="51"/>
      <c r="S16" s="39"/>
    </row>
    <row r="17" spans="1:19" ht="19.5" thickBot="1" x14ac:dyDescent="0.3">
      <c r="A17" s="1"/>
      <c r="B17" s="40"/>
      <c r="C17" s="41"/>
      <c r="D17" s="42"/>
      <c r="E17" s="43"/>
      <c r="F17" s="44"/>
      <c r="G17" s="45"/>
      <c r="H17" s="44"/>
      <c r="I17" s="45"/>
      <c r="J17" s="44"/>
      <c r="K17" s="45"/>
      <c r="L17" s="45"/>
      <c r="M17" s="45"/>
      <c r="N17" s="75" t="s">
        <v>5</v>
      </c>
      <c r="O17" s="76"/>
      <c r="P17" s="76"/>
      <c r="Q17" s="48">
        <f>SUM(Q10:Q16)</f>
        <v>5371.6419999999998</v>
      </c>
      <c r="R17" s="71"/>
      <c r="S17" s="72"/>
    </row>
    <row r="18" spans="1:19" ht="19.5" thickBot="1" x14ac:dyDescent="0.3">
      <c r="A18" s="1"/>
      <c r="B18" s="25"/>
      <c r="C18" s="36"/>
      <c r="D18" s="9"/>
      <c r="E18" s="10"/>
      <c r="F18" s="10"/>
      <c r="G18" s="10"/>
      <c r="H18" s="10"/>
      <c r="I18" s="10"/>
      <c r="J18" s="10"/>
      <c r="K18" s="10"/>
      <c r="L18" s="10"/>
      <c r="M18" s="10"/>
      <c r="N18" s="75" t="s">
        <v>6</v>
      </c>
      <c r="O18" s="76"/>
      <c r="P18" s="76"/>
      <c r="Q18" s="49">
        <f>Q17/1000</f>
        <v>5.3716419999999996</v>
      </c>
      <c r="R18" s="73"/>
      <c r="S18" s="74"/>
    </row>
  </sheetData>
  <mergeCells count="5">
    <mergeCell ref="K1:S1"/>
    <mergeCell ref="S3:S8"/>
    <mergeCell ref="N17:P17"/>
    <mergeCell ref="R17:S18"/>
    <mergeCell ref="N18:P18"/>
  </mergeCells>
  <hyperlinks>
    <hyperlink ref="O10" r:id="rId1"/>
    <hyperlink ref="O11" r:id="rId2"/>
    <hyperlink ref="O15" r:id="rId3"/>
    <hyperlink ref="O14" r:id="rId4"/>
    <hyperlink ref="O16" r:id="rId5"/>
    <hyperlink ref="O13" r:id="rId6"/>
  </hyperlinks>
  <pageMargins left="0.7" right="0.7" top="0.75" bottom="0.75" header="0.3" footer="0.3"/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5 Boards</vt:lpstr>
      <vt:lpstr>20 Boards</vt:lpstr>
      <vt:lpstr>50 Boards</vt:lpstr>
      <vt:lpstr>100 Boards</vt:lpstr>
      <vt:lpstr>500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2023-08-03T12:55:44Z</dcterms:modified>
</cp:coreProperties>
</file>