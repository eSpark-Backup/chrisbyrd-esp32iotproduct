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chrisbyrd-esp32iotproduct\Design Files\LTE-Module-v2.0\BOM\"/>
    </mc:Choice>
  </mc:AlternateContent>
  <bookViews>
    <workbookView xWindow="28680" yWindow="-120" windowWidth="29040" windowHeight="15840"/>
  </bookViews>
  <sheets>
    <sheet name="5 Boards" sheetId="1" r:id="rId1"/>
  </sheets>
  <calcPr calcId="162913"/>
</workbook>
</file>

<file path=xl/calcChain.xml><?xml version="1.0" encoding="utf-8"?>
<calcChain xmlns="http://schemas.openxmlformats.org/spreadsheetml/2006/main">
  <c r="O41" i="1" l="1"/>
  <c r="L41" i="1"/>
  <c r="B41" i="1"/>
  <c r="B42" i="1" l="1"/>
  <c r="L40" i="1" l="1"/>
  <c r="O40" i="1" s="1"/>
  <c r="B40" i="1"/>
  <c r="L39" i="1" l="1"/>
  <c r="O39" i="1" s="1"/>
  <c r="B39" i="1"/>
  <c r="L38" i="1"/>
  <c r="O38" i="1" s="1"/>
  <c r="B38" i="1"/>
  <c r="L37" i="1"/>
  <c r="O37" i="1" s="1"/>
  <c r="B37" i="1"/>
  <c r="L36" i="1"/>
  <c r="O36" i="1" s="1"/>
  <c r="B36" i="1"/>
  <c r="L30" i="1"/>
  <c r="O30" i="1" s="1"/>
  <c r="B30" i="1"/>
  <c r="L35" i="1"/>
  <c r="O35" i="1" s="1"/>
  <c r="B35" i="1"/>
  <c r="L34" i="1"/>
  <c r="O34" i="1" s="1"/>
  <c r="B34" i="1"/>
  <c r="L33" i="1"/>
  <c r="O33" i="1" s="1"/>
  <c r="B33" i="1"/>
  <c r="L31" i="1"/>
  <c r="O31" i="1" s="1"/>
  <c r="B31" i="1"/>
  <c r="L32" i="1"/>
  <c r="O32" i="1" s="1"/>
  <c r="B32" i="1"/>
  <c r="L29" i="1"/>
  <c r="O29" i="1" s="1"/>
  <c r="B29" i="1"/>
  <c r="L28" i="1"/>
  <c r="O28" i="1" s="1"/>
  <c r="B28" i="1"/>
  <c r="L27" i="1"/>
  <c r="O27" i="1" s="1"/>
  <c r="B27" i="1"/>
  <c r="L26" i="1"/>
  <c r="O26" i="1" s="1"/>
  <c r="B26" i="1"/>
  <c r="L25" i="1"/>
  <c r="O25" i="1" s="1"/>
  <c r="B25" i="1"/>
  <c r="L24" i="1"/>
  <c r="O24" i="1" s="1"/>
  <c r="B24" i="1"/>
  <c r="L23" i="1"/>
  <c r="O23" i="1" s="1"/>
  <c r="B23" i="1"/>
  <c r="L22" i="1"/>
  <c r="O22" i="1" s="1"/>
  <c r="B22" i="1"/>
  <c r="L21" i="1"/>
  <c r="O21" i="1" s="1"/>
  <c r="B21" i="1"/>
  <c r="L20" i="1"/>
  <c r="O20" i="1" s="1"/>
  <c r="B20" i="1"/>
  <c r="L19" i="1"/>
  <c r="O19" i="1" s="1"/>
  <c r="B19" i="1"/>
  <c r="L18" i="1"/>
  <c r="O18" i="1" s="1"/>
  <c r="B18" i="1"/>
  <c r="L17" i="1"/>
  <c r="O17" i="1" s="1"/>
  <c r="B17" i="1"/>
  <c r="L16" i="1"/>
  <c r="O16" i="1" s="1"/>
  <c r="B16" i="1"/>
  <c r="L15" i="1"/>
  <c r="O15" i="1" s="1"/>
  <c r="B15" i="1"/>
  <c r="L14" i="1"/>
  <c r="O14" i="1" s="1"/>
  <c r="B14" i="1"/>
  <c r="L13" i="1"/>
  <c r="O13" i="1" s="1"/>
  <c r="B13" i="1"/>
  <c r="L12" i="1"/>
  <c r="O12" i="1" s="1"/>
  <c r="B12" i="1"/>
  <c r="L11" i="1" l="1"/>
  <c r="O11" i="1" s="1"/>
  <c r="L10" i="1"/>
  <c r="O10" i="1" s="1"/>
  <c r="B11" i="1"/>
  <c r="B10" i="1"/>
  <c r="O43" i="1" l="1"/>
  <c r="O44" i="1" s="1"/>
</calcChain>
</file>

<file path=xl/sharedStrings.xml><?xml version="1.0" encoding="utf-8"?>
<sst xmlns="http://schemas.openxmlformats.org/spreadsheetml/2006/main" count="314" uniqueCount="183">
  <si>
    <t>Component list</t>
  </si>
  <si>
    <t>Source Data From:</t>
  </si>
  <si>
    <t>Project:</t>
  </si>
  <si>
    <t>Variant:</t>
  </si>
  <si>
    <t>#</t>
  </si>
  <si>
    <t>None</t>
  </si>
  <si>
    <t>Item Type</t>
  </si>
  <si>
    <t>Capacitor</t>
  </si>
  <si>
    <t>Diode</t>
  </si>
  <si>
    <t>Fuse</t>
  </si>
  <si>
    <t>Pogo Connector</t>
  </si>
  <si>
    <t>SIM Card Connectors</t>
  </si>
  <si>
    <t>LED</t>
  </si>
  <si>
    <t>Mosfet</t>
  </si>
  <si>
    <t>Resistor</t>
  </si>
  <si>
    <t>IC</t>
  </si>
  <si>
    <t>ESD Diode</t>
  </si>
  <si>
    <t>Designator</t>
  </si>
  <si>
    <t>C1</t>
  </si>
  <si>
    <t>C2</t>
  </si>
  <si>
    <t>C6</t>
  </si>
  <si>
    <t>C7</t>
  </si>
  <si>
    <t>C8, C9, C10</t>
  </si>
  <si>
    <t>C12, C14</t>
  </si>
  <si>
    <t>D1</t>
  </si>
  <si>
    <t>D2, D3</t>
  </si>
  <si>
    <t>D4</t>
  </si>
  <si>
    <t>D5</t>
  </si>
  <si>
    <t>F1</t>
  </si>
  <si>
    <t>J1</t>
  </si>
  <si>
    <t>J2</t>
  </si>
  <si>
    <t>J3</t>
  </si>
  <si>
    <t>LED1</t>
  </si>
  <si>
    <t>LED2</t>
  </si>
  <si>
    <t>Q1, Q2, Q3, Q4</t>
  </si>
  <si>
    <t>R3, R5</t>
  </si>
  <si>
    <t>R6, R9</t>
  </si>
  <si>
    <t>R7, R10, R13, R17</t>
  </si>
  <si>
    <t>R8, R11, R14, R18</t>
  </si>
  <si>
    <t>U1</t>
  </si>
  <si>
    <t>U2</t>
  </si>
  <si>
    <t>U5</t>
  </si>
  <si>
    <t>Description</t>
  </si>
  <si>
    <t>CAP CER 33PF 25V C0G/NP0 0402</t>
  </si>
  <si>
    <t>CAP CER 0.1UF 50V X5R 0603</t>
  </si>
  <si>
    <t>CAP CER 1UF 25V X5R 0603</t>
  </si>
  <si>
    <t>CAP CER 22PF 50V C0G/NPO 0402</t>
  </si>
  <si>
    <t>CAP CER 0.1UF 50V X7R 0402</t>
  </si>
  <si>
    <t>DIODE ZENER 5.1V 500MW SOD123</t>
  </si>
  <si>
    <t>35A@8/20us 15V 4.5V@Max Unidirectional DFN1006 TVS ROHS</t>
  </si>
  <si>
    <t>TVS DIODE 5VWM 6.3VC DSN0603-2</t>
  </si>
  <si>
    <t>16A 20V 7V 5V@Max Unidirectional SOT-23 TVS ROHS</t>
  </si>
  <si>
    <t>6V 500mA 40A 1A 0603 Resettable Fuses ROHS</t>
  </si>
  <si>
    <t>PCI Express Mini Card (Mini PCIe)</t>
  </si>
  <si>
    <t>Pogo Pad 2.5mm 4 Pin</t>
  </si>
  <si>
    <t>Copper Alloy Self bomb Gold plating 1.25mm Deck -40℃~+85℃ 260℃ NanoSIM SMD SIM Card Connectors ROHS</t>
  </si>
  <si>
    <t>Yellow-Green 572nm LED Indication - Discrete 2.05V 0603 (1608 Metric)</t>
  </si>
  <si>
    <t>Red 632nm LED Indication - Discrete 2.05V 0603 (1608 Metric)</t>
  </si>
  <si>
    <t>40V 100mW 100@10mA,1V 200mA 300MHz 300mV@50mA,5mA NPN -55℃~+150℃@(Tj) SOT-723 Bipolar Transistors - BJT ROHS</t>
  </si>
  <si>
    <t>RES SMD 0R, 1%, 0.1W, 0603</t>
  </si>
  <si>
    <t>RES 22 OHM 1% 1/10W 0603</t>
  </si>
  <si>
    <t>RES 180 OHM 1% 1/10W 0603</t>
  </si>
  <si>
    <t>RES SMD 4.7K OHM 5% 1/10W 0603</t>
  </si>
  <si>
    <t>RES 47K OHM 5% 1/10W 0603</t>
  </si>
  <si>
    <t>RES SMD 10K OHM 5% 1/10W 0603</t>
  </si>
  <si>
    <t>SMD,30x30mm 2G/3G/4G/5G Modules ROHS</t>
  </si>
  <si>
    <t>IC SWITCH 4PDT 16MLP</t>
  </si>
  <si>
    <t>15V 5 Unidirectional 5V SOT-363 ESD Protection Devices ROHS</t>
  </si>
  <si>
    <t>IC TRNSLTR BIDIRECTIONAL US8</t>
  </si>
  <si>
    <t>Footprint</t>
  </si>
  <si>
    <t>Cap-0603</t>
  </si>
  <si>
    <t>Cap-0402</t>
  </si>
  <si>
    <t>cap-0402</t>
  </si>
  <si>
    <t>SOD-123</t>
  </si>
  <si>
    <t>DFN1006-2L_</t>
  </si>
  <si>
    <t>DSN0603-2</t>
  </si>
  <si>
    <t>Sot-23</t>
  </si>
  <si>
    <t>Fuse-0603</t>
  </si>
  <si>
    <t>XKNANO-113</t>
  </si>
  <si>
    <t>LED-0603</t>
  </si>
  <si>
    <t>SOT-723</t>
  </si>
  <si>
    <t>Res-0603</t>
  </si>
  <si>
    <t>SIM7500E</t>
  </si>
  <si>
    <t>16-MLP (3x3)</t>
  </si>
  <si>
    <t>SOT-363</t>
  </si>
  <si>
    <t>VSSOP-8(2x2.3x0.5)</t>
  </si>
  <si>
    <t>Manufacturer Part Number</t>
  </si>
  <si>
    <t>GRM1555C1E330JA01D</t>
  </si>
  <si>
    <t>CC0603KRX5R9BB104</t>
  </si>
  <si>
    <t>CC0603KRX5R8BB105</t>
  </si>
  <si>
    <t>CC0402JRNPO9BN220</t>
  </si>
  <si>
    <t>C1005X7R1H104KT000F</t>
  </si>
  <si>
    <t>MMSZ5231BT1G</t>
  </si>
  <si>
    <t>ESD5651N-2/TR</t>
  </si>
  <si>
    <t>PESD5V0H1BSFYL</t>
  </si>
  <si>
    <t>ESD5302F-3/TR</t>
  </si>
  <si>
    <t>SMD0603-050</t>
  </si>
  <si>
    <t>POGO Connector 4 Pin</t>
  </si>
  <si>
    <t>19-21/G6C-FM1N2B/3T</t>
  </si>
  <si>
    <t>19-21/R7C-AK1L2BY/3T</t>
  </si>
  <si>
    <t>MMBT3904M</t>
  </si>
  <si>
    <t>RC0603FR-070RL</t>
  </si>
  <si>
    <t>RC0603FR-0722RL</t>
  </si>
  <si>
    <t>RC0603FR-07180RL</t>
  </si>
  <si>
    <t>RC0603JR-074K7L</t>
  </si>
  <si>
    <t>RC0603JR-0747KL</t>
  </si>
  <si>
    <t>AC0603JR-0710KL</t>
  </si>
  <si>
    <t>FSA2567MPX</t>
  </si>
  <si>
    <t>SMF05CT1G-ES</t>
  </si>
  <si>
    <t>TXB0102DCUT</t>
  </si>
  <si>
    <t>Manufacturer</t>
  </si>
  <si>
    <t>Murata</t>
  </si>
  <si>
    <t>Yageo</t>
  </si>
  <si>
    <t>TDK</t>
  </si>
  <si>
    <t>ON Semiconductor</t>
  </si>
  <si>
    <t>WILLSEMI(Will Semicon)</t>
  </si>
  <si>
    <t>Nexperia</t>
  </si>
  <si>
    <t>WILLSEMI</t>
  </si>
  <si>
    <t>TECHFUSE</t>
  </si>
  <si>
    <t>XKB Connectivity</t>
  </si>
  <si>
    <t>Everlight Elec</t>
  </si>
  <si>
    <t>TECH PUBLIC</t>
  </si>
  <si>
    <t>SIMCom</t>
  </si>
  <si>
    <t>ON Semiconductor / Fairchild</t>
  </si>
  <si>
    <t>ElecSuper</t>
  </si>
  <si>
    <t>Texas Instruments</t>
  </si>
  <si>
    <t>33pF</t>
  </si>
  <si>
    <t>0.1uF</t>
  </si>
  <si>
    <t>220uF</t>
  </si>
  <si>
    <t>1uF</t>
  </si>
  <si>
    <t>22PF</t>
  </si>
  <si>
    <t>100nF</t>
  </si>
  <si>
    <t>0R</t>
  </si>
  <si>
    <t>22R</t>
  </si>
  <si>
    <t>180R</t>
  </si>
  <si>
    <t>4.7K</t>
  </si>
  <si>
    <t>47K</t>
  </si>
  <si>
    <t>10K</t>
  </si>
  <si>
    <t>Quantity</t>
  </si>
  <si>
    <t>Alternate Part Number</t>
  </si>
  <si>
    <t>Quantity (5 Boards)</t>
  </si>
  <si>
    <t>Value</t>
  </si>
  <si>
    <t>-</t>
  </si>
  <si>
    <t>Custom</t>
  </si>
  <si>
    <t>PCIE SMD PAD</t>
  </si>
  <si>
    <t xml:space="preserve"> Remarks</t>
  </si>
  <si>
    <t>Links</t>
  </si>
  <si>
    <t>Digikey</t>
  </si>
  <si>
    <t>Unit Cost (5 Boards)</t>
  </si>
  <si>
    <t>Total Cost (5 Boards)</t>
  </si>
  <si>
    <t xml:space="preserve">Total Component Cost </t>
  </si>
  <si>
    <t>Single Board Cost</t>
  </si>
  <si>
    <t>Peripheral</t>
  </si>
  <si>
    <t>Custom Supplier</t>
  </si>
  <si>
    <t>HJ Tech</t>
  </si>
  <si>
    <t>CAP TANT 220UF 20% 6.3V SMD</t>
  </si>
  <si>
    <t>Case-B</t>
  </si>
  <si>
    <t>TLJB227M006R0500</t>
  </si>
  <si>
    <t>Kyocera AVX</t>
  </si>
  <si>
    <t>Bill of Materials for Project [LTE_MODULE_v2.0.]</t>
  </si>
  <si>
    <t>LTE_MODULE_v2.0</t>
  </si>
  <si>
    <t>C5, C11, C13, C15, C16, C17</t>
  </si>
  <si>
    <t>Antenna</t>
  </si>
  <si>
    <t>ANT1</t>
  </si>
  <si>
    <t>RF ANT 1.575GHZ CHIP SOLDER SMD</t>
  </si>
  <si>
    <t>W3011</t>
  </si>
  <si>
    <t>Pulse</t>
  </si>
  <si>
    <t>CAP CER 2.2PF 50V C0G/NPO 0603</t>
  </si>
  <si>
    <t>CC0603CRNPO9BN2R2</t>
  </si>
  <si>
    <t>2.2pF</t>
  </si>
  <si>
    <t>J4, J5</t>
  </si>
  <si>
    <t>U3,U4</t>
  </si>
  <si>
    <t>R1, R2, R12</t>
  </si>
  <si>
    <t>R4, R19</t>
  </si>
  <si>
    <t>1.8 3dBi Vertical 50W - Antennas ROHS</t>
  </si>
  <si>
    <t>BWGSMJWX105-7KJ</t>
  </si>
  <si>
    <t>BAT WIRELESS</t>
  </si>
  <si>
    <t>2 5dBi 4GAntenna Vertical 2.4GHz 10W - Antennas ROHS</t>
  </si>
  <si>
    <t>801-4G</t>
  </si>
  <si>
    <t xml:space="preserve">DreamLNK </t>
  </si>
  <si>
    <t>SMA Connector</t>
  </si>
  <si>
    <t>1 Inner bore SMA Board Edge Bend 11mm 5.35mm Plugin RF Connectors / Coaxial Connectors ROHS</t>
  </si>
  <si>
    <t>HJ-SMA175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</si>
</sst>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h:mm:ss\ AM/PM;@"/>
    <numFmt numFmtId="165" formatCode="&quot;$&quot;#,##0.0000"/>
    <numFmt numFmtId="166" formatCode="&quot;$&quot;#,##0.00"/>
  </numFmts>
  <fonts count="22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b/>
      <sz val="10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4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1" tint="0.499984740745262"/>
        <bgColor indexed="64"/>
      </patternFill>
    </fill>
  </fills>
  <borders count="20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20" fillId="0" borderId="0" applyNumberFormat="0" applyFill="0" applyBorder="0" applyAlignment="0" applyProtection="0"/>
  </cellStyleXfs>
  <cellXfs count="73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6" fillId="3" borderId="11" xfId="0" applyFont="1" applyFill="1" applyBorder="1" applyAlignment="1">
      <alignment vertical="center"/>
    </xf>
    <xf numFmtId="0" fontId="7" fillId="3" borderId="0" xfId="0" applyFont="1" applyFill="1"/>
    <xf numFmtId="0" fontId="8" fillId="3" borderId="5" xfId="0" applyFont="1" applyFill="1" applyBorder="1"/>
    <xf numFmtId="0" fontId="8" fillId="3" borderId="6" xfId="0" applyFont="1" applyFill="1" applyBorder="1"/>
    <xf numFmtId="0" fontId="9" fillId="3" borderId="0" xfId="0" applyFont="1" applyFill="1"/>
    <xf numFmtId="0" fontId="10" fillId="3" borderId="3" xfId="0" applyFont="1" applyFill="1" applyBorder="1" applyAlignment="1" applyProtection="1">
      <alignment horizontal="left" vertical="top"/>
      <protection locked="0"/>
    </xf>
    <xf numFmtId="0" fontId="11" fillId="3" borderId="3" xfId="0" applyFont="1" applyFill="1" applyBorder="1" applyAlignment="1" applyProtection="1">
      <alignment horizontal="left" vertical="top"/>
      <protection locked="0"/>
    </xf>
    <xf numFmtId="0" fontId="13" fillId="3" borderId="10" xfId="0" applyFont="1" applyFill="1" applyBorder="1" applyAlignment="1">
      <alignment vertical="center"/>
    </xf>
    <xf numFmtId="0" fontId="14" fillId="3" borderId="11" xfId="0" applyFont="1" applyFill="1" applyBorder="1" applyAlignment="1">
      <alignment vertical="center"/>
    </xf>
    <xf numFmtId="0" fontId="10" fillId="3" borderId="0" xfId="0" applyFont="1" applyFill="1"/>
    <xf numFmtId="0" fontId="12" fillId="3" borderId="6" xfId="0" applyFont="1" applyFill="1" applyBorder="1"/>
    <xf numFmtId="0" fontId="12" fillId="3" borderId="5" xfId="0" applyFont="1" applyFill="1" applyBorder="1"/>
    <xf numFmtId="0" fontId="10" fillId="3" borderId="5" xfId="0" applyFont="1" applyFill="1" applyBorder="1"/>
    <xf numFmtId="0" fontId="12" fillId="3" borderId="5" xfId="0" applyFont="1" applyFill="1" applyBorder="1" applyAlignment="1">
      <alignment horizontal="left"/>
    </xf>
    <xf numFmtId="0" fontId="15" fillId="3" borderId="0" xfId="0" applyFont="1" applyFill="1"/>
    <xf numFmtId="0" fontId="12" fillId="3" borderId="1" xfId="0" applyFont="1" applyFill="1" applyBorder="1" applyAlignment="1">
      <alignment horizontal="left"/>
    </xf>
    <xf numFmtId="0" fontId="1" fillId="2" borderId="0" xfId="0" applyFont="1" applyFill="1" applyAlignment="1">
      <alignment horizontal="center"/>
    </xf>
    <xf numFmtId="0" fontId="2" fillId="3" borderId="9" xfId="0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5" fillId="3" borderId="7" xfId="0" applyFont="1" applyFill="1" applyBorder="1" applyAlignment="1">
      <alignment horizontal="center"/>
    </xf>
    <xf numFmtId="0" fontId="12" fillId="3" borderId="13" xfId="0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4" fillId="3" borderId="7" xfId="0" applyFont="1" applyFill="1" applyBorder="1" applyAlignment="1">
      <alignment horizontal="center"/>
    </xf>
    <xf numFmtId="0" fontId="12" fillId="3" borderId="0" xfId="0" applyFont="1" applyFill="1"/>
    <xf numFmtId="164" fontId="12" fillId="3" borderId="0" xfId="0" applyNumberFormat="1" applyFont="1" applyFill="1" applyAlignment="1">
      <alignment horizontal="left"/>
    </xf>
    <xf numFmtId="0" fontId="16" fillId="4" borderId="14" xfId="0" applyFont="1" applyFill="1" applyBorder="1" applyAlignment="1">
      <alignment horizontal="center" vertical="center"/>
    </xf>
    <xf numFmtId="0" fontId="16" fillId="4" borderId="11" xfId="0" applyFont="1" applyFill="1" applyBorder="1" applyAlignment="1">
      <alignment horizontal="center" vertical="center"/>
    </xf>
    <xf numFmtId="0" fontId="10" fillId="3" borderId="9" xfId="0" applyFont="1" applyFill="1" applyBorder="1" applyAlignment="1" applyProtection="1">
      <alignment horizontal="center" vertical="center"/>
      <protection locked="0"/>
    </xf>
    <xf numFmtId="0" fontId="10" fillId="3" borderId="10" xfId="0" applyFont="1" applyFill="1" applyBorder="1" applyAlignment="1" applyProtection="1">
      <alignment vertical="center"/>
      <protection locked="0"/>
    </xf>
    <xf numFmtId="0" fontId="11" fillId="3" borderId="10" xfId="0" applyFont="1" applyFill="1" applyBorder="1" applyAlignment="1" applyProtection="1">
      <alignment horizontal="left" vertical="center"/>
      <protection locked="0"/>
    </xf>
    <xf numFmtId="0" fontId="0" fillId="3" borderId="10" xfId="0" applyFill="1" applyBorder="1" applyAlignment="1">
      <alignment vertical="center"/>
    </xf>
    <xf numFmtId="0" fontId="0" fillId="3" borderId="10" xfId="0" applyFill="1" applyBorder="1"/>
    <xf numFmtId="0" fontId="17" fillId="2" borderId="15" xfId="0" applyFont="1" applyFill="1" applyBorder="1" applyAlignment="1">
      <alignment horizontal="center" vertical="center" wrapText="1"/>
    </xf>
    <xf numFmtId="0" fontId="17" fillId="2" borderId="5" xfId="0" applyFont="1" applyFill="1" applyBorder="1" applyAlignment="1">
      <alignment horizontal="center" vertical="center" wrapText="1"/>
    </xf>
    <xf numFmtId="0" fontId="17" fillId="2" borderId="16" xfId="0" applyFont="1" applyFill="1" applyBorder="1" applyAlignment="1">
      <alignment horizontal="center" vertical="center" wrapText="1"/>
    </xf>
    <xf numFmtId="0" fontId="17" fillId="2" borderId="6" xfId="0" applyFont="1" applyFill="1" applyBorder="1" applyAlignment="1">
      <alignment horizontal="center" vertical="center" wrapText="1"/>
    </xf>
    <xf numFmtId="0" fontId="6" fillId="3" borderId="12" xfId="0" applyFont="1" applyFill="1" applyBorder="1" applyAlignment="1">
      <alignment vertical="center"/>
    </xf>
    <xf numFmtId="0" fontId="0" fillId="3" borderId="8" xfId="0" applyFill="1" applyBorder="1"/>
    <xf numFmtId="0" fontId="11" fillId="3" borderId="17" xfId="0" applyFont="1" applyFill="1" applyBorder="1" applyAlignment="1" applyProtection="1">
      <alignment horizontal="left" vertical="top"/>
      <protection locked="0"/>
    </xf>
    <xf numFmtId="0" fontId="2" fillId="3" borderId="10" xfId="0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/>
    </xf>
    <xf numFmtId="0" fontId="3" fillId="3" borderId="5" xfId="0" applyFont="1" applyFill="1" applyBorder="1" applyAlignment="1">
      <alignment horizontal="center"/>
    </xf>
    <xf numFmtId="0" fontId="5" fillId="3" borderId="0" xfId="0" applyFont="1" applyFill="1" applyAlignment="1">
      <alignment horizontal="center"/>
    </xf>
    <xf numFmtId="0" fontId="4" fillId="3" borderId="0" xfId="0" applyFont="1" applyFill="1" applyAlignment="1">
      <alignment horizontal="center"/>
    </xf>
    <xf numFmtId="0" fontId="10" fillId="3" borderId="10" xfId="0" applyFont="1" applyFill="1" applyBorder="1" applyAlignment="1" applyProtection="1">
      <alignment horizontal="center" vertical="center"/>
      <protection locked="0"/>
    </xf>
    <xf numFmtId="0" fontId="12" fillId="3" borderId="3" xfId="0" applyFont="1" applyFill="1" applyBorder="1" applyAlignment="1" applyProtection="1">
      <alignment horizontal="center" vertical="top"/>
      <protection locked="0"/>
    </xf>
    <xf numFmtId="0" fontId="10" fillId="4" borderId="14" xfId="0" applyFont="1" applyFill="1" applyBorder="1" applyAlignment="1">
      <alignment horizontal="center" vertical="center" wrapText="1"/>
    </xf>
    <xf numFmtId="0" fontId="14" fillId="3" borderId="11" xfId="0" quotePrefix="1" applyFont="1" applyFill="1" applyBorder="1" applyAlignment="1">
      <alignment vertical="center"/>
    </xf>
    <xf numFmtId="0" fontId="10" fillId="3" borderId="0" xfId="0" quotePrefix="1" applyFont="1" applyFill="1" applyAlignment="1">
      <alignment horizontal="left"/>
    </xf>
    <xf numFmtId="0" fontId="10" fillId="3" borderId="6" xfId="0" quotePrefix="1" applyFont="1" applyFill="1" applyBorder="1" applyAlignment="1">
      <alignment horizontal="left"/>
    </xf>
    <xf numFmtId="0" fontId="10" fillId="3" borderId="5" xfId="0" quotePrefix="1" applyFont="1" applyFill="1" applyBorder="1" applyAlignment="1">
      <alignment horizontal="left"/>
    </xf>
    <xf numFmtId="0" fontId="18" fillId="2" borderId="15" xfId="0" applyFont="1" applyFill="1" applyBorder="1" applyAlignment="1">
      <alignment horizontal="center" vertical="center" wrapText="1"/>
    </xf>
    <xf numFmtId="0" fontId="19" fillId="2" borderId="15" xfId="0" applyFont="1" applyFill="1" applyBorder="1" applyAlignment="1">
      <alignment horizontal="center" vertical="center" wrapText="1"/>
    </xf>
    <xf numFmtId="0" fontId="19" fillId="2" borderId="16" xfId="0" applyFont="1" applyFill="1" applyBorder="1" applyAlignment="1">
      <alignment horizontal="center" vertical="center" wrapText="1"/>
    </xf>
    <xf numFmtId="0" fontId="8" fillId="3" borderId="0" xfId="0" applyFont="1" applyFill="1" applyBorder="1"/>
    <xf numFmtId="0" fontId="20" fillId="2" borderId="15" xfId="1" applyFill="1" applyBorder="1" applyAlignment="1">
      <alignment horizontal="center" vertical="center" wrapText="1"/>
    </xf>
    <xf numFmtId="0" fontId="20" fillId="2" borderId="16" xfId="1" applyFill="1" applyBorder="1" applyAlignment="1">
      <alignment horizontal="center" vertical="center" wrapText="1"/>
    </xf>
    <xf numFmtId="165" fontId="17" fillId="2" borderId="15" xfId="0" applyNumberFormat="1" applyFont="1" applyFill="1" applyBorder="1" applyAlignment="1">
      <alignment horizontal="center" vertical="center" wrapText="1"/>
    </xf>
    <xf numFmtId="165" fontId="17" fillId="2" borderId="16" xfId="0" applyNumberFormat="1" applyFont="1" applyFill="1" applyBorder="1" applyAlignment="1">
      <alignment horizontal="center" vertical="center" wrapText="1"/>
    </xf>
    <xf numFmtId="166" fontId="17" fillId="2" borderId="16" xfId="0" applyNumberFormat="1" applyFont="1" applyFill="1" applyBorder="1" applyAlignment="1">
      <alignment horizontal="center" vertical="center" wrapText="1"/>
    </xf>
    <xf numFmtId="166" fontId="14" fillId="3" borderId="14" xfId="0" quotePrefix="1" applyNumberFormat="1" applyFont="1" applyFill="1" applyBorder="1" applyAlignment="1">
      <alignment horizontal="center" vertical="center" wrapText="1"/>
    </xf>
    <xf numFmtId="166" fontId="14" fillId="3" borderId="19" xfId="0" applyNumberFormat="1" applyFont="1" applyFill="1" applyBorder="1" applyAlignment="1">
      <alignment horizontal="center" vertical="center"/>
    </xf>
    <xf numFmtId="0" fontId="10" fillId="4" borderId="16" xfId="0" applyFont="1" applyFill="1" applyBorder="1" applyAlignment="1">
      <alignment horizontal="center" vertical="center" wrapText="1"/>
    </xf>
    <xf numFmtId="0" fontId="17" fillId="2" borderId="16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21" fillId="3" borderId="18" xfId="0" applyFont="1" applyFill="1" applyBorder="1" applyAlignment="1" applyProtection="1">
      <alignment horizontal="center" vertical="top"/>
      <protection locked="0"/>
    </xf>
    <xf numFmtId="0" fontId="21" fillId="3" borderId="11" xfId="0" applyFont="1" applyFill="1" applyBorder="1" applyAlignment="1" applyProtection="1">
      <alignment horizontal="center" vertical="top"/>
      <protection locked="0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47625</xdr:colOff>
      <xdr:row>2</xdr:row>
      <xdr:rowOff>19942</xdr:rowOff>
    </xdr:from>
    <xdr:to>
      <xdr:col>15</xdr:col>
      <xdr:colOff>1905000</xdr:colOff>
      <xdr:row>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0059650" y="629542"/>
          <a:ext cx="1857375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digikey.com/en/products/detail/yageo/RC0603FR-070RL/1304008?s=N4IgTCBcDaIEoGEAMA2JBmAYnAtEg7EnADIgC6AvkA" TargetMode="External"/><Relationship Id="rId13" Type="http://schemas.openxmlformats.org/officeDocument/2006/relationships/hyperlink" Target="https://www.digikey.com/en/products/detail/yageo/AC0603JR-0710KL/2827830?s=N4IgTCBcDaIIIGEAMA2JBmAUgJQLRIHYBGJAaQBkQBdAXyA" TargetMode="External"/><Relationship Id="rId18" Type="http://schemas.openxmlformats.org/officeDocument/2006/relationships/hyperlink" Target="https://www.digikey.com/en/products/detail/yageo/CC0603CRNPO9BN2R2/5195148?s=N4IgTCBcDaIMJwAwDZEGY4CUByAFA8gJwBC2YmEAugL5A" TargetMode="External"/><Relationship Id="rId3" Type="http://schemas.openxmlformats.org/officeDocument/2006/relationships/hyperlink" Target="https://www.digikey.com/en/products/detail/yageo/CC0603KRX5R8BB105/2833610?s=N4IgTCBcDaIMJwAwDZEGYDSAlAGgViwA4AhYgRkTxAF0BfIA" TargetMode="External"/><Relationship Id="rId7" Type="http://schemas.openxmlformats.org/officeDocument/2006/relationships/hyperlink" Target="https://www.digikey.com/en/products/detail/nexperia-usa-inc/PESD5V0H1BSFYL/5981341?s=N4IgTCBcDaIAoFEDKARArANQAwAkCMAQkgGICaAMiALoC%2BQA" TargetMode="External"/><Relationship Id="rId12" Type="http://schemas.openxmlformats.org/officeDocument/2006/relationships/hyperlink" Target="https://www.digikey.com/en/products/detail/yageo/RC0603JR-0747KL/726794?s=N4IgTCBcDaIEoGEAMA2JBmAUnAtEg7ACz4DSAMiALoC%2BQA" TargetMode="External"/><Relationship Id="rId17" Type="http://schemas.openxmlformats.org/officeDocument/2006/relationships/hyperlink" Target="https://www.digikey.com/en/products/detail/pulse-electronics/W3011/3025804" TargetMode="External"/><Relationship Id="rId2" Type="http://schemas.openxmlformats.org/officeDocument/2006/relationships/hyperlink" Target="https://www.digikey.com/en/products/detail/yageo/CC0603KRX5R9BB104/5883729?s=N4IgTCBcDaIMJwAwDZEGYDSAlAGgViwE4AhYgRkQBYQBdAXyA" TargetMode="External"/><Relationship Id="rId16" Type="http://schemas.openxmlformats.org/officeDocument/2006/relationships/hyperlink" Target="https://www.digikey.com/en/products/detail/kyocera-avx/TLJB227M006R0500/3068504?s=N4IgTCBcDaICoBkBSAhMYDsBZADDgbAEo4CseIAugL5A" TargetMode="External"/><Relationship Id="rId20" Type="http://schemas.openxmlformats.org/officeDocument/2006/relationships/drawing" Target="../drawings/drawing1.xml"/><Relationship Id="rId1" Type="http://schemas.openxmlformats.org/officeDocument/2006/relationships/hyperlink" Target="https://www.digikey.com/en/products/detail/murata-electronics/GRM1555C1E330JA01D/3693730?s=N4IgTCBcDaIOICUCyBGArBgwigogZjwAYApAQUJQBEQBdAXyA" TargetMode="External"/><Relationship Id="rId6" Type="http://schemas.openxmlformats.org/officeDocument/2006/relationships/hyperlink" Target="https://www.digikey.com/en/products/detail/onsemi/MMSZ5231BT1G/919749" TargetMode="External"/><Relationship Id="rId11" Type="http://schemas.openxmlformats.org/officeDocument/2006/relationships/hyperlink" Target="https://www.digikey.com/en/products/detail/yageo/RC0603JR-074K7L/726785?s=N4IgTCBcDaIEoGEAMA2JBmAUnAtEg7ACwDS%2BAMiALoC%2BQA" TargetMode="External"/><Relationship Id="rId5" Type="http://schemas.openxmlformats.org/officeDocument/2006/relationships/hyperlink" Target="https://www.digikey.com/en/products/detail/tdk-corporation/C1005X7R1H104K050BB/2443410?s=N4IgTCBcDaIMIEYAMSCsANA7AJQQCWQBYBpAFRSQDEQBdAXyA" TargetMode="External"/><Relationship Id="rId15" Type="http://schemas.openxmlformats.org/officeDocument/2006/relationships/hyperlink" Target="https://www.digikey.com/en/products/detail/texas-instruments/TXB0102DCUT/1910149" TargetMode="External"/><Relationship Id="rId10" Type="http://schemas.openxmlformats.org/officeDocument/2006/relationships/hyperlink" Target="https://www.digikey.com/en/products/detail/yageo/RC0603FR-07180RL/726994?s=N4IgTCBcDaIEoGEAMA2JBmAYnAtEg7AIwAcScAMiALoC%2BQA" TargetMode="External"/><Relationship Id="rId19" Type="http://schemas.openxmlformats.org/officeDocument/2006/relationships/printerSettings" Target="../printerSettings/printerSettings1.bin"/><Relationship Id="rId4" Type="http://schemas.openxmlformats.org/officeDocument/2006/relationships/hyperlink" Target="https://www.digikey.com/en/products/detail/yageo/CC0402JRNPO9BN220/302752?s=N4IgTCBcDaIMJwAwBZFgFICUByAFA8gJwBC2YYiIAugL5A" TargetMode="External"/><Relationship Id="rId9" Type="http://schemas.openxmlformats.org/officeDocument/2006/relationships/hyperlink" Target="https://www.digikey.com/en/products/detail/yageo/RC0603FR-0722RL/727055?s=N4IgTCBcDaIEoGEAMA2JBmAYnAtEg7GGHADIgC6AvkA" TargetMode="External"/><Relationship Id="rId14" Type="http://schemas.openxmlformats.org/officeDocument/2006/relationships/hyperlink" Target="https://www.digikey.com/en/products/detail/onsemi/FSA2567MPX/1739703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P44"/>
  <sheetViews>
    <sheetView tabSelected="1" topLeftCell="E12" workbookViewId="0">
      <selection activeCell="N23" sqref="N23"/>
    </sheetView>
  </sheetViews>
  <sheetFormatPr defaultRowHeight="15" x14ac:dyDescent="0.25"/>
  <cols>
    <col min="2" max="2" width="3.140625" style="25" customWidth="1"/>
    <col min="3" max="3" width="18.7109375" style="25" bestFit="1" customWidth="1"/>
    <col min="4" max="4" width="36" bestFit="1" customWidth="1"/>
    <col min="5" max="5" width="30" customWidth="1"/>
    <col min="6" max="6" width="26.5703125" bestFit="1" customWidth="1"/>
    <col min="7" max="7" width="25.28515625" bestFit="1" customWidth="1"/>
    <col min="8" max="8" width="21.42578125" bestFit="1" customWidth="1"/>
    <col min="9" max="9" width="21.5703125" bestFit="1" customWidth="1"/>
    <col min="10" max="10" width="6.140625" bestFit="1" customWidth="1"/>
    <col min="11" max="11" width="8.7109375" bestFit="1" customWidth="1"/>
    <col min="12" max="12" width="18.28515625" bestFit="1" customWidth="1"/>
    <col min="13" max="13" width="10.5703125" customWidth="1"/>
    <col min="14" max="14" width="18.7109375" bestFit="1" customWidth="1"/>
    <col min="15" max="15" width="19.28515625" bestFit="1" customWidth="1"/>
    <col min="16" max="16" width="29.42578125" customWidth="1"/>
  </cols>
  <sheetData>
    <row r="1" spans="1:16" ht="15.75" thickBot="1" x14ac:dyDescent="0.3">
      <c r="A1" s="1"/>
      <c r="B1" s="19"/>
      <c r="C1" s="19"/>
      <c r="D1" s="2"/>
      <c r="E1" s="2"/>
      <c r="F1" s="2"/>
      <c r="G1" s="2"/>
      <c r="H1" s="2"/>
      <c r="I1" s="2"/>
      <c r="J1" s="68"/>
      <c r="K1" s="68"/>
      <c r="L1" s="68"/>
      <c r="M1" s="68"/>
      <c r="N1" s="68"/>
      <c r="O1" s="68"/>
      <c r="P1" s="68"/>
    </row>
    <row r="2" spans="1:16" ht="32.25" thickBot="1" x14ac:dyDescent="0.3">
      <c r="A2" s="1"/>
      <c r="B2" s="20"/>
      <c r="C2" s="43"/>
      <c r="D2" s="10" t="s">
        <v>0</v>
      </c>
      <c r="E2" s="10"/>
      <c r="F2" s="51" t="s">
        <v>159</v>
      </c>
      <c r="G2" s="11"/>
      <c r="H2" s="3"/>
      <c r="I2" s="11"/>
      <c r="J2" s="3"/>
      <c r="K2" s="3"/>
      <c r="L2" s="3"/>
      <c r="M2" s="3"/>
      <c r="N2" s="3"/>
      <c r="O2" s="3"/>
      <c r="P2" s="40"/>
    </row>
    <row r="3" spans="1:16" x14ac:dyDescent="0.25">
      <c r="A3" s="1"/>
      <c r="B3" s="21"/>
      <c r="C3" s="44"/>
      <c r="D3" s="12" t="s">
        <v>1</v>
      </c>
      <c r="E3" s="12"/>
      <c r="F3" s="52" t="s">
        <v>160</v>
      </c>
      <c r="G3" s="12"/>
      <c r="H3" s="4"/>
      <c r="I3" s="12"/>
      <c r="J3" s="4"/>
      <c r="K3" s="4"/>
      <c r="L3" s="4"/>
      <c r="M3" s="4"/>
      <c r="N3" s="4"/>
      <c r="O3" s="4"/>
      <c r="P3" s="69"/>
    </row>
    <row r="4" spans="1:16" x14ac:dyDescent="0.25">
      <c r="A4" s="1"/>
      <c r="B4" s="21"/>
      <c r="C4" s="44"/>
      <c r="D4" s="12" t="s">
        <v>2</v>
      </c>
      <c r="E4" s="12"/>
      <c r="F4" s="53" t="s">
        <v>160</v>
      </c>
      <c r="G4" s="13"/>
      <c r="H4" s="6"/>
      <c r="I4" s="13"/>
      <c r="J4" s="6"/>
      <c r="K4" s="6"/>
      <c r="L4" s="6"/>
      <c r="M4" s="58"/>
      <c r="N4" s="58"/>
      <c r="O4" s="58"/>
      <c r="P4" s="70"/>
    </row>
    <row r="5" spans="1:16" x14ac:dyDescent="0.25">
      <c r="A5" s="1"/>
      <c r="B5" s="21"/>
      <c r="C5" s="44"/>
      <c r="D5" s="12" t="s">
        <v>3</v>
      </c>
      <c r="E5" s="12"/>
      <c r="F5" s="54" t="s">
        <v>5</v>
      </c>
      <c r="G5" s="14"/>
      <c r="H5" s="5"/>
      <c r="I5" s="14"/>
      <c r="J5" s="5"/>
      <c r="K5" s="5"/>
      <c r="L5" s="5"/>
      <c r="M5" s="58"/>
      <c r="N5" s="58"/>
      <c r="O5" s="58"/>
      <c r="P5" s="70"/>
    </row>
    <row r="6" spans="1:16" x14ac:dyDescent="0.25">
      <c r="A6" s="1"/>
      <c r="B6" s="22"/>
      <c r="C6" s="45"/>
      <c r="D6" s="15"/>
      <c r="E6" s="15"/>
      <c r="F6" s="16"/>
      <c r="G6" s="14"/>
      <c r="H6" s="5"/>
      <c r="I6" s="14"/>
      <c r="J6" s="5"/>
      <c r="K6" s="5"/>
      <c r="L6" s="5"/>
      <c r="M6" s="58"/>
      <c r="N6" s="58"/>
      <c r="O6" s="58"/>
      <c r="P6" s="70"/>
    </row>
    <row r="7" spans="1:16" x14ac:dyDescent="0.25">
      <c r="A7" s="1"/>
      <c r="B7" s="23"/>
      <c r="C7" s="46"/>
      <c r="D7" s="17"/>
      <c r="E7" s="17"/>
      <c r="F7" s="18"/>
      <c r="G7" s="17"/>
      <c r="H7" s="7"/>
      <c r="I7" s="17"/>
      <c r="J7" s="7"/>
      <c r="K7" s="7"/>
      <c r="L7" s="7"/>
      <c r="M7" s="7"/>
      <c r="N7" s="7"/>
      <c r="O7" s="7"/>
      <c r="P7" s="70"/>
    </row>
    <row r="8" spans="1:16" ht="15.75" thickBot="1" x14ac:dyDescent="0.3">
      <c r="A8" s="1"/>
      <c r="B8" s="26"/>
      <c r="C8" s="47"/>
      <c r="D8" s="27"/>
      <c r="E8" s="27"/>
      <c r="F8" s="28"/>
      <c r="G8" s="17"/>
      <c r="H8" s="7"/>
      <c r="I8" s="17"/>
      <c r="J8" s="7"/>
      <c r="K8" s="7"/>
      <c r="L8" s="7"/>
      <c r="M8" s="7"/>
      <c r="N8" s="7"/>
      <c r="O8" s="7"/>
      <c r="P8" s="70"/>
    </row>
    <row r="9" spans="1:16" ht="15.75" thickBot="1" x14ac:dyDescent="0.3">
      <c r="A9" s="1"/>
      <c r="B9" s="29" t="s">
        <v>4</v>
      </c>
      <c r="C9" s="29" t="s">
        <v>6</v>
      </c>
      <c r="D9" s="29" t="s">
        <v>17</v>
      </c>
      <c r="E9" s="30" t="s">
        <v>42</v>
      </c>
      <c r="F9" s="29" t="s">
        <v>69</v>
      </c>
      <c r="G9" s="30" t="s">
        <v>86</v>
      </c>
      <c r="H9" s="29" t="s">
        <v>110</v>
      </c>
      <c r="I9" s="29" t="s">
        <v>139</v>
      </c>
      <c r="J9" s="29" t="s">
        <v>141</v>
      </c>
      <c r="K9" s="29" t="s">
        <v>138</v>
      </c>
      <c r="L9" s="29" t="s">
        <v>140</v>
      </c>
      <c r="M9" s="29" t="s">
        <v>146</v>
      </c>
      <c r="N9" s="29" t="s">
        <v>148</v>
      </c>
      <c r="O9" s="29" t="s">
        <v>149</v>
      </c>
      <c r="P9" s="29" t="s">
        <v>145</v>
      </c>
    </row>
    <row r="10" spans="1:16" ht="15.75" thickBot="1" x14ac:dyDescent="0.3">
      <c r="A10" s="1"/>
      <c r="B10" s="50">
        <f>ROW(B10) - ROW($B$9)</f>
        <v>1</v>
      </c>
      <c r="C10" s="56" t="s">
        <v>162</v>
      </c>
      <c r="D10" s="36" t="s">
        <v>163</v>
      </c>
      <c r="E10" s="36" t="s">
        <v>164</v>
      </c>
      <c r="F10" s="36" t="s">
        <v>143</v>
      </c>
      <c r="G10" s="36" t="s">
        <v>165</v>
      </c>
      <c r="H10" s="36" t="s">
        <v>166</v>
      </c>
      <c r="I10" s="36" t="s">
        <v>142</v>
      </c>
      <c r="J10" s="36" t="s">
        <v>142</v>
      </c>
      <c r="K10" s="36">
        <v>1</v>
      </c>
      <c r="L10" s="36">
        <f>K10*5</f>
        <v>5</v>
      </c>
      <c r="M10" s="59" t="s">
        <v>147</v>
      </c>
      <c r="N10" s="61">
        <v>1.59</v>
      </c>
      <c r="O10" s="61">
        <f>N10*L10</f>
        <v>7.95</v>
      </c>
      <c r="P10" s="36"/>
    </row>
    <row r="11" spans="1:16" ht="15.75" thickBot="1" x14ac:dyDescent="0.3">
      <c r="A11" s="1"/>
      <c r="B11" s="50">
        <f t="shared" ref="B11:B42" si="0">ROW(B11) - ROW($B$9)</f>
        <v>2</v>
      </c>
      <c r="C11" s="57" t="s">
        <v>7</v>
      </c>
      <c r="D11" s="38" t="s">
        <v>18</v>
      </c>
      <c r="E11" s="38" t="s">
        <v>167</v>
      </c>
      <c r="F11" s="38" t="s">
        <v>70</v>
      </c>
      <c r="G11" s="38" t="s">
        <v>168</v>
      </c>
      <c r="H11" s="38" t="s">
        <v>112</v>
      </c>
      <c r="I11" s="36" t="s">
        <v>142</v>
      </c>
      <c r="J11" s="38" t="s">
        <v>169</v>
      </c>
      <c r="K11" s="38">
        <v>1</v>
      </c>
      <c r="L11" s="38">
        <f t="shared" ref="L11" si="1">K11*5</f>
        <v>5</v>
      </c>
      <c r="M11" s="60" t="s">
        <v>147</v>
      </c>
      <c r="N11" s="62">
        <v>0.1</v>
      </c>
      <c r="O11" s="61">
        <f t="shared" ref="O11:O29" si="2">N11*L11</f>
        <v>0.5</v>
      </c>
      <c r="P11" s="38"/>
    </row>
    <row r="12" spans="1:16" ht="15.75" thickBot="1" x14ac:dyDescent="0.3">
      <c r="A12" s="1"/>
      <c r="B12" s="50">
        <f>ROW(B12) - ROW($B$9)</f>
        <v>3</v>
      </c>
      <c r="C12" s="57" t="s">
        <v>7</v>
      </c>
      <c r="D12" s="36" t="s">
        <v>19</v>
      </c>
      <c r="E12" s="37" t="s">
        <v>43</v>
      </c>
      <c r="F12" s="36" t="s">
        <v>71</v>
      </c>
      <c r="G12" s="37" t="s">
        <v>87</v>
      </c>
      <c r="H12" s="36" t="s">
        <v>111</v>
      </c>
      <c r="I12" s="36" t="s">
        <v>142</v>
      </c>
      <c r="J12" s="36" t="s">
        <v>126</v>
      </c>
      <c r="K12" s="36">
        <v>1</v>
      </c>
      <c r="L12" s="36">
        <f>K12*5</f>
        <v>5</v>
      </c>
      <c r="M12" s="59" t="s">
        <v>147</v>
      </c>
      <c r="N12" s="61">
        <v>0.1</v>
      </c>
      <c r="O12" s="61">
        <f t="shared" si="2"/>
        <v>0.5</v>
      </c>
      <c r="P12" s="36"/>
    </row>
    <row r="13" spans="1:16" ht="15.75" thickBot="1" x14ac:dyDescent="0.3">
      <c r="A13" s="1"/>
      <c r="B13" s="50">
        <f t="shared" si="0"/>
        <v>4</v>
      </c>
      <c r="C13" s="57" t="s">
        <v>7</v>
      </c>
      <c r="D13" s="38" t="s">
        <v>161</v>
      </c>
      <c r="E13" s="39" t="s">
        <v>44</v>
      </c>
      <c r="F13" s="38" t="s">
        <v>70</v>
      </c>
      <c r="G13" s="39" t="s">
        <v>88</v>
      </c>
      <c r="H13" s="38" t="s">
        <v>112</v>
      </c>
      <c r="I13" s="36" t="s">
        <v>142</v>
      </c>
      <c r="J13" s="38" t="s">
        <v>127</v>
      </c>
      <c r="K13" s="38">
        <v>6</v>
      </c>
      <c r="L13" s="38">
        <f t="shared" ref="L13" si="3">K13*5</f>
        <v>30</v>
      </c>
      <c r="M13" s="60" t="s">
        <v>147</v>
      </c>
      <c r="N13" s="62">
        <v>0.1</v>
      </c>
      <c r="O13" s="61">
        <f t="shared" si="2"/>
        <v>3</v>
      </c>
      <c r="P13" s="38"/>
    </row>
    <row r="14" spans="1:16" ht="15.75" thickBot="1" x14ac:dyDescent="0.3">
      <c r="A14" s="1"/>
      <c r="B14" s="50">
        <f>ROW(B14) - ROW($B$9)</f>
        <v>5</v>
      </c>
      <c r="C14" s="56" t="s">
        <v>7</v>
      </c>
      <c r="D14" s="36" t="s">
        <v>20</v>
      </c>
      <c r="E14" s="36" t="s">
        <v>155</v>
      </c>
      <c r="F14" s="36" t="s">
        <v>156</v>
      </c>
      <c r="G14" s="36" t="s">
        <v>157</v>
      </c>
      <c r="H14" s="36" t="s">
        <v>158</v>
      </c>
      <c r="I14" s="36" t="s">
        <v>142</v>
      </c>
      <c r="J14" s="36" t="s">
        <v>128</v>
      </c>
      <c r="K14" s="36">
        <v>1</v>
      </c>
      <c r="L14" s="36">
        <f>K14*5</f>
        <v>5</v>
      </c>
      <c r="M14" s="60" t="s">
        <v>147</v>
      </c>
      <c r="N14" s="61">
        <v>1.04</v>
      </c>
      <c r="O14" s="61">
        <f t="shared" si="2"/>
        <v>5.2</v>
      </c>
      <c r="P14" s="36"/>
    </row>
    <row r="15" spans="1:16" ht="15.75" thickBot="1" x14ac:dyDescent="0.3">
      <c r="A15" s="1"/>
      <c r="B15" s="50">
        <f t="shared" si="0"/>
        <v>6</v>
      </c>
      <c r="C15" s="56" t="s">
        <v>7</v>
      </c>
      <c r="D15" s="38" t="s">
        <v>21</v>
      </c>
      <c r="E15" s="39" t="s">
        <v>45</v>
      </c>
      <c r="F15" s="38" t="s">
        <v>70</v>
      </c>
      <c r="G15" s="39" t="s">
        <v>89</v>
      </c>
      <c r="H15" s="38" t="s">
        <v>112</v>
      </c>
      <c r="I15" s="36" t="s">
        <v>142</v>
      </c>
      <c r="J15" s="38" t="s">
        <v>129</v>
      </c>
      <c r="K15" s="38">
        <v>1</v>
      </c>
      <c r="L15" s="38">
        <f t="shared" ref="L15" si="4">K15*5</f>
        <v>5</v>
      </c>
      <c r="M15" s="60" t="s">
        <v>147</v>
      </c>
      <c r="N15" s="62">
        <v>0.1</v>
      </c>
      <c r="O15" s="61">
        <f t="shared" si="2"/>
        <v>0.5</v>
      </c>
      <c r="P15" s="38"/>
    </row>
    <row r="16" spans="1:16" ht="15.75" thickBot="1" x14ac:dyDescent="0.3">
      <c r="A16" s="1"/>
      <c r="B16" s="50">
        <f>ROW(B16) - ROW($B$9)</f>
        <v>7</v>
      </c>
      <c r="C16" s="56" t="s">
        <v>7</v>
      </c>
      <c r="D16" s="36" t="s">
        <v>22</v>
      </c>
      <c r="E16" s="37" t="s">
        <v>46</v>
      </c>
      <c r="F16" s="36" t="s">
        <v>71</v>
      </c>
      <c r="G16" s="37" t="s">
        <v>90</v>
      </c>
      <c r="H16" s="36" t="s">
        <v>112</v>
      </c>
      <c r="I16" s="36" t="s">
        <v>142</v>
      </c>
      <c r="J16" s="36" t="s">
        <v>130</v>
      </c>
      <c r="K16" s="36">
        <v>3</v>
      </c>
      <c r="L16" s="36">
        <f>K16*5</f>
        <v>15</v>
      </c>
      <c r="M16" s="59" t="s">
        <v>147</v>
      </c>
      <c r="N16" s="61">
        <v>0.1</v>
      </c>
      <c r="O16" s="61">
        <f t="shared" si="2"/>
        <v>1.5</v>
      </c>
      <c r="P16" s="36"/>
    </row>
    <row r="17" spans="1:16" ht="15.75" thickBot="1" x14ac:dyDescent="0.3">
      <c r="A17" s="1"/>
      <c r="B17" s="50">
        <f t="shared" si="0"/>
        <v>8</v>
      </c>
      <c r="C17" s="57" t="s">
        <v>7</v>
      </c>
      <c r="D17" s="38" t="s">
        <v>23</v>
      </c>
      <c r="E17" s="39" t="s">
        <v>47</v>
      </c>
      <c r="F17" s="38" t="s">
        <v>72</v>
      </c>
      <c r="G17" s="39" t="s">
        <v>91</v>
      </c>
      <c r="H17" s="38" t="s">
        <v>113</v>
      </c>
      <c r="I17" s="36" t="s">
        <v>142</v>
      </c>
      <c r="J17" s="38" t="s">
        <v>131</v>
      </c>
      <c r="K17" s="38">
        <v>2</v>
      </c>
      <c r="L17" s="38">
        <f t="shared" ref="L17" si="5">K17*5</f>
        <v>10</v>
      </c>
      <c r="M17" s="59" t="s">
        <v>147</v>
      </c>
      <c r="N17" s="62">
        <v>0.11</v>
      </c>
      <c r="O17" s="61">
        <f t="shared" si="2"/>
        <v>1.1000000000000001</v>
      </c>
      <c r="P17" s="38"/>
    </row>
    <row r="18" spans="1:16" ht="15.75" thickBot="1" x14ac:dyDescent="0.3">
      <c r="A18" s="1"/>
      <c r="B18" s="50">
        <f>ROW(B18) - ROW($B$9)</f>
        <v>9</v>
      </c>
      <c r="C18" s="56" t="s">
        <v>8</v>
      </c>
      <c r="D18" s="36" t="s">
        <v>24</v>
      </c>
      <c r="E18" s="37" t="s">
        <v>48</v>
      </c>
      <c r="F18" s="36" t="s">
        <v>73</v>
      </c>
      <c r="G18" s="37" t="s">
        <v>92</v>
      </c>
      <c r="H18" s="36" t="s">
        <v>114</v>
      </c>
      <c r="I18" s="36" t="s">
        <v>142</v>
      </c>
      <c r="J18" s="36" t="s">
        <v>142</v>
      </c>
      <c r="K18" s="36">
        <v>1</v>
      </c>
      <c r="L18" s="36">
        <f>K18*5</f>
        <v>5</v>
      </c>
      <c r="M18" s="59" t="s">
        <v>147</v>
      </c>
      <c r="N18" s="61">
        <v>0.23</v>
      </c>
      <c r="O18" s="61">
        <f t="shared" si="2"/>
        <v>1.1500000000000001</v>
      </c>
      <c r="P18" s="36"/>
    </row>
    <row r="19" spans="1:16" ht="30.75" thickBot="1" x14ac:dyDescent="0.3">
      <c r="A19" s="1"/>
      <c r="B19" s="50">
        <f t="shared" si="0"/>
        <v>10</v>
      </c>
      <c r="C19" s="57" t="s">
        <v>8</v>
      </c>
      <c r="D19" s="38" t="s">
        <v>25</v>
      </c>
      <c r="E19" s="39" t="s">
        <v>49</v>
      </c>
      <c r="F19" s="38" t="s">
        <v>74</v>
      </c>
      <c r="G19" s="39" t="s">
        <v>93</v>
      </c>
      <c r="H19" s="38" t="s">
        <v>115</v>
      </c>
      <c r="I19" s="36" t="s">
        <v>142</v>
      </c>
      <c r="J19" s="38" t="s">
        <v>142</v>
      </c>
      <c r="K19" s="38">
        <v>2</v>
      </c>
      <c r="L19" s="38">
        <f t="shared" ref="L19" si="6">K19*5</f>
        <v>10</v>
      </c>
      <c r="M19" s="60" t="s">
        <v>153</v>
      </c>
      <c r="N19" s="62"/>
      <c r="O19" s="61">
        <f t="shared" si="2"/>
        <v>0</v>
      </c>
      <c r="P19" s="38"/>
    </row>
    <row r="20" spans="1:16" ht="15.75" thickBot="1" x14ac:dyDescent="0.3">
      <c r="A20" s="1"/>
      <c r="B20" s="50">
        <f>ROW(B20) - ROW($B$9)</f>
        <v>11</v>
      </c>
      <c r="C20" s="56" t="s">
        <v>8</v>
      </c>
      <c r="D20" s="36" t="s">
        <v>26</v>
      </c>
      <c r="E20" s="37" t="s">
        <v>50</v>
      </c>
      <c r="F20" s="36" t="s">
        <v>75</v>
      </c>
      <c r="G20" s="37" t="s">
        <v>94</v>
      </c>
      <c r="H20" s="36" t="s">
        <v>116</v>
      </c>
      <c r="I20" s="36" t="s">
        <v>142</v>
      </c>
      <c r="J20" s="36" t="s">
        <v>142</v>
      </c>
      <c r="K20" s="36">
        <v>1</v>
      </c>
      <c r="L20" s="36">
        <f>K20*5</f>
        <v>5</v>
      </c>
      <c r="M20" s="59" t="s">
        <v>147</v>
      </c>
      <c r="N20" s="61">
        <v>0.48</v>
      </c>
      <c r="O20" s="61">
        <f t="shared" si="2"/>
        <v>2.4</v>
      </c>
      <c r="P20" s="36"/>
    </row>
    <row r="21" spans="1:16" ht="30.75" thickBot="1" x14ac:dyDescent="0.3">
      <c r="A21" s="1"/>
      <c r="B21" s="50">
        <f t="shared" si="0"/>
        <v>12</v>
      </c>
      <c r="C21" s="57" t="s">
        <v>8</v>
      </c>
      <c r="D21" s="38" t="s">
        <v>27</v>
      </c>
      <c r="E21" s="39" t="s">
        <v>51</v>
      </c>
      <c r="F21" s="38" t="s">
        <v>76</v>
      </c>
      <c r="G21" s="39" t="s">
        <v>95</v>
      </c>
      <c r="H21" s="38" t="s">
        <v>117</v>
      </c>
      <c r="I21" s="36" t="s">
        <v>142</v>
      </c>
      <c r="J21" s="38" t="s">
        <v>142</v>
      </c>
      <c r="K21" s="38">
        <v>1</v>
      </c>
      <c r="L21" s="38">
        <f t="shared" ref="L21" si="7">K21*5</f>
        <v>5</v>
      </c>
      <c r="M21" s="60" t="s">
        <v>153</v>
      </c>
      <c r="N21" s="62"/>
      <c r="O21" s="61">
        <f t="shared" si="2"/>
        <v>0</v>
      </c>
      <c r="P21" s="38"/>
    </row>
    <row r="22" spans="1:16" ht="30.75" thickBot="1" x14ac:dyDescent="0.3">
      <c r="A22" s="1"/>
      <c r="B22" s="50">
        <f>ROW(B22) - ROW($B$9)</f>
        <v>13</v>
      </c>
      <c r="C22" s="56" t="s">
        <v>9</v>
      </c>
      <c r="D22" s="36" t="s">
        <v>28</v>
      </c>
      <c r="E22" s="37" t="s">
        <v>52</v>
      </c>
      <c r="F22" s="36" t="s">
        <v>77</v>
      </c>
      <c r="G22" s="37" t="s">
        <v>96</v>
      </c>
      <c r="H22" s="36" t="s">
        <v>118</v>
      </c>
      <c r="I22" s="36" t="s">
        <v>142</v>
      </c>
      <c r="J22" s="36" t="s">
        <v>142</v>
      </c>
      <c r="K22" s="36">
        <v>1</v>
      </c>
      <c r="L22" s="36">
        <f>K22*5</f>
        <v>5</v>
      </c>
      <c r="M22" s="60" t="s">
        <v>153</v>
      </c>
      <c r="N22" s="61"/>
      <c r="O22" s="61">
        <f t="shared" si="2"/>
        <v>0</v>
      </c>
      <c r="P22" s="36"/>
    </row>
    <row r="23" spans="1:16" ht="36.75" thickBot="1" x14ac:dyDescent="0.3">
      <c r="A23" s="1"/>
      <c r="B23" s="50">
        <f t="shared" si="0"/>
        <v>14</v>
      </c>
      <c r="C23" s="57" t="s">
        <v>180</v>
      </c>
      <c r="D23" s="38" t="s">
        <v>29</v>
      </c>
      <c r="E23" s="38" t="s">
        <v>181</v>
      </c>
      <c r="F23" s="38" t="s">
        <v>143</v>
      </c>
      <c r="G23" s="38" t="s">
        <v>182</v>
      </c>
      <c r="H23" s="38" t="s">
        <v>154</v>
      </c>
      <c r="I23" s="36" t="s">
        <v>142</v>
      </c>
      <c r="J23" s="38" t="s">
        <v>142</v>
      </c>
      <c r="K23" s="38">
        <v>1</v>
      </c>
      <c r="L23" s="38">
        <f t="shared" ref="L23" si="8">K23*5</f>
        <v>5</v>
      </c>
      <c r="M23" s="60" t="s">
        <v>153</v>
      </c>
      <c r="N23" s="62"/>
      <c r="O23" s="61">
        <f t="shared" si="2"/>
        <v>0</v>
      </c>
      <c r="P23" s="38"/>
    </row>
    <row r="24" spans="1:16" ht="15.75" thickBot="1" x14ac:dyDescent="0.3">
      <c r="A24" s="1"/>
      <c r="B24" s="50">
        <f>ROW(B24) - ROW($B$9)</f>
        <v>15</v>
      </c>
      <c r="C24" s="56" t="s">
        <v>144</v>
      </c>
      <c r="D24" s="36" t="s">
        <v>30</v>
      </c>
      <c r="E24" s="37" t="s">
        <v>53</v>
      </c>
      <c r="F24" s="55" t="s">
        <v>143</v>
      </c>
      <c r="G24" s="37" t="s">
        <v>142</v>
      </c>
      <c r="H24" s="36" t="s">
        <v>142</v>
      </c>
      <c r="I24" s="36" t="s">
        <v>142</v>
      </c>
      <c r="J24" s="55" t="s">
        <v>142</v>
      </c>
      <c r="K24" s="36">
        <v>1</v>
      </c>
      <c r="L24" s="36">
        <f>K24*5</f>
        <v>5</v>
      </c>
      <c r="M24" s="55" t="s">
        <v>142</v>
      </c>
      <c r="N24" s="61"/>
      <c r="O24" s="61">
        <f t="shared" si="2"/>
        <v>0</v>
      </c>
      <c r="P24" s="36"/>
    </row>
    <row r="25" spans="1:16" ht="15.75" thickBot="1" x14ac:dyDescent="0.3">
      <c r="A25" s="1"/>
      <c r="B25" s="50">
        <f t="shared" si="0"/>
        <v>16</v>
      </c>
      <c r="C25" s="57" t="s">
        <v>10</v>
      </c>
      <c r="D25" s="38" t="s">
        <v>31</v>
      </c>
      <c r="E25" s="39" t="s">
        <v>54</v>
      </c>
      <c r="F25" s="38" t="s">
        <v>143</v>
      </c>
      <c r="G25" s="39" t="s">
        <v>97</v>
      </c>
      <c r="H25" s="36" t="s">
        <v>142</v>
      </c>
      <c r="I25" s="36" t="s">
        <v>142</v>
      </c>
      <c r="J25" s="55" t="s">
        <v>142</v>
      </c>
      <c r="K25" s="38">
        <v>1</v>
      </c>
      <c r="L25" s="38">
        <f t="shared" ref="L25" si="9">K25*5</f>
        <v>5</v>
      </c>
      <c r="M25" s="55" t="s">
        <v>142</v>
      </c>
      <c r="N25" s="62"/>
      <c r="O25" s="61">
        <f t="shared" si="2"/>
        <v>0</v>
      </c>
      <c r="P25" s="38"/>
    </row>
    <row r="26" spans="1:16" ht="48.75" thickBot="1" x14ac:dyDescent="0.3">
      <c r="A26" s="1"/>
      <c r="B26" s="50">
        <f>ROW(B26) - ROW($B$9)</f>
        <v>17</v>
      </c>
      <c r="C26" s="56" t="s">
        <v>11</v>
      </c>
      <c r="D26" s="36" t="s">
        <v>170</v>
      </c>
      <c r="E26" s="37" t="s">
        <v>55</v>
      </c>
      <c r="F26" s="36" t="s">
        <v>143</v>
      </c>
      <c r="G26" s="37" t="s">
        <v>78</v>
      </c>
      <c r="H26" s="36" t="s">
        <v>119</v>
      </c>
      <c r="I26" s="36" t="s">
        <v>142</v>
      </c>
      <c r="J26" s="36" t="s">
        <v>142</v>
      </c>
      <c r="K26" s="36">
        <v>2</v>
      </c>
      <c r="L26" s="36">
        <f>K26*5</f>
        <v>10</v>
      </c>
      <c r="M26" s="60" t="s">
        <v>153</v>
      </c>
      <c r="N26" s="61"/>
      <c r="O26" s="61">
        <f t="shared" si="2"/>
        <v>0</v>
      </c>
      <c r="P26" s="36"/>
    </row>
    <row r="27" spans="1:16" ht="30.75" thickBot="1" x14ac:dyDescent="0.3">
      <c r="A27" s="1"/>
      <c r="B27" s="50">
        <f>ROW(B27) - ROW($B$9)</f>
        <v>18</v>
      </c>
      <c r="C27" s="56" t="s">
        <v>12</v>
      </c>
      <c r="D27" s="36" t="s">
        <v>32</v>
      </c>
      <c r="E27" s="37" t="s">
        <v>56</v>
      </c>
      <c r="F27" s="36" t="s">
        <v>79</v>
      </c>
      <c r="G27" s="37" t="s">
        <v>98</v>
      </c>
      <c r="H27" s="36" t="s">
        <v>120</v>
      </c>
      <c r="I27" s="36" t="s">
        <v>142</v>
      </c>
      <c r="J27" s="36" t="s">
        <v>142</v>
      </c>
      <c r="K27" s="36">
        <v>1</v>
      </c>
      <c r="L27" s="36">
        <f>K27*5</f>
        <v>5</v>
      </c>
      <c r="M27" s="60" t="s">
        <v>153</v>
      </c>
      <c r="N27" s="61"/>
      <c r="O27" s="61">
        <f t="shared" si="2"/>
        <v>0</v>
      </c>
      <c r="P27" s="36"/>
    </row>
    <row r="28" spans="1:16" ht="30.75" thickBot="1" x14ac:dyDescent="0.3">
      <c r="A28" s="1"/>
      <c r="B28" s="50">
        <f t="shared" si="0"/>
        <v>19</v>
      </c>
      <c r="C28" s="57" t="s">
        <v>12</v>
      </c>
      <c r="D28" s="38" t="s">
        <v>33</v>
      </c>
      <c r="E28" s="39" t="s">
        <v>57</v>
      </c>
      <c r="F28" s="38" t="s">
        <v>79</v>
      </c>
      <c r="G28" s="39" t="s">
        <v>99</v>
      </c>
      <c r="H28" s="38" t="s">
        <v>120</v>
      </c>
      <c r="I28" s="36" t="s">
        <v>142</v>
      </c>
      <c r="J28" s="38" t="s">
        <v>142</v>
      </c>
      <c r="K28" s="38">
        <v>1</v>
      </c>
      <c r="L28" s="38">
        <f t="shared" ref="L28" si="10">K28*5</f>
        <v>5</v>
      </c>
      <c r="M28" s="60" t="s">
        <v>153</v>
      </c>
      <c r="N28" s="62"/>
      <c r="O28" s="61">
        <f t="shared" si="2"/>
        <v>0</v>
      </c>
      <c r="P28" s="38"/>
    </row>
    <row r="29" spans="1:16" ht="48.75" thickBot="1" x14ac:dyDescent="0.3">
      <c r="A29" s="1"/>
      <c r="B29" s="50">
        <f>ROW(B29) - ROW($B$9)</f>
        <v>20</v>
      </c>
      <c r="C29" s="56" t="s">
        <v>13</v>
      </c>
      <c r="D29" s="36" t="s">
        <v>34</v>
      </c>
      <c r="E29" s="37" t="s">
        <v>58</v>
      </c>
      <c r="F29" s="36" t="s">
        <v>80</v>
      </c>
      <c r="G29" s="37" t="s">
        <v>100</v>
      </c>
      <c r="H29" s="36" t="s">
        <v>121</v>
      </c>
      <c r="I29" s="36" t="s">
        <v>142</v>
      </c>
      <c r="J29" s="36" t="s">
        <v>142</v>
      </c>
      <c r="K29" s="36">
        <v>4</v>
      </c>
      <c r="L29" s="36">
        <f>K29*5</f>
        <v>20</v>
      </c>
      <c r="M29" s="60" t="s">
        <v>153</v>
      </c>
      <c r="N29" s="61"/>
      <c r="O29" s="61">
        <f t="shared" si="2"/>
        <v>0</v>
      </c>
      <c r="P29" s="36"/>
    </row>
    <row r="30" spans="1:16" ht="15.75" thickBot="1" x14ac:dyDescent="0.3">
      <c r="A30" s="1"/>
      <c r="B30" s="50">
        <f>ROW(B30) - ROW($B$9)</f>
        <v>21</v>
      </c>
      <c r="C30" s="56" t="s">
        <v>14</v>
      </c>
      <c r="D30" s="36" t="s">
        <v>172</v>
      </c>
      <c r="E30" s="37" t="s">
        <v>64</v>
      </c>
      <c r="F30" s="36" t="s">
        <v>81</v>
      </c>
      <c r="G30" s="37" t="s">
        <v>106</v>
      </c>
      <c r="H30" s="36" t="s">
        <v>112</v>
      </c>
      <c r="I30" s="36" t="s">
        <v>142</v>
      </c>
      <c r="J30" s="36" t="s">
        <v>137</v>
      </c>
      <c r="K30" s="36">
        <v>3</v>
      </c>
      <c r="L30" s="36">
        <f>K30*5</f>
        <v>15</v>
      </c>
      <c r="M30" s="59" t="s">
        <v>147</v>
      </c>
      <c r="N30" s="62">
        <v>0.1</v>
      </c>
      <c r="O30" s="63">
        <f>N30*L30</f>
        <v>1.5</v>
      </c>
      <c r="P30" s="36"/>
    </row>
    <row r="31" spans="1:16" ht="15.75" thickBot="1" x14ac:dyDescent="0.3">
      <c r="A31" s="1"/>
      <c r="B31" s="50">
        <f>ROW(B31) - ROW($B$9)</f>
        <v>22</v>
      </c>
      <c r="C31" s="56" t="s">
        <v>14</v>
      </c>
      <c r="D31" s="36" t="s">
        <v>35</v>
      </c>
      <c r="E31" s="37" t="s">
        <v>60</v>
      </c>
      <c r="F31" s="36" t="s">
        <v>81</v>
      </c>
      <c r="G31" s="37" t="s">
        <v>102</v>
      </c>
      <c r="H31" s="36" t="s">
        <v>112</v>
      </c>
      <c r="I31" s="36" t="s">
        <v>142</v>
      </c>
      <c r="J31" s="36" t="s">
        <v>133</v>
      </c>
      <c r="K31" s="36">
        <v>2</v>
      </c>
      <c r="L31" s="36">
        <f>K31*5</f>
        <v>10</v>
      </c>
      <c r="M31" s="59" t="s">
        <v>147</v>
      </c>
      <c r="N31" s="62">
        <v>0.1</v>
      </c>
      <c r="O31" s="63">
        <f>N31*L31</f>
        <v>1</v>
      </c>
      <c r="P31" s="36"/>
    </row>
    <row r="32" spans="1:16" ht="15.75" thickBot="1" x14ac:dyDescent="0.3">
      <c r="A32" s="1"/>
      <c r="B32" s="50">
        <f t="shared" si="0"/>
        <v>23</v>
      </c>
      <c r="C32" s="57" t="s">
        <v>14</v>
      </c>
      <c r="D32" s="36" t="s">
        <v>173</v>
      </c>
      <c r="E32" s="39" t="s">
        <v>59</v>
      </c>
      <c r="F32" s="38" t="s">
        <v>81</v>
      </c>
      <c r="G32" s="39" t="s">
        <v>101</v>
      </c>
      <c r="H32" s="38" t="s">
        <v>112</v>
      </c>
      <c r="I32" s="36" t="s">
        <v>142</v>
      </c>
      <c r="J32" s="38" t="s">
        <v>132</v>
      </c>
      <c r="K32" s="38">
        <v>2</v>
      </c>
      <c r="L32" s="38">
        <f t="shared" ref="L32" si="11">K32*5</f>
        <v>10</v>
      </c>
      <c r="M32" s="59" t="s">
        <v>147</v>
      </c>
      <c r="N32" s="62">
        <v>0.1</v>
      </c>
      <c r="O32" s="63">
        <f>N32*L32</f>
        <v>1</v>
      </c>
      <c r="P32" s="38"/>
    </row>
    <row r="33" spans="1:16" ht="15.75" thickBot="1" x14ac:dyDescent="0.3">
      <c r="A33" s="1"/>
      <c r="B33" s="50">
        <f t="shared" si="0"/>
        <v>24</v>
      </c>
      <c r="C33" s="57" t="s">
        <v>14</v>
      </c>
      <c r="D33" s="38" t="s">
        <v>36</v>
      </c>
      <c r="E33" s="39" t="s">
        <v>61</v>
      </c>
      <c r="F33" s="38" t="s">
        <v>81</v>
      </c>
      <c r="G33" s="39" t="s">
        <v>103</v>
      </c>
      <c r="H33" s="38" t="s">
        <v>112</v>
      </c>
      <c r="I33" s="36" t="s">
        <v>142</v>
      </c>
      <c r="J33" s="38" t="s">
        <v>134</v>
      </c>
      <c r="K33" s="38">
        <v>2</v>
      </c>
      <c r="L33" s="38">
        <f t="shared" ref="L33" si="12">K33*5</f>
        <v>10</v>
      </c>
      <c r="M33" s="59" t="s">
        <v>147</v>
      </c>
      <c r="N33" s="62">
        <v>0.1</v>
      </c>
      <c r="O33" s="63">
        <f t="shared" ref="O33:O39" si="13">N33*L33</f>
        <v>1</v>
      </c>
      <c r="P33" s="38"/>
    </row>
    <row r="34" spans="1:16" ht="15.75" thickBot="1" x14ac:dyDescent="0.3">
      <c r="A34" s="1"/>
      <c r="B34" s="50">
        <f>ROW(B34) - ROW($B$9)</f>
        <v>25</v>
      </c>
      <c r="C34" s="56" t="s">
        <v>14</v>
      </c>
      <c r="D34" s="36" t="s">
        <v>37</v>
      </c>
      <c r="E34" s="37" t="s">
        <v>62</v>
      </c>
      <c r="F34" s="36" t="s">
        <v>81</v>
      </c>
      <c r="G34" s="37" t="s">
        <v>104</v>
      </c>
      <c r="H34" s="36" t="s">
        <v>112</v>
      </c>
      <c r="I34" s="36" t="s">
        <v>142</v>
      </c>
      <c r="J34" s="36" t="s">
        <v>135</v>
      </c>
      <c r="K34" s="36">
        <v>4</v>
      </c>
      <c r="L34" s="36">
        <f>K34*5</f>
        <v>20</v>
      </c>
      <c r="M34" s="59" t="s">
        <v>147</v>
      </c>
      <c r="N34" s="62">
        <v>0.1</v>
      </c>
      <c r="O34" s="63">
        <f t="shared" si="13"/>
        <v>2</v>
      </c>
      <c r="P34" s="36"/>
    </row>
    <row r="35" spans="1:16" ht="15.75" thickBot="1" x14ac:dyDescent="0.3">
      <c r="A35" s="1"/>
      <c r="B35" s="50">
        <f t="shared" si="0"/>
        <v>26</v>
      </c>
      <c r="C35" s="56" t="s">
        <v>14</v>
      </c>
      <c r="D35" s="38" t="s">
        <v>38</v>
      </c>
      <c r="E35" s="39" t="s">
        <v>63</v>
      </c>
      <c r="F35" s="38" t="s">
        <v>81</v>
      </c>
      <c r="G35" s="39" t="s">
        <v>105</v>
      </c>
      <c r="H35" s="38" t="s">
        <v>112</v>
      </c>
      <c r="I35" s="36" t="s">
        <v>142</v>
      </c>
      <c r="J35" s="38" t="s">
        <v>136</v>
      </c>
      <c r="K35" s="38">
        <v>4</v>
      </c>
      <c r="L35" s="38">
        <f t="shared" ref="L35" si="14">K35*5</f>
        <v>20</v>
      </c>
      <c r="M35" s="59" t="s">
        <v>147</v>
      </c>
      <c r="N35" s="62">
        <v>0.1</v>
      </c>
      <c r="O35" s="63">
        <f t="shared" si="13"/>
        <v>2</v>
      </c>
      <c r="P35" s="38"/>
    </row>
    <row r="36" spans="1:16" ht="30.75" thickBot="1" x14ac:dyDescent="0.3">
      <c r="A36" s="1"/>
      <c r="B36" s="50">
        <f t="shared" si="0"/>
        <v>27</v>
      </c>
      <c r="C36" s="57" t="s">
        <v>15</v>
      </c>
      <c r="D36" s="38" t="s">
        <v>39</v>
      </c>
      <c r="E36" s="39" t="s">
        <v>65</v>
      </c>
      <c r="F36" s="38" t="s">
        <v>143</v>
      </c>
      <c r="G36" s="39" t="s">
        <v>82</v>
      </c>
      <c r="H36" s="38" t="s">
        <v>122</v>
      </c>
      <c r="I36" s="36" t="s">
        <v>142</v>
      </c>
      <c r="J36" s="38" t="s">
        <v>142</v>
      </c>
      <c r="K36" s="38">
        <v>1</v>
      </c>
      <c r="L36" s="38">
        <f t="shared" ref="L36" si="15">K36*5</f>
        <v>5</v>
      </c>
      <c r="M36" s="60" t="s">
        <v>153</v>
      </c>
      <c r="N36" s="62"/>
      <c r="O36" s="63">
        <f t="shared" si="13"/>
        <v>0</v>
      </c>
      <c r="P36" s="38"/>
    </row>
    <row r="37" spans="1:16" ht="24.75" thickBot="1" x14ac:dyDescent="0.3">
      <c r="A37" s="1"/>
      <c r="B37" s="50">
        <f>ROW(B37) - ROW($B$9)</f>
        <v>28</v>
      </c>
      <c r="C37" s="56" t="s">
        <v>15</v>
      </c>
      <c r="D37" s="36" t="s">
        <v>40</v>
      </c>
      <c r="E37" s="37" t="s">
        <v>66</v>
      </c>
      <c r="F37" s="36" t="s">
        <v>83</v>
      </c>
      <c r="G37" s="37" t="s">
        <v>107</v>
      </c>
      <c r="H37" s="36" t="s">
        <v>123</v>
      </c>
      <c r="I37" s="36" t="s">
        <v>142</v>
      </c>
      <c r="J37" s="36" t="s">
        <v>142</v>
      </c>
      <c r="K37" s="36">
        <v>1</v>
      </c>
      <c r="L37" s="36">
        <f>K37*5</f>
        <v>5</v>
      </c>
      <c r="M37" s="59" t="s">
        <v>147</v>
      </c>
      <c r="N37" s="61">
        <v>0.95</v>
      </c>
      <c r="O37" s="63">
        <f t="shared" si="13"/>
        <v>4.75</v>
      </c>
      <c r="P37" s="36"/>
    </row>
    <row r="38" spans="1:16" ht="30.75" thickBot="1" x14ac:dyDescent="0.3">
      <c r="A38" s="1"/>
      <c r="B38" s="50">
        <f>ROW(B38) - ROW($B$9)</f>
        <v>29</v>
      </c>
      <c r="C38" s="56" t="s">
        <v>16</v>
      </c>
      <c r="D38" s="36" t="s">
        <v>171</v>
      </c>
      <c r="E38" s="37" t="s">
        <v>67</v>
      </c>
      <c r="F38" s="36" t="s">
        <v>84</v>
      </c>
      <c r="G38" s="37" t="s">
        <v>108</v>
      </c>
      <c r="H38" s="36" t="s">
        <v>124</v>
      </c>
      <c r="I38" s="36" t="s">
        <v>142</v>
      </c>
      <c r="J38" s="36" t="s">
        <v>142</v>
      </c>
      <c r="K38" s="36">
        <v>1</v>
      </c>
      <c r="L38" s="36">
        <f>K38*5</f>
        <v>5</v>
      </c>
      <c r="M38" s="60" t="s">
        <v>153</v>
      </c>
      <c r="N38" s="61"/>
      <c r="O38" s="63">
        <f t="shared" si="13"/>
        <v>0</v>
      </c>
      <c r="P38" s="36"/>
    </row>
    <row r="39" spans="1:16" ht="15.75" thickBot="1" x14ac:dyDescent="0.3">
      <c r="A39" s="1"/>
      <c r="B39" s="50">
        <f t="shared" si="0"/>
        <v>30</v>
      </c>
      <c r="C39" s="57" t="s">
        <v>15</v>
      </c>
      <c r="D39" s="38" t="s">
        <v>41</v>
      </c>
      <c r="E39" s="39" t="s">
        <v>68</v>
      </c>
      <c r="F39" s="38" t="s">
        <v>85</v>
      </c>
      <c r="G39" s="39" t="s">
        <v>109</v>
      </c>
      <c r="H39" s="38" t="s">
        <v>125</v>
      </c>
      <c r="I39" s="36" t="s">
        <v>142</v>
      </c>
      <c r="J39" s="38" t="s">
        <v>142</v>
      </c>
      <c r="K39" s="38">
        <v>1</v>
      </c>
      <c r="L39" s="38">
        <f t="shared" ref="L39:L41" si="16">K39*5</f>
        <v>5</v>
      </c>
      <c r="M39" s="59" t="s">
        <v>147</v>
      </c>
      <c r="N39" s="62">
        <v>1.08</v>
      </c>
      <c r="O39" s="63">
        <f t="shared" si="13"/>
        <v>5.4</v>
      </c>
      <c r="P39" s="38"/>
    </row>
    <row r="40" spans="1:16" ht="30" x14ac:dyDescent="0.25">
      <c r="A40" s="1"/>
      <c r="B40" s="66">
        <f t="shared" si="0"/>
        <v>31</v>
      </c>
      <c r="C40" s="57" t="s">
        <v>152</v>
      </c>
      <c r="D40" s="38" t="s">
        <v>142</v>
      </c>
      <c r="E40" s="67" t="s">
        <v>174</v>
      </c>
      <c r="F40" s="67"/>
      <c r="G40" s="67" t="s">
        <v>175</v>
      </c>
      <c r="H40" s="67" t="s">
        <v>176</v>
      </c>
      <c r="I40" s="36" t="s">
        <v>142</v>
      </c>
      <c r="J40" s="38" t="s">
        <v>142</v>
      </c>
      <c r="K40" s="38">
        <v>1</v>
      </c>
      <c r="L40" s="38">
        <f t="shared" si="16"/>
        <v>5</v>
      </c>
      <c r="M40" s="60" t="s">
        <v>153</v>
      </c>
      <c r="N40" s="61"/>
      <c r="O40" s="63">
        <f t="shared" ref="O40" si="17">N40*L40</f>
        <v>0</v>
      </c>
      <c r="P40" s="38"/>
    </row>
    <row r="41" spans="1:16" ht="30" x14ac:dyDescent="0.25">
      <c r="A41" s="1"/>
      <c r="B41" s="66">
        <f t="shared" si="0"/>
        <v>32</v>
      </c>
      <c r="C41" s="57" t="s">
        <v>152</v>
      </c>
      <c r="D41" s="38" t="s">
        <v>142</v>
      </c>
      <c r="E41" s="38" t="s">
        <v>177</v>
      </c>
      <c r="F41" s="38" t="s">
        <v>142</v>
      </c>
      <c r="G41" s="38" t="s">
        <v>178</v>
      </c>
      <c r="H41" s="38" t="s">
        <v>179</v>
      </c>
      <c r="I41" s="36" t="s">
        <v>142</v>
      </c>
      <c r="J41" s="38" t="s">
        <v>142</v>
      </c>
      <c r="K41" s="38">
        <v>1</v>
      </c>
      <c r="L41" s="38">
        <f t="shared" si="16"/>
        <v>5</v>
      </c>
      <c r="M41" s="60" t="s">
        <v>153</v>
      </c>
      <c r="N41" s="61"/>
      <c r="O41" s="63">
        <f t="shared" ref="O41" si="18">N41*L41</f>
        <v>0</v>
      </c>
      <c r="P41" s="38"/>
    </row>
    <row r="42" spans="1:16" ht="15.75" thickBot="1" x14ac:dyDescent="0.3">
      <c r="A42" s="1"/>
      <c r="B42" s="66">
        <f t="shared" si="0"/>
        <v>33</v>
      </c>
      <c r="C42" s="57" t="s">
        <v>152</v>
      </c>
      <c r="D42" s="38"/>
      <c r="E42" s="38"/>
      <c r="F42" s="38"/>
      <c r="G42" s="38"/>
      <c r="H42" s="38"/>
      <c r="I42" s="36" t="s">
        <v>142</v>
      </c>
      <c r="J42" s="38"/>
      <c r="K42" s="38"/>
      <c r="L42" s="38"/>
      <c r="M42" s="59"/>
      <c r="N42" s="62"/>
      <c r="O42" s="63"/>
      <c r="P42" s="38"/>
    </row>
    <row r="43" spans="1:16" ht="19.5" thickBot="1" x14ac:dyDescent="0.3">
      <c r="A43" s="1"/>
      <c r="B43" s="31"/>
      <c r="C43" s="48"/>
      <c r="D43" s="32"/>
      <c r="E43" s="33"/>
      <c r="F43" s="34"/>
      <c r="G43" s="35"/>
      <c r="H43" s="34"/>
      <c r="I43" s="35"/>
      <c r="J43" s="35"/>
      <c r="K43" s="35"/>
      <c r="L43" s="71" t="s">
        <v>150</v>
      </c>
      <c r="M43" s="72"/>
      <c r="N43" s="72"/>
      <c r="O43" s="64">
        <f>SUM(O10:O42)</f>
        <v>42.449999999999996</v>
      </c>
      <c r="P43" s="41"/>
    </row>
    <row r="44" spans="1:16" ht="19.5" thickBot="1" x14ac:dyDescent="0.3">
      <c r="A44" s="1"/>
      <c r="B44" s="24"/>
      <c r="C44" s="49"/>
      <c r="D44" s="8"/>
      <c r="E44" s="9"/>
      <c r="F44" s="9"/>
      <c r="G44" s="9"/>
      <c r="H44" s="9"/>
      <c r="I44" s="9"/>
      <c r="J44" s="9"/>
      <c r="K44" s="9"/>
      <c r="L44" s="71" t="s">
        <v>151</v>
      </c>
      <c r="M44" s="72"/>
      <c r="N44" s="72"/>
      <c r="O44" s="65">
        <f>O43/5</f>
        <v>8.4899999999999984</v>
      </c>
      <c r="P44" s="42"/>
    </row>
  </sheetData>
  <mergeCells count="4">
    <mergeCell ref="J1:P1"/>
    <mergeCell ref="P3:P8"/>
    <mergeCell ref="L43:N43"/>
    <mergeCell ref="L44:N44"/>
  </mergeCells>
  <hyperlinks>
    <hyperlink ref="M12" r:id="rId1"/>
    <hyperlink ref="M13" r:id="rId2"/>
    <hyperlink ref="M15" r:id="rId3"/>
    <hyperlink ref="M16" r:id="rId4"/>
    <hyperlink ref="M17" r:id="rId5"/>
    <hyperlink ref="M18" r:id="rId6"/>
    <hyperlink ref="M20" r:id="rId7"/>
    <hyperlink ref="M32" r:id="rId8"/>
    <hyperlink ref="M31" r:id="rId9"/>
    <hyperlink ref="M33" r:id="rId10"/>
    <hyperlink ref="M34" r:id="rId11"/>
    <hyperlink ref="M35" r:id="rId12"/>
    <hyperlink ref="M30" r:id="rId13"/>
    <hyperlink ref="M37" r:id="rId14"/>
    <hyperlink ref="M39" r:id="rId15"/>
    <hyperlink ref="M14" r:id="rId16"/>
    <hyperlink ref="M10" r:id="rId17"/>
    <hyperlink ref="M11" r:id="rId18"/>
  </hyperlinks>
  <pageMargins left="0.7" right="0.7" top="0.75" bottom="0.75" header="0.3" footer="0.3"/>
  <pageSetup paperSize="9" orientation="portrait" r:id="rId19"/>
  <drawing r:id="rId2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5 Boards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2023-08-02T14:58:09Z</dcterms:modified>
</cp:coreProperties>
</file>