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chrisbyrd-esp32iotproduct\Design Files\ESP32IOTProduct\BOM\"/>
    </mc:Choice>
  </mc:AlternateContent>
  <bookViews>
    <workbookView xWindow="28680" yWindow="-120" windowWidth="29040" windowHeight="15840"/>
  </bookViews>
  <sheets>
    <sheet name="20 Boards" sheetId="1" r:id="rId1"/>
  </sheets>
  <calcPr calcId="162913"/>
</workbook>
</file>

<file path=xl/calcChain.xml><?xml version="1.0" encoding="utf-8"?>
<calcChain xmlns="http://schemas.openxmlformats.org/spreadsheetml/2006/main">
  <c r="M11" i="1" l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50" i="1"/>
  <c r="M51" i="1"/>
  <c r="M52" i="1"/>
  <c r="M53" i="1"/>
  <c r="M49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0" i="1"/>
  <c r="Q122" i="1" l="1"/>
  <c r="B122" i="1"/>
  <c r="Q121" i="1"/>
  <c r="B121" i="1"/>
  <c r="Q120" i="1"/>
  <c r="B120" i="1"/>
  <c r="Q119" i="1"/>
  <c r="B119" i="1"/>
  <c r="Q118" i="1"/>
  <c r="B118" i="1"/>
  <c r="Q117" i="1"/>
  <c r="B117" i="1"/>
  <c r="Q116" i="1"/>
  <c r="B116" i="1"/>
  <c r="Q115" i="1"/>
  <c r="B115" i="1"/>
  <c r="Q114" i="1"/>
  <c r="B114" i="1"/>
  <c r="Q113" i="1"/>
  <c r="B113" i="1"/>
  <c r="Q112" i="1"/>
  <c r="B112" i="1"/>
  <c r="Q111" i="1"/>
  <c r="B111" i="1"/>
  <c r="Q110" i="1"/>
  <c r="B110" i="1"/>
  <c r="Q109" i="1"/>
  <c r="B109" i="1"/>
  <c r="Q108" i="1"/>
  <c r="B108" i="1"/>
  <c r="Q107" i="1"/>
  <c r="B107" i="1"/>
  <c r="Q106" i="1"/>
  <c r="B106" i="1"/>
  <c r="Q105" i="1"/>
  <c r="B105" i="1"/>
  <c r="Q104" i="1"/>
  <c r="B104" i="1"/>
  <c r="Q103" i="1"/>
  <c r="B103" i="1"/>
  <c r="Q102" i="1"/>
  <c r="B102" i="1"/>
  <c r="Q101" i="1"/>
  <c r="B101" i="1"/>
  <c r="Q100" i="1"/>
  <c r="B100" i="1"/>
  <c r="Q99" i="1"/>
  <c r="B99" i="1"/>
  <c r="Q98" i="1"/>
  <c r="B98" i="1"/>
  <c r="Q97" i="1"/>
  <c r="B97" i="1"/>
  <c r="B96" i="1"/>
  <c r="Q95" i="1"/>
  <c r="B95" i="1"/>
  <c r="Q94" i="1"/>
  <c r="B94" i="1"/>
  <c r="Q93" i="1"/>
  <c r="B93" i="1"/>
  <c r="Q92" i="1"/>
  <c r="B92" i="1"/>
  <c r="Q91" i="1"/>
  <c r="B91" i="1"/>
  <c r="Q90" i="1"/>
  <c r="B90" i="1"/>
  <c r="Q89" i="1"/>
  <c r="B89" i="1"/>
  <c r="Q88" i="1"/>
  <c r="B88" i="1"/>
  <c r="Q87" i="1"/>
  <c r="B87" i="1"/>
  <c r="Q86" i="1"/>
  <c r="B86" i="1"/>
  <c r="Q85" i="1"/>
  <c r="B85" i="1"/>
  <c r="Q84" i="1"/>
  <c r="B84" i="1"/>
  <c r="Q83" i="1"/>
  <c r="B83" i="1"/>
  <c r="Q82" i="1"/>
  <c r="B82" i="1"/>
  <c r="Q81" i="1"/>
  <c r="B81" i="1"/>
  <c r="Q80" i="1"/>
  <c r="B80" i="1"/>
  <c r="Q79" i="1"/>
  <c r="B79" i="1"/>
  <c r="Q78" i="1"/>
  <c r="B78" i="1"/>
  <c r="Q77" i="1"/>
  <c r="B77" i="1"/>
  <c r="Q76" i="1"/>
  <c r="B76" i="1"/>
  <c r="Q75" i="1"/>
  <c r="B75" i="1"/>
  <c r="Q74" i="1"/>
  <c r="B74" i="1"/>
  <c r="Q73" i="1"/>
  <c r="B73" i="1"/>
  <c r="Q72" i="1"/>
  <c r="B72" i="1"/>
  <c r="Q71" i="1"/>
  <c r="B71" i="1"/>
  <c r="Q70" i="1"/>
  <c r="B70" i="1"/>
  <c r="Q69" i="1"/>
  <c r="B69" i="1"/>
  <c r="Q68" i="1"/>
  <c r="B68" i="1"/>
  <c r="Q67" i="1"/>
  <c r="B67" i="1"/>
  <c r="Q66" i="1"/>
  <c r="B66" i="1"/>
  <c r="Q65" i="1"/>
  <c r="B65" i="1"/>
  <c r="Q64" i="1"/>
  <c r="B64" i="1"/>
  <c r="Q63" i="1"/>
  <c r="B63" i="1"/>
  <c r="Q62" i="1"/>
  <c r="B62" i="1"/>
  <c r="Q61" i="1"/>
  <c r="B61" i="1"/>
  <c r="Q60" i="1"/>
  <c r="B60" i="1"/>
  <c r="Q59" i="1"/>
  <c r="B59" i="1"/>
  <c r="Q58" i="1"/>
  <c r="B58" i="1"/>
  <c r="Q57" i="1"/>
  <c r="B57" i="1"/>
  <c r="Q56" i="1"/>
  <c r="B56" i="1"/>
  <c r="Q55" i="1"/>
  <c r="B55" i="1"/>
  <c r="Q54" i="1"/>
  <c r="B54" i="1"/>
  <c r="Q49" i="1"/>
  <c r="B49" i="1"/>
  <c r="Q53" i="1"/>
  <c r="B53" i="1"/>
  <c r="Q52" i="1"/>
  <c r="B52" i="1"/>
  <c r="Q51" i="1"/>
  <c r="B51" i="1"/>
  <c r="B50" i="1"/>
  <c r="Q48" i="1"/>
  <c r="B48" i="1"/>
  <c r="Q47" i="1"/>
  <c r="B47" i="1"/>
  <c r="Q46" i="1"/>
  <c r="B46" i="1"/>
  <c r="Q45" i="1"/>
  <c r="B45" i="1"/>
  <c r="Q44" i="1"/>
  <c r="B44" i="1"/>
  <c r="Q43" i="1"/>
  <c r="B43" i="1"/>
  <c r="Q42" i="1"/>
  <c r="B42" i="1"/>
  <c r="Q41" i="1"/>
  <c r="B41" i="1"/>
  <c r="Q40" i="1"/>
  <c r="B40" i="1"/>
  <c r="Q39" i="1"/>
  <c r="B39" i="1"/>
  <c r="Q38" i="1"/>
  <c r="B38" i="1"/>
  <c r="Q37" i="1"/>
  <c r="B37" i="1"/>
  <c r="Q36" i="1"/>
  <c r="B36" i="1"/>
  <c r="Q35" i="1"/>
  <c r="B35" i="1"/>
  <c r="Q34" i="1"/>
  <c r="B34" i="1"/>
  <c r="Q33" i="1"/>
  <c r="B33" i="1"/>
  <c r="Q32" i="1"/>
  <c r="B32" i="1"/>
  <c r="Q31" i="1"/>
  <c r="B31" i="1"/>
  <c r="Q30" i="1"/>
  <c r="B30" i="1"/>
  <c r="Q29" i="1"/>
  <c r="B29" i="1"/>
  <c r="Q28" i="1"/>
  <c r="B28" i="1"/>
  <c r="Q27" i="1"/>
  <c r="B27" i="1"/>
  <c r="Q26" i="1"/>
  <c r="B26" i="1"/>
  <c r="Q25" i="1"/>
  <c r="B25" i="1"/>
  <c r="Q24" i="1"/>
  <c r="B24" i="1"/>
  <c r="Q23" i="1"/>
  <c r="B23" i="1"/>
  <c r="Q22" i="1"/>
  <c r="B22" i="1"/>
  <c r="Q21" i="1"/>
  <c r="B21" i="1"/>
  <c r="Q20" i="1"/>
  <c r="B20" i="1"/>
  <c r="Q19" i="1"/>
  <c r="B19" i="1"/>
  <c r="Q18" i="1"/>
  <c r="B18" i="1"/>
  <c r="Q17" i="1"/>
  <c r="B17" i="1"/>
  <c r="Q16" i="1"/>
  <c r="B16" i="1"/>
  <c r="Q15" i="1"/>
  <c r="B15" i="1"/>
  <c r="Q14" i="1"/>
  <c r="B14" i="1"/>
  <c r="Q13" i="1"/>
  <c r="B13" i="1"/>
  <c r="Q12" i="1"/>
  <c r="B12" i="1"/>
  <c r="Q11" i="1" l="1"/>
  <c r="Q10" i="1"/>
  <c r="B11" i="1"/>
  <c r="B10" i="1"/>
  <c r="Q123" i="1" l="1"/>
  <c r="Q124" i="1" s="1"/>
</calcChain>
</file>

<file path=xl/sharedStrings.xml><?xml version="1.0" encoding="utf-8"?>
<sst xmlns="http://schemas.openxmlformats.org/spreadsheetml/2006/main" count="1145" uniqueCount="666">
  <si>
    <t>Component list</t>
  </si>
  <si>
    <t>Source Data From:</t>
  </si>
  <si>
    <t>Project:</t>
  </si>
  <si>
    <t>Variant:</t>
  </si>
  <si>
    <t>#</t>
  </si>
  <si>
    <t xml:space="preserve">Total Component Cost </t>
  </si>
  <si>
    <t>Single Board Cost</t>
  </si>
  <si>
    <t>None</t>
  </si>
  <si>
    <t>Item Type</t>
  </si>
  <si>
    <t>Antenna</t>
  </si>
  <si>
    <t>Capacitor</t>
  </si>
  <si>
    <t>Diode</t>
  </si>
  <si>
    <t>Fuse</t>
  </si>
  <si>
    <t>Ferrite Bead</t>
  </si>
  <si>
    <t>USB Connector</t>
  </si>
  <si>
    <t>Terminal Block</t>
  </si>
  <si>
    <t>RJ45 Connector</t>
  </si>
  <si>
    <t>Connector</t>
  </si>
  <si>
    <t>Header</t>
  </si>
  <si>
    <t>Pogo Connector</t>
  </si>
  <si>
    <t>SMA</t>
  </si>
  <si>
    <t>SIM Card Connectors</t>
  </si>
  <si>
    <t>Relay</t>
  </si>
  <si>
    <t>Inductor</t>
  </si>
  <si>
    <t>LED</t>
  </si>
  <si>
    <t>RGB LED</t>
  </si>
  <si>
    <t>Mosfet</t>
  </si>
  <si>
    <t>Resistor</t>
  </si>
  <si>
    <t>Varistor</t>
  </si>
  <si>
    <t>Solder Bridge</t>
  </si>
  <si>
    <t>Tactile Switch</t>
  </si>
  <si>
    <t>IC</t>
  </si>
  <si>
    <t>Module</t>
  </si>
  <si>
    <t>TVS Diode</t>
  </si>
  <si>
    <t>ESD Diode</t>
  </si>
  <si>
    <t>Crystal</t>
  </si>
  <si>
    <t>Designator</t>
  </si>
  <si>
    <t>ANT1</t>
  </si>
  <si>
    <t>C1, C9, C12, C13, C15, C17, C21, C22, C23, C24, C25, C26, C29, C38, C41, C42, C43, C44, C45, C46, C47, C50, C51, C54, C57, C58, C59, C60, C61, C62, C64, C65, C66, C67, C68, C69, C70, C72, C73</t>
  </si>
  <si>
    <t>C2</t>
  </si>
  <si>
    <t>C3, C33, C34</t>
  </si>
  <si>
    <t>C4</t>
  </si>
  <si>
    <t>C5, C7, C8</t>
  </si>
  <si>
    <t>C6, C14, C16, C18, C40</t>
  </si>
  <si>
    <t>C10</t>
  </si>
  <si>
    <t>C11</t>
  </si>
  <si>
    <t>C19, C20, C55, C56</t>
  </si>
  <si>
    <t>C27, C28, C48, C71</t>
  </si>
  <si>
    <t>C30, C31</t>
  </si>
  <si>
    <t>C32</t>
  </si>
  <si>
    <t>C35</t>
  </si>
  <si>
    <t>C36, C37</t>
  </si>
  <si>
    <t>C39, C52, C53</t>
  </si>
  <si>
    <t>C49</t>
  </si>
  <si>
    <t>C63</t>
  </si>
  <si>
    <t>D1, D19</t>
  </si>
  <si>
    <t>D2</t>
  </si>
  <si>
    <t>D3</t>
  </si>
  <si>
    <t>D4, D11, D12, D13</t>
  </si>
  <si>
    <t>D5</t>
  </si>
  <si>
    <t>D6</t>
  </si>
  <si>
    <t>D7, D8</t>
  </si>
  <si>
    <t>D9, D10</t>
  </si>
  <si>
    <t>D14, D16, D20, D22, D24, D26, D28, D30</t>
  </si>
  <si>
    <t>D15, D17, D18, D21, D23, D25, D27, D29, D31</t>
  </si>
  <si>
    <t>F1</t>
  </si>
  <si>
    <t>F2, F3, F6, F7, F8, F9, F10, F11</t>
  </si>
  <si>
    <t>F4</t>
  </si>
  <si>
    <t>F5</t>
  </si>
  <si>
    <t>FB1</t>
  </si>
  <si>
    <t>FB2, FB3</t>
  </si>
  <si>
    <t>J1</t>
  </si>
  <si>
    <t>J2, J3, J4, J5, J6, J8, J9</t>
  </si>
  <si>
    <t>J7</t>
  </si>
  <si>
    <t>J10</t>
  </si>
  <si>
    <t>J11</t>
  </si>
  <si>
    <t>J13</t>
  </si>
  <si>
    <t>J14</t>
  </si>
  <si>
    <t>J15</t>
  </si>
  <si>
    <t>J16</t>
  </si>
  <si>
    <t>K1, K2, K3, K4</t>
  </si>
  <si>
    <t>L1</t>
  </si>
  <si>
    <t>L2</t>
  </si>
  <si>
    <t>L3</t>
  </si>
  <si>
    <t>LED1</t>
  </si>
  <si>
    <t>LED2</t>
  </si>
  <si>
    <t>LED3, LED5</t>
  </si>
  <si>
    <t>LED4</t>
  </si>
  <si>
    <t>LED6</t>
  </si>
  <si>
    <t>LED7, LED8, LED9, LED10</t>
  </si>
  <si>
    <t>Q1, Q3, Q4, Q6, Q8</t>
  </si>
  <si>
    <t>Q2</t>
  </si>
  <si>
    <t>Q5</t>
  </si>
  <si>
    <t>R1, R7, R14, R16, R22, R23, R24, R27, R28, R29, R30, R31, R32, R49, R52, R54, R66, R71, R78, R79, R87, R88, R89, R93, R94, R110, R111</t>
  </si>
  <si>
    <t>R2, R3, R4, R6, R92, R105, R106, R108</t>
  </si>
  <si>
    <t>R5</t>
  </si>
  <si>
    <t>R8, R26, R37, R60</t>
  </si>
  <si>
    <t>R9, R10, R18, R19</t>
  </si>
  <si>
    <t>R11, R64</t>
  </si>
  <si>
    <t>R12, R13, R15, R17</t>
  </si>
  <si>
    <t>R20, R21</t>
  </si>
  <si>
    <t>R25, R56, R57, R59</t>
  </si>
  <si>
    <t>R33</t>
  </si>
  <si>
    <t>R34, R107</t>
  </si>
  <si>
    <t>R36, R39, R100, R101, R102, R103</t>
  </si>
  <si>
    <t>R40, R43</t>
  </si>
  <si>
    <t>R41, R44, R47, R50, R62, R63, R90, R91, R95, R96, R97, R98, R99, R104</t>
  </si>
  <si>
    <t>R53</t>
  </si>
  <si>
    <t>R55</t>
  </si>
  <si>
    <t>R58</t>
  </si>
  <si>
    <t>R61</t>
  </si>
  <si>
    <t>R65</t>
  </si>
  <si>
    <t>R67, R114</t>
  </si>
  <si>
    <t>R68, R69, R75, R76</t>
  </si>
  <si>
    <t>R70</t>
  </si>
  <si>
    <t>R72</t>
  </si>
  <si>
    <t>R74</t>
  </si>
  <si>
    <t>R77, R80, R81, R82, R83, R84, R85, R86</t>
  </si>
  <si>
    <t>R109</t>
  </si>
  <si>
    <t>R112</t>
  </si>
  <si>
    <t>R113</t>
  </si>
  <si>
    <t>SW1, SW2, SW3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</si>
  <si>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</si>
  <si>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</si>
  <si>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</si>
  <si>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</si>
  <si>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</si>
  <si>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</si>
  <si>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</si>
  <si>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</si>
  <si>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</si>
  <si>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</si>
  <si>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</si>
  <si>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</si>
  <si>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</si>
  <si>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U14, U27, U28, U30</t>
  </si>
  <si>
    <t>U15</t>
  </si>
  <si>
    <t>U16, U17, U18, U19, U20, U21, U23, U24</t>
  </si>
  <si>
    <t>U22</t>
  </si>
  <si>
    <t>U25</t>
  </si>
  <si>
    <t>U26</t>
  </si>
  <si>
    <t>U29</t>
  </si>
  <si>
    <t>U31</t>
  </si>
  <si>
    <t>U32</t>
  </si>
  <si>
    <t>U33</t>
  </si>
  <si>
    <t>X1</t>
  </si>
  <si>
    <t>X2</t>
  </si>
  <si>
    <t>Description</t>
  </si>
  <si>
    <t>Standard GNSS Antenna Linear 50Ohm 1602MHz Surface Mount</t>
  </si>
  <si>
    <t>CAP CER 0.1UF 50V X5R 0603</t>
  </si>
  <si>
    <t>CAP ALUM POLY 330UF 20% 25V SMD</t>
  </si>
  <si>
    <t>CAP CER 10000PF 100V X7R 0603</t>
  </si>
  <si>
    <t>CAP ALUM 100UF 20% 50V SMD</t>
  </si>
  <si>
    <t>68uF 63V ±20% SMD,D10xL10mm Aluminum Electrolytic Capacitors - SMD ROHS</t>
  </si>
  <si>
    <t>CAP CER 1UF 25V X5R 0603</t>
  </si>
  <si>
    <t>CAP ALUM POLY 47UF 20% 25V SMD</t>
  </si>
  <si>
    <t>CAP ALUM 10UF 20% 25V SMD</t>
  </si>
  <si>
    <t>CAP CER 22UF 10V X5R 0603</t>
  </si>
  <si>
    <t>CAP CER 10UF 25V X5R 0603</t>
  </si>
  <si>
    <t>50V 6.8nF X7R ±10% 0603</t>
  </si>
  <si>
    <t>CAP CER 0.022UF 100V X7R 0603</t>
  </si>
  <si>
    <t>CAP CER, 4.7 µF, 25 V, 0603</t>
  </si>
  <si>
    <t>CAP CER 12PF 100V C0G/NP0 0603</t>
  </si>
  <si>
    <t>CAP ALUM 220UF 20% 50V SMD</t>
  </si>
  <si>
    <t>CAP CER 33PF 25V C0G/NP0 0402</t>
  </si>
  <si>
    <t>2.7V 100F 18x60mm HV supercapacitorsCylindrical cells HV1860-2R7107-R farah capacitance Low ESR high power density</t>
  </si>
  <si>
    <t>TVS DIODE 5VWM 6.3VC DSN0603-2</t>
  </si>
  <si>
    <t>100V Single 650mV@20A 20A TO-277 Schottky Barrier Diodes (SBD) ROHS</t>
  </si>
  <si>
    <t>16A 20V 7V 5V@Max Unidirectional SOT-23 TVS ROHS</t>
  </si>
  <si>
    <t>SMB(DO-214AA) TVS ROHS</t>
  </si>
  <si>
    <t>DIODE GEN PURP 75V 200MA SOD523F</t>
  </si>
  <si>
    <t>DIODE ZENER 5.1V 500MW SOD123</t>
  </si>
  <si>
    <t>35A@8/20us 15V 4.5V@Max Unidirectional DFN1006 TVS ROHS</t>
  </si>
  <si>
    <t>Single 5.2V~6V 200mW 5.6V SOD-323 Zener Diodes ROHS</t>
  </si>
  <si>
    <t>Schottky Barrier Diode SK36, DO-214AB, 3A/60V</t>
  </si>
  <si>
    <t>58.1V 40V 36V Bi-Directional SMB(DO-214AA) TVS ROHS</t>
  </si>
  <si>
    <t>PTC RESET FUSE 6V 3A 1206</t>
  </si>
  <si>
    <t>33V 1.5A 40A 3A 1812 Resettable Fuses ROHS</t>
  </si>
  <si>
    <t>30V 5A 5A 2920 Resettable Fuses ROHS</t>
  </si>
  <si>
    <t>6V 500mA 40A 1A 0603 Resettable Fuses ROHS</t>
  </si>
  <si>
    <t>FERRITE BEAD 120 OHM 1206 1LN</t>
  </si>
  <si>
    <t>FERRITE BEAD 600 OHM 1210 1LN</t>
  </si>
  <si>
    <t>CONN RCPT USB2.0 MICRO B SMD R/A</t>
  </si>
  <si>
    <t>1x3P 18A -40℃~+105℃ 250V Black 12~30 Straight pin 5.08mm 2.5 1 3 Plugin,P=5.08mm Screw terminal ROHS</t>
  </si>
  <si>
    <t>Through Hole Ethernet Connectors/Modular Connectors (RJ45 RJ11) ROHS</t>
  </si>
  <si>
    <t>1x6P SH 1 1mm 6 SMD,P=1mm Wire To Board / Wire To Wire Connector ROHS</t>
  </si>
  <si>
    <t>2.54mm Plugin 3A bronze -40℃~+105℃ Straight 1x4P Top 4 Square Holes Plugin,P=2.54mm Female Headers ROHS</t>
  </si>
  <si>
    <t>Pogo Pad 2.5mm 4 Pin</t>
  </si>
  <si>
    <t>1 Inner bore SMA Board Edge Bend -55℃~+155℃ 50Ω Plugin RF Connectors / Coaxial Connectors ROHS</t>
  </si>
  <si>
    <t>CONN U.FL RCPT STR 50 OHM SMD</t>
  </si>
  <si>
    <t>Copper Alloy Self bomb Gold plating 1.25mm Deck -40℃~+85℃ 260℃ NanoSIM SMD SIM Card Connectors ROHS</t>
  </si>
  <si>
    <t>1x2P 18A -40℃~+105℃ 250V Black 12~30 Straight pin 5.08mm 2.5 1 2 Plugin,P=5.08mm Screw terminal ROHS</t>
  </si>
  <si>
    <t>AgCdO 5V 10A SPDT (1 Form C) Electromagnetic Relay-Single Coil Plugin Power Relays ROHS</t>
  </si>
  <si>
    <t>7A 10uH ±20% 10A SMD,10.3x10.5mm Power Inductors ROHS</t>
  </si>
  <si>
    <t>FIXED IND 27NH 590MA 116MOHM SMD</t>
  </si>
  <si>
    <t>FIXED IND 1UH 5.8A 26 MOHM SMD</t>
  </si>
  <si>
    <t>Green 520~535nm 0402 Light Emitting Diodes (LED) RoHS</t>
  </si>
  <si>
    <t>Yellow-Green 572nm LED Indication - Discrete 2.05V 0603 (1608 Metric)</t>
  </si>
  <si>
    <t>Red 632nm LED Indication - Discrete 2.05V 0603 (1608 Metric)</t>
  </si>
  <si>
    <t>Emerald 0603 Light Emitting Diodes (LED) ROHS</t>
  </si>
  <si>
    <t>blue 0603 Light Emitting Diodes (LED) ROHS</t>
  </si>
  <si>
    <t>RGB SMD5050 Light Emitting Diodes (LED) ROHS</t>
  </si>
  <si>
    <t>40V 100mW 100@10mA,1V 200mA 300MHz 300mV@50mA,5mA NPN -55℃~+150℃@(Tj) SOT-723 Bipolar Transistors - BJT ROHS</t>
  </si>
  <si>
    <t>MOSFET P-CH 12V 2.6A SUPERSOT3</t>
  </si>
  <si>
    <t>50V 220mA 3.5Ω@10V,220mA 225mW 1.6V@1mA N Channel SOT-23 MOSFETs ROHS</t>
  </si>
  <si>
    <t>RES SMD 10K OHM 5% 1/10W 0603</t>
  </si>
  <si>
    <t>RES SMD 1K OHM 1% 1/10W 0603</t>
  </si>
  <si>
    <t>RES SMD 100K OHM 0.1% 1/10W 0603</t>
  </si>
  <si>
    <t>RES SMD 0R, 1%, 0.1W, 0603</t>
  </si>
  <si>
    <t>RES 49.9 OHM 1% 1/10W 0603</t>
  </si>
  <si>
    <t>RES SMD 10 OHM 1% 1/10W 0603</t>
  </si>
  <si>
    <t>RES SMD 0603 33 Ohm 1% 1/10W</t>
  </si>
  <si>
    <t>RES  SMD 330R 100 mW 0603</t>
  </si>
  <si>
    <t>RES SMD 1M OHM 1% 1/10W 0603</t>
  </si>
  <si>
    <t>RES SMD 12.4K OHM 1% 1/10W 0603</t>
  </si>
  <si>
    <t>RES 470 OHM 1% 1/10W 0603</t>
  </si>
  <si>
    <t>RES 22 OHM 1% 1/10W 0603</t>
  </si>
  <si>
    <t>RES 180 OHM 1% 1/10W 0603</t>
  </si>
  <si>
    <t>RES SMD 4.7K OHM 5% 1/10W 0603</t>
  </si>
  <si>
    <t>RES 47K OHM 5% 1/10W 0603</t>
  </si>
  <si>
    <t>100mW Thick Film Resistors ±1% 3.24kΩ 0603 Chip Resistor - Surface Mount ROHS</t>
  </si>
  <si>
    <t>RES 4.42M OHM 1% 1/10W 0603</t>
  </si>
  <si>
    <t>RES 120 OHM 1% 1/10W 0603</t>
  </si>
  <si>
    <t>125mW Thick Film Resistors ±1% 1.8MΩ 0805 Chip Resistor - Surface Mount ROHS</t>
  </si>
  <si>
    <t>RES SMD 20K OHM 0.1% 1/10W 0603</t>
  </si>
  <si>
    <t>RES 499K OHM 1% 1/16W 0402</t>
  </si>
  <si>
    <t>RES SMD 0603 56K Ohm 5% 0.1W</t>
  </si>
  <si>
    <t>RES 330K OHM 1% 1/10W 0603</t>
  </si>
  <si>
    <t>RES 100K OHM 5% 1/10W 0603</t>
  </si>
  <si>
    <t>RES SMD 68K OHM 0.1% 1/10W 0603</t>
  </si>
  <si>
    <t>RES 2.2K OHM 1% 1/10W 0603</t>
  </si>
  <si>
    <t>RES SMD 150K OHM 5% 1/3W 0603</t>
  </si>
  <si>
    <t>VARISTOR 47V 500A DISC 10MM</t>
  </si>
  <si>
    <t>100mW Thick Film Resistors ±1% 402kΩ 0603 Chip Resistor - Surface Mount ROHS</t>
  </si>
  <si>
    <t>Solder Bridge ON</t>
  </si>
  <si>
    <t>50mA Brick nogging SPST 100MΩ 1000000 times 250gf@±30gf 12V SMD Tactile Switches ROHS</t>
  </si>
  <si>
    <t>1.6-V TO 5.5-V, 40-M, 2.5-A, LOW</t>
  </si>
  <si>
    <t>IC REG BUCK ADJUSTABLE 5A 8SOPWR</t>
  </si>
  <si>
    <t>72dB@(120Hz) 5A Fixed 3.3V~3.3V Positive 12V TO-263-3 Linear Voltage Regulators (LDO) ROHS</t>
  </si>
  <si>
    <t>SMD,18x25.5mm WiFi Modules ROHS</t>
  </si>
  <si>
    <t>SPI LQFP-48(7x7) Ethernet ICs ROHS</t>
  </si>
  <si>
    <t>TVS DIODE 5.5VWM 8.5VC SOT23-5</t>
  </si>
  <si>
    <t>SMD,30x30mm 2G/3G/4G/5G Modules ROHS</t>
  </si>
  <si>
    <t>15V 5 Unidirectional 5V SOT-363 ESD Protection Devices ROHS</t>
  </si>
  <si>
    <t>IC REG LDO ADJ 3A TO263-5</t>
  </si>
  <si>
    <t>GLOBAL IOT EMBEDDED SIM CHIP</t>
  </si>
  <si>
    <t>IC SWITCH 4PDT 16MLP</t>
  </si>
  <si>
    <t>IC BATT MFUNC SUPERCAP 14TDFN</t>
  </si>
  <si>
    <t>IC TRNSLTR BIDIRECTIONAL US8</t>
  </si>
  <si>
    <t>9V 200mA 100A 500mA 0805 Resettable Fuses ROHS</t>
  </si>
  <si>
    <t>IC XPNDR 1.7MHZ I2C 28SSOP</t>
  </si>
  <si>
    <t>TransistorOptocouplers DC 1 2500Vrms SOP-4_P1.27 Optocouplers RoHS</t>
  </si>
  <si>
    <t>100uA@50V 3V@2V,300mA 1.6V@350mA 4mA@12V 100uA@50V 1.25V@350mA 500mA 25pF SOP-16_150mil Darlington Transistor Arrays ROHS</t>
  </si>
  <si>
    <t>SOP-8 RS-485/RS-422 ICs ROHS</t>
  </si>
  <si>
    <t>IC TRANSCEIVER FULL 2/2 16SOIC</t>
  </si>
  <si>
    <t>IC AUTHENTICATION CHIP 8SOIC</t>
  </si>
  <si>
    <t>DGTL ISO 2.5KV GEN PURP 8SOIC</t>
  </si>
  <si>
    <t>IC TELECOM INTERFACE 20SSOP</t>
  </si>
  <si>
    <t>SMD3225-4P Crystals ROHS</t>
  </si>
  <si>
    <t>3.579545MHz 20pF ±20ppm ±30ppm HC-49S Crystals ROHS</t>
  </si>
  <si>
    <t>Footprint</t>
  </si>
  <si>
    <t>2118900-1</t>
  </si>
  <si>
    <t>Cap-0603</t>
  </si>
  <si>
    <t>25SVPF330M</t>
  </si>
  <si>
    <t>UUD-100uF-8mmDia</t>
  </si>
  <si>
    <t>VE-680M1JTR-1010</t>
  </si>
  <si>
    <t>25SVPF47M</t>
  </si>
  <si>
    <t>EEEFT1H221AP</t>
  </si>
  <si>
    <t>Cap-0402</t>
  </si>
  <si>
    <t>HV1860-2R7107-R</t>
  </si>
  <si>
    <t>DSN0603-2</t>
  </si>
  <si>
    <t>TO-277</t>
  </si>
  <si>
    <t>Sot-23</t>
  </si>
  <si>
    <t>SMB_</t>
  </si>
  <si>
    <t>SOD-523F</t>
  </si>
  <si>
    <t>SOD-123</t>
  </si>
  <si>
    <t>DFN1006-2L_</t>
  </si>
  <si>
    <t>SOD-323</t>
  </si>
  <si>
    <t>Fuse 1206 (3216 Metric)</t>
  </si>
  <si>
    <t>Fuse-1812_</t>
  </si>
  <si>
    <t>Fuse-2920</t>
  </si>
  <si>
    <t>Fuse-0603</t>
  </si>
  <si>
    <t>IND-1206</t>
  </si>
  <si>
    <t>IND-1210</t>
  </si>
  <si>
    <t>DB128L-5.08-3P-BK-S</t>
  </si>
  <si>
    <t>HDR1X4 Female</t>
  </si>
  <si>
    <t>XKNANO-113</t>
  </si>
  <si>
    <t>DB128L-5.08-2P-BK-S</t>
  </si>
  <si>
    <t>JQC-3FF/005-1ZS(551)</t>
  </si>
  <si>
    <t>PSPMAA1040-100M-ANP</t>
  </si>
  <si>
    <t>LED-0402</t>
  </si>
  <si>
    <t>LED-0603</t>
  </si>
  <si>
    <t>WS2812B-B/W</t>
  </si>
  <si>
    <t>SOT-723</t>
  </si>
  <si>
    <t>SOT-23</t>
  </si>
  <si>
    <t>Res-0603</t>
  </si>
  <si>
    <t>RES-0805</t>
  </si>
  <si>
    <t>Res-0402</t>
  </si>
  <si>
    <t>B72210S0300K101</t>
  </si>
  <si>
    <t>K2-6639SP-C4SC-04</t>
  </si>
  <si>
    <t>SOT-583</t>
  </si>
  <si>
    <t>8-SO-EP_</t>
  </si>
  <si>
    <t>TO263-3_</t>
  </si>
  <si>
    <t>41-SMD Module</t>
  </si>
  <si>
    <t>48-LQFP (7x7)_</t>
  </si>
  <si>
    <t>SOT-23-5</t>
  </si>
  <si>
    <t>SIM7500E</t>
  </si>
  <si>
    <t>SOT-363</t>
  </si>
  <si>
    <t>TO-263-5 (D2PAK)</t>
  </si>
  <si>
    <t>QNF8 (6 x 5mm)</t>
  </si>
  <si>
    <t>16-MLP (3x3)</t>
  </si>
  <si>
    <t>TDFN-14-EP(3x3)</t>
  </si>
  <si>
    <t>VSSOP-8(2x2.3x0.5)</t>
  </si>
  <si>
    <t>Fuse-0805</t>
  </si>
  <si>
    <t>SSOP-28-208mil</t>
  </si>
  <si>
    <t>PS2801C-1-F3-A</t>
  </si>
  <si>
    <t>SOP-16_150mil</t>
  </si>
  <si>
    <t>SOP-8</t>
  </si>
  <si>
    <t>SOIC-16</t>
  </si>
  <si>
    <t>SOIC-8</t>
  </si>
  <si>
    <t>NX3225GA-25MHZ-STD-CRG-2</t>
  </si>
  <si>
    <t>X49SD3579545MSD2SC-1</t>
  </si>
  <si>
    <t>Manufacturer Part Number</t>
  </si>
  <si>
    <t>CC0603KRX5R9BB104</t>
  </si>
  <si>
    <t>AC0603KRX7R0BB103</t>
  </si>
  <si>
    <t>UUD1H101MNL1GS</t>
  </si>
  <si>
    <t>CC0603KRX5R8BB105</t>
  </si>
  <si>
    <t>EDK106M025A9BAA</t>
  </si>
  <si>
    <t>CC0603MRX5R6BB226</t>
  </si>
  <si>
    <t>C1608X5R1E106M080AC</t>
  </si>
  <si>
    <t>0603B682K500NT</t>
  </si>
  <si>
    <t>CGA3E2X7R2A223K080AA</t>
  </si>
  <si>
    <t>C1608X5R1E475KT000E</t>
  </si>
  <si>
    <t>GCM1885C2A120JA16D</t>
  </si>
  <si>
    <t>GRM1555C1E330JA01D</t>
  </si>
  <si>
    <t>PESD5V0H1BSFYL</t>
  </si>
  <si>
    <t>ST20100L</t>
  </si>
  <si>
    <t>ESD5302F-3/TR</t>
  </si>
  <si>
    <t>SMBJ26CA</t>
  </si>
  <si>
    <t>1N4148WT</t>
  </si>
  <si>
    <t>MMSZ5231BT1G</t>
  </si>
  <si>
    <t>ESD5651N-2/TR</t>
  </si>
  <si>
    <t>BZT52C5V6S</t>
  </si>
  <si>
    <t>SS36</t>
  </si>
  <si>
    <t>SMBJ36CA</t>
  </si>
  <si>
    <t>1206L300SLTHYR</t>
  </si>
  <si>
    <t>BSMD1812-150-33V</t>
  </si>
  <si>
    <t>SHV2920P500-30-AA</t>
  </si>
  <si>
    <t>SMD0603-050</t>
  </si>
  <si>
    <t>BLM31PG121SN1L</t>
  </si>
  <si>
    <t>FBMH3225HM601NT</t>
  </si>
  <si>
    <t>10118194-0001LF</t>
  </si>
  <si>
    <t>HY951180A</t>
  </si>
  <si>
    <t>C145963</t>
  </si>
  <si>
    <t>C2718488</t>
  </si>
  <si>
    <t>POGO Connector 4 Pin</t>
  </si>
  <si>
    <t>HJ-SMA508</t>
  </si>
  <si>
    <t>U.FL-R-SMT-1(80)</t>
  </si>
  <si>
    <t>LQW18AN27NG10D</t>
  </si>
  <si>
    <t>WPN4020H1R0MT</t>
  </si>
  <si>
    <t>16-213/GHC-YR1S1/3T</t>
  </si>
  <si>
    <t>19-21/G6C-FM1N2B/3T</t>
  </si>
  <si>
    <t>19-21/R7C-AK1L2BY/3T</t>
  </si>
  <si>
    <t>NCD0603G2</t>
  </si>
  <si>
    <t>NCD0603B3</t>
  </si>
  <si>
    <t>MMBT3904M</t>
  </si>
  <si>
    <t>FDN306P</t>
  </si>
  <si>
    <t>BSS138</t>
  </si>
  <si>
    <t>AC0603JR-0710KL</t>
  </si>
  <si>
    <t>RC0603FR-071KL</t>
  </si>
  <si>
    <t>RT0603BRD07100KL</t>
  </si>
  <si>
    <t>RC0603FR-070RL</t>
  </si>
  <si>
    <t>RC0603FR-0749R9L</t>
  </si>
  <si>
    <t>RC0603FR-0710RL</t>
  </si>
  <si>
    <t>RC0603FR-0733RL</t>
  </si>
  <si>
    <t>RC0603JR-07330RL</t>
  </si>
  <si>
    <t>RC0603FR-071ML</t>
  </si>
  <si>
    <t>RC0603FR-0712K4L</t>
  </si>
  <si>
    <t>RC0603FR-07470RL</t>
  </si>
  <si>
    <t>RC0603FR-0722RL</t>
  </si>
  <si>
    <t>RC0603FR-07180RL</t>
  </si>
  <si>
    <t>RC0603JR-074K7L</t>
  </si>
  <si>
    <t>RC0603JR-0747KL</t>
  </si>
  <si>
    <t>0603WAF3241T5E</t>
  </si>
  <si>
    <t>RC0603FR-074M42L</t>
  </si>
  <si>
    <t>RC0603FR-07120RL</t>
  </si>
  <si>
    <t>FRC0805F1804TS</t>
  </si>
  <si>
    <t>RT0603BRD0720KL</t>
  </si>
  <si>
    <t>RC0402FR-07499KL</t>
  </si>
  <si>
    <t>RC0603JR-0756KL</t>
  </si>
  <si>
    <t>RC0603FR-07330KL</t>
  </si>
  <si>
    <t>RC0603JR-07100KL</t>
  </si>
  <si>
    <t>RT0603BRD0768KL</t>
  </si>
  <si>
    <t>RC0603FR-072K2L</t>
  </si>
  <si>
    <t>ERJ-PA3J154V</t>
  </si>
  <si>
    <t>FRC0603F4023TS</t>
  </si>
  <si>
    <t>TPS2116DRLR</t>
  </si>
  <si>
    <t>TPS5450DDAR</t>
  </si>
  <si>
    <t>LM1084S-3.3/TR</t>
  </si>
  <si>
    <t>ESP32-S3-WROOM-1-N8R2</t>
  </si>
  <si>
    <t>W5500</t>
  </si>
  <si>
    <t>SP0504BAHTG</t>
  </si>
  <si>
    <t>SMF05CT1G-ES</t>
  </si>
  <si>
    <t>MIC29302WU-TR</t>
  </si>
  <si>
    <t>SIM-ST-MFF2</t>
  </si>
  <si>
    <t>FSA2567MPX</t>
  </si>
  <si>
    <t>MAX38888ATD+T</t>
  </si>
  <si>
    <t>TXB0102DCUT</t>
  </si>
  <si>
    <t>SMD0805P020TF</t>
  </si>
  <si>
    <t>MCP23017T-E/SS</t>
  </si>
  <si>
    <t>ULN2003A</t>
  </si>
  <si>
    <t>SP3485EIM/TR</t>
  </si>
  <si>
    <t>MAX3232IDR</t>
  </si>
  <si>
    <t>ATECC608B-SSHDA-B</t>
  </si>
  <si>
    <t>ADUM1201ARZ-RL7</t>
  </si>
  <si>
    <t>ADUM1200ARZ-RL7</t>
  </si>
  <si>
    <t>MT8870DN1</t>
  </si>
  <si>
    <t>Manufacturer</t>
  </si>
  <si>
    <t>TE Connectivity</t>
  </si>
  <si>
    <t>Yageo</t>
  </si>
  <si>
    <t>Panasonic</t>
  </si>
  <si>
    <t>Nichicon</t>
  </si>
  <si>
    <t>Lelon</t>
  </si>
  <si>
    <t>KEMET</t>
  </si>
  <si>
    <t>TDK</t>
  </si>
  <si>
    <t>FH</t>
  </si>
  <si>
    <t>Murata</t>
  </si>
  <si>
    <t>Eaton-Electronics Division</t>
  </si>
  <si>
    <t>Nexperia</t>
  </si>
  <si>
    <t>Jiangsu Changjing Electronics Technology Co., Ltd.</t>
  </si>
  <si>
    <t>WILLSEMI</t>
  </si>
  <si>
    <t>MSKSEMI</t>
  </si>
  <si>
    <t>ON Semiconductor / Fairchild</t>
  </si>
  <si>
    <t>ON Semiconductor</t>
  </si>
  <si>
    <t>WILLSEMI(Will Semicon)</t>
  </si>
  <si>
    <t>Jiangsu Changjing Electronics Technology Co.</t>
  </si>
  <si>
    <t>Slkor(SLKORMICRO Elec.)</t>
  </si>
  <si>
    <t>Littelfuse</t>
  </si>
  <si>
    <t>BHFUSE</t>
  </si>
  <si>
    <t>PTTC(Polytronics Tech)</t>
  </si>
  <si>
    <t>TECHFUSE</t>
  </si>
  <si>
    <t>Taiyo Yuden</t>
  </si>
  <si>
    <t>Amphenol FCI</t>
  </si>
  <si>
    <t>DIBO</t>
  </si>
  <si>
    <t>HANRUN</t>
  </si>
  <si>
    <t>BOOMELE</t>
  </si>
  <si>
    <t>HJ Tech</t>
  </si>
  <si>
    <t>Hirose</t>
  </si>
  <si>
    <t>XKB Connectivity</t>
  </si>
  <si>
    <t>HF(Xiamen Hongfa Electroacoustic)</t>
  </si>
  <si>
    <t>PROD Tech</t>
  </si>
  <si>
    <t>Sunlord</t>
  </si>
  <si>
    <t>Everlight Elec</t>
  </si>
  <si>
    <t>Foshan NationStar Optoelectronics</t>
  </si>
  <si>
    <t>Worldsemi</t>
  </si>
  <si>
    <t>TECH PUBLIC</t>
  </si>
  <si>
    <t>UNI-ROYAL</t>
  </si>
  <si>
    <t>FOJAN</t>
  </si>
  <si>
    <t>TDK EPCOS</t>
  </si>
  <si>
    <t>Korean Hroparts Elec</t>
  </si>
  <si>
    <t>Texas Instruments</t>
  </si>
  <si>
    <t>HGSEMI</t>
  </si>
  <si>
    <t>Espressif Systems</t>
  </si>
  <si>
    <t>WIZNET</t>
  </si>
  <si>
    <t>SIMCom</t>
  </si>
  <si>
    <t>ElecSuper</t>
  </si>
  <si>
    <t>Microchip</t>
  </si>
  <si>
    <t>Hologram</t>
  </si>
  <si>
    <t>Maxim</t>
  </si>
  <si>
    <t>RUILON</t>
  </si>
  <si>
    <t>Mixic</t>
  </si>
  <si>
    <t>Analog Devices</t>
  </si>
  <si>
    <t>Microsemi</t>
  </si>
  <si>
    <t>NDK</t>
  </si>
  <si>
    <t>Yangxing Tech</t>
  </si>
  <si>
    <t>LCSC Part Number</t>
  </si>
  <si>
    <t>C178367</t>
  </si>
  <si>
    <t>C149602</t>
  </si>
  <si>
    <t>C116241</t>
  </si>
  <si>
    <t>C249560</t>
  </si>
  <si>
    <t>C14664</t>
  </si>
  <si>
    <t>C136280</t>
  </si>
  <si>
    <t>C109447</t>
  </si>
  <si>
    <t>C2168289</t>
  </si>
  <si>
    <t>C1631</t>
  </si>
  <si>
    <t>C76615</t>
  </si>
  <si>
    <t>C701298</t>
  </si>
  <si>
    <t>C477989</t>
  </si>
  <si>
    <t>C2693410</t>
  </si>
  <si>
    <t>C239643</t>
  </si>
  <si>
    <t>C5331111</t>
  </si>
  <si>
    <t>C232841</t>
  </si>
  <si>
    <t>C66198</t>
  </si>
  <si>
    <t>C239784</t>
  </si>
  <si>
    <t>C22612</t>
  </si>
  <si>
    <t>C16015</t>
  </si>
  <si>
    <t>C556189</t>
  </si>
  <si>
    <t>C207041</t>
  </si>
  <si>
    <t>C883154</t>
  </si>
  <si>
    <t>C495350</t>
  </si>
  <si>
    <t>C85841</t>
  </si>
  <si>
    <t>C268004</t>
  </si>
  <si>
    <t>C132563</t>
  </si>
  <si>
    <t>C430602</t>
  </si>
  <si>
    <t>C34677</t>
  </si>
  <si>
    <t>C1509209</t>
  </si>
  <si>
    <t>C88374</t>
  </si>
  <si>
    <t>C381071</t>
  </si>
  <si>
    <t>C430601</t>
  </si>
  <si>
    <t>C9221</t>
  </si>
  <si>
    <t>C2983105</t>
  </si>
  <si>
    <t>C701182</t>
  </si>
  <si>
    <t>C98359</t>
  </si>
  <si>
    <t>C74338</t>
  </si>
  <si>
    <t>C93689</t>
  </si>
  <si>
    <t>C1322287</t>
  </si>
  <si>
    <t>C87326</t>
  </si>
  <si>
    <t>C158101</t>
  </si>
  <si>
    <t>C114586</t>
  </si>
  <si>
    <t>C2923360</t>
  </si>
  <si>
    <t>C725031</t>
  </si>
  <si>
    <t>C426569</t>
  </si>
  <si>
    <t>C140867</t>
  </si>
  <si>
    <t>C22548</t>
  </si>
  <si>
    <t>C122538</t>
  </si>
  <si>
    <t>C100044</t>
  </si>
  <si>
    <t>C114625</t>
  </si>
  <si>
    <t>C109318</t>
  </si>
  <si>
    <t>C108661</t>
  </si>
  <si>
    <t>C105879</t>
  </si>
  <si>
    <t>C105578</t>
  </si>
  <si>
    <t>C137798</t>
  </si>
  <si>
    <t>C114669</t>
  </si>
  <si>
    <t>C107701</t>
  </si>
  <si>
    <t>C137786</t>
  </si>
  <si>
    <t>C105428</t>
  </si>
  <si>
    <t>C127447</t>
  </si>
  <si>
    <t>C22994</t>
  </si>
  <si>
    <t>C482859</t>
  </si>
  <si>
    <t>C114640</t>
  </si>
  <si>
    <t>C2930213</t>
  </si>
  <si>
    <t>C723637</t>
  </si>
  <si>
    <t>C137971</t>
  </si>
  <si>
    <t>C137618</t>
  </si>
  <si>
    <t>C114618</t>
  </si>
  <si>
    <t>C100048</t>
  </si>
  <si>
    <t>C114662</t>
  </si>
  <si>
    <t>C125513</t>
  </si>
  <si>
    <t>C2960796</t>
  </si>
  <si>
    <t>C83206</t>
  </si>
  <si>
    <t>C3235557</t>
  </si>
  <si>
    <t>C114425</t>
  </si>
  <si>
    <t>C259972</t>
  </si>
  <si>
    <t>C2913204</t>
  </si>
  <si>
    <t>C32843</t>
  </si>
  <si>
    <t>C10675</t>
  </si>
  <si>
    <t>C126259</t>
  </si>
  <si>
    <t>C5180312</t>
  </si>
  <si>
    <t>C11149</t>
  </si>
  <si>
    <t>C512961</t>
  </si>
  <si>
    <t>C2931491</t>
  </si>
  <si>
    <t>C2677366</t>
  </si>
  <si>
    <t>C20976</t>
  </si>
  <si>
    <t>C558584</t>
  </si>
  <si>
    <t>C181730</t>
  </si>
  <si>
    <t>C519086</t>
  </si>
  <si>
    <t>C18261</t>
  </si>
  <si>
    <t>C5444784</t>
  </si>
  <si>
    <t>C9669</t>
  </si>
  <si>
    <t>C15219</t>
  </si>
  <si>
    <t>C1522106</t>
  </si>
  <si>
    <t>C438901</t>
  </si>
  <si>
    <t>C2195</t>
  </si>
  <si>
    <t>0.1uF</t>
  </si>
  <si>
    <t>330uF</t>
  </si>
  <si>
    <t>10nF</t>
  </si>
  <si>
    <t>100uF</t>
  </si>
  <si>
    <t>68uF</t>
  </si>
  <si>
    <t>1uF</t>
  </si>
  <si>
    <t>47uF</t>
  </si>
  <si>
    <t>10uF</t>
  </si>
  <si>
    <t>22uF</t>
  </si>
  <si>
    <t>6.8nF</t>
  </si>
  <si>
    <t>22nF</t>
  </si>
  <si>
    <t>4.7uF</t>
  </si>
  <si>
    <t>12pF</t>
  </si>
  <si>
    <t>220uF</t>
  </si>
  <si>
    <t>33pF</t>
  </si>
  <si>
    <t>100F</t>
  </si>
  <si>
    <t>10uH</t>
  </si>
  <si>
    <t>27nH</t>
  </si>
  <si>
    <t>1uH</t>
  </si>
  <si>
    <t>Green</t>
  </si>
  <si>
    <t>Yellow</t>
  </si>
  <si>
    <t>RED</t>
  </si>
  <si>
    <t>Emerald</t>
  </si>
  <si>
    <t>Blue</t>
  </si>
  <si>
    <t>10K</t>
  </si>
  <si>
    <t>1K</t>
  </si>
  <si>
    <t>100K</t>
  </si>
  <si>
    <t>0R</t>
  </si>
  <si>
    <t>49.9R</t>
  </si>
  <si>
    <t>10R</t>
  </si>
  <si>
    <t>33R</t>
  </si>
  <si>
    <t>330R</t>
  </si>
  <si>
    <t>1M</t>
  </si>
  <si>
    <t>12.4K</t>
  </si>
  <si>
    <t>470R</t>
  </si>
  <si>
    <t>22R</t>
  </si>
  <si>
    <t>180R</t>
  </si>
  <si>
    <t>4.7K</t>
  </si>
  <si>
    <t>47K</t>
  </si>
  <si>
    <t>3.24K</t>
  </si>
  <si>
    <t>4.42M</t>
  </si>
  <si>
    <t>120R</t>
  </si>
  <si>
    <t>1.8MR</t>
  </si>
  <si>
    <t>20K</t>
  </si>
  <si>
    <t>499K</t>
  </si>
  <si>
    <t>56K</t>
  </si>
  <si>
    <t>330K</t>
  </si>
  <si>
    <t>68K</t>
  </si>
  <si>
    <t>2.2K</t>
  </si>
  <si>
    <t>150K</t>
  </si>
  <si>
    <t>402K</t>
  </si>
  <si>
    <t>25MHZ</t>
  </si>
  <si>
    <t>3.579545MHz</t>
  </si>
  <si>
    <t>Quantity</t>
  </si>
  <si>
    <t>Bill of Materials for Project [ESP32IOTProduct]</t>
  </si>
  <si>
    <t>ESP32IOTProduct</t>
  </si>
  <si>
    <t>Alternate Part Number</t>
  </si>
  <si>
    <t>Quantity (20 Boards)</t>
  </si>
  <si>
    <t>MOQ (20 Boards)</t>
  </si>
  <si>
    <t>Links</t>
  </si>
  <si>
    <t>Unit Cost (20 Boards)</t>
  </si>
  <si>
    <t>Total Cost (20 Boards)</t>
  </si>
  <si>
    <t>Remarks</t>
  </si>
  <si>
    <t>Reviewer Remarks</t>
  </si>
  <si>
    <t>Value</t>
  </si>
  <si>
    <t>UFL Connector</t>
  </si>
  <si>
    <t>Custom</t>
  </si>
  <si>
    <t>SOP-4</t>
  </si>
  <si>
    <t>-</t>
  </si>
  <si>
    <t>LCSC</t>
  </si>
  <si>
    <t>C69679</t>
  </si>
  <si>
    <t>R42, R45, R46, R48, R51, R73</t>
  </si>
  <si>
    <t>C705793</t>
  </si>
  <si>
    <t>C386152</t>
  </si>
  <si>
    <t>UMK107B104KAHT</t>
  </si>
  <si>
    <t>C313105</t>
  </si>
  <si>
    <t>0402N330J250CT</t>
  </si>
  <si>
    <t>C458864</t>
  </si>
  <si>
    <t>J12, J17, J18, J19</t>
  </si>
  <si>
    <t>C2907102</t>
  </si>
  <si>
    <t>FRC0603J154 TS</t>
  </si>
  <si>
    <t>SB1, SB2</t>
  </si>
  <si>
    <t>C67112</t>
  </si>
  <si>
    <t>RENESAS</t>
  </si>
  <si>
    <t>Aliexpress</t>
  </si>
  <si>
    <t>Non Stock ON LCSC</t>
  </si>
  <si>
    <t>Digikey</t>
  </si>
  <si>
    <t xml:space="preserve">Ye part LCSC per available ni ha </t>
  </si>
  <si>
    <t>Do NOT Mount</t>
  </si>
  <si>
    <t>UCD1H221MNL1GS</t>
  </si>
  <si>
    <t>C116211</t>
  </si>
  <si>
    <t>C72484</t>
  </si>
  <si>
    <t>RVT1E100M0405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</si>
</sst>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8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trike/>
      <sz val="9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strike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8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4" borderId="1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1" xfId="0" applyNumberFormat="1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 vertical="center" wrapText="1"/>
    </xf>
    <xf numFmtId="165" fontId="18" fillId="2" borderId="17" xfId="0" applyNumberFormat="1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8" fillId="2" borderId="22" xfId="0" applyFont="1" applyFill="1" applyBorder="1" applyAlignment="1">
      <alignment horizontal="center" vertical="center" wrapText="1"/>
    </xf>
    <xf numFmtId="0" fontId="22" fillId="2" borderId="17" xfId="1" applyFill="1" applyBorder="1" applyAlignment="1">
      <alignment horizontal="center" vertical="center" wrapText="1"/>
    </xf>
    <xf numFmtId="0" fontId="22" fillId="2" borderId="16" xfId="1" applyFill="1" applyBorder="1" applyAlignment="1">
      <alignment horizontal="center" vertical="center" wrapText="1"/>
    </xf>
    <xf numFmtId="0" fontId="23" fillId="2" borderId="17" xfId="0" applyFont="1" applyFill="1" applyBorder="1" applyAlignment="1">
      <alignment horizontal="center" vertical="center" wrapText="1"/>
    </xf>
    <xf numFmtId="0" fontId="23" fillId="2" borderId="16" xfId="0" applyFont="1" applyFill="1" applyBorder="1" applyAlignment="1">
      <alignment horizontal="center" vertical="center" wrapText="1"/>
    </xf>
    <xf numFmtId="0" fontId="24" fillId="2" borderId="17" xfId="0" applyFont="1" applyFill="1" applyBorder="1" applyAlignment="1">
      <alignment horizontal="center" vertical="center" wrapText="1"/>
    </xf>
    <xf numFmtId="165" fontId="23" fillId="2" borderId="16" xfId="0" applyNumberFormat="1" applyFont="1" applyFill="1" applyBorder="1" applyAlignment="1">
      <alignment horizontal="center" vertical="center" wrapText="1"/>
    </xf>
    <xf numFmtId="0" fontId="25" fillId="2" borderId="16" xfId="0" applyFont="1" applyFill="1" applyBorder="1" applyAlignment="1">
      <alignment horizontal="center" vertical="center" wrapText="1"/>
    </xf>
    <xf numFmtId="0" fontId="26" fillId="2" borderId="16" xfId="0" applyFont="1" applyFill="1" applyBorder="1" applyAlignment="1">
      <alignment horizontal="center" vertical="center" wrapText="1"/>
    </xf>
    <xf numFmtId="0" fontId="26" fillId="2" borderId="17" xfId="0" applyFont="1" applyFill="1" applyBorder="1" applyAlignment="1">
      <alignment horizontal="center" vertical="center" wrapText="1"/>
    </xf>
    <xf numFmtId="0" fontId="23" fillId="2" borderId="22" xfId="0" applyFont="1" applyFill="1" applyBorder="1" applyAlignment="1">
      <alignment horizontal="center" vertical="center" wrapText="1"/>
    </xf>
    <xf numFmtId="0" fontId="25" fillId="2" borderId="1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0" xfId="0" applyFont="1" applyFill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20" fillId="3" borderId="20" xfId="0" applyFont="1" applyFill="1" applyBorder="1" applyAlignment="1" applyProtection="1">
      <alignment horizontal="center" vertical="top"/>
      <protection locked="0"/>
    </xf>
    <xf numFmtId="0" fontId="20" fillId="3" borderId="12" xfId="0" applyFont="1" applyFill="1" applyBorder="1" applyAlignment="1" applyProtection="1">
      <alignment horizontal="center" vertical="top"/>
      <protection locked="0"/>
    </xf>
    <xf numFmtId="0" fontId="19" fillId="2" borderId="16" xfId="0" applyFont="1" applyFill="1" applyBorder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 wrapText="1"/>
    </xf>
    <xf numFmtId="0" fontId="27" fillId="2" borderId="16" xfId="0" applyFont="1" applyFill="1" applyBorder="1" applyAlignment="1">
      <alignment horizontal="center" vertical="center" wrapText="1"/>
    </xf>
    <xf numFmtId="0" fontId="27" fillId="2" borderId="17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csc.com/product-detail/Ferrite-Beads_Taiyo-Yuden-FBMH3225HM601NT_C268004.html" TargetMode="External"/><Relationship Id="rId21" Type="http://schemas.openxmlformats.org/officeDocument/2006/relationships/hyperlink" Target="https://www.lcsc.com/product-detail/Resettable-Fuses_Littelfuse-1206L300SLTHYR_C207041.html" TargetMode="External"/><Relationship Id="rId42" Type="http://schemas.openxmlformats.org/officeDocument/2006/relationships/hyperlink" Target="https://www.lcsc.com/product-detail/Light-Emitting-Diodes-LED_Everlight-Elec-19-21-R7C-AK1L2BY-3T_C1322287.html" TargetMode="External"/><Relationship Id="rId47" Type="http://schemas.openxmlformats.org/officeDocument/2006/relationships/hyperlink" Target="https://www.lcsc.com/product-detail/MOSFETs_VBsemi-Elec-FDN306P-VB_C725031.html" TargetMode="External"/><Relationship Id="rId63" Type="http://schemas.openxmlformats.org/officeDocument/2006/relationships/hyperlink" Target="https://www.lcsc.com/product-detail/Chip-Resistor-Surface-Mount_YAGEO-RC0603JR-0747KL_C127447.html" TargetMode="External"/><Relationship Id="rId68" Type="http://schemas.openxmlformats.org/officeDocument/2006/relationships/hyperlink" Target="https://www.lcsc.com/product-detail/Chip-Resistor-Surface-Mount_YAGEO-RT0603BRD0720KL_C723637.html" TargetMode="External"/><Relationship Id="rId84" Type="http://schemas.openxmlformats.org/officeDocument/2006/relationships/hyperlink" Target="https://www.lcsc.com/product-detail/ESD-Protection-Devices_ElecSuper-SMF05CT1G-ES_C5180312.html" TargetMode="External"/><Relationship Id="rId89" Type="http://schemas.openxmlformats.org/officeDocument/2006/relationships/hyperlink" Target="https://www.lcsc.com/product-detail/Resettable-Fuses_RUILON-Shenzhen-Ruilongyuan-Elec-SMD0805P020TF_C20976.html" TargetMode="External"/><Relationship Id="rId112" Type="http://schemas.openxmlformats.org/officeDocument/2006/relationships/drawing" Target="../drawings/drawing1.xml"/><Relationship Id="rId16" Type="http://schemas.openxmlformats.org/officeDocument/2006/relationships/hyperlink" Target="https://www.lcsc.com/product-detail/Zener-Diodes_onsemi-MMSZ5231BT1G_C66198.html" TargetMode="External"/><Relationship Id="rId107" Type="http://schemas.openxmlformats.org/officeDocument/2006/relationships/hyperlink" Target="https://www.digikey.com/en/products/detail/te-connectivity-amp-connectors/2118900-1/9974702" TargetMode="External"/><Relationship Id="rId11" Type="http://schemas.openxmlformats.org/officeDocument/2006/relationships/hyperlink" Target="https://www.lcsc.com/product-detail/ESD-Protection-Devices_Nexperia-PESD5V0H1BSF_C477989.html" TargetMode="External"/><Relationship Id="rId32" Type="http://schemas.openxmlformats.org/officeDocument/2006/relationships/hyperlink" Target="https://www.lcsc.com/product-detail/RF-Connectors-Coaxial-Connectors_HJ-Tech-HJ-SMA508_C1509209.html" TargetMode="External"/><Relationship Id="rId37" Type="http://schemas.openxmlformats.org/officeDocument/2006/relationships/hyperlink" Target="https://www.lcsc.com/product-detail/Power-Inductors_PROD-Tech-PSPMAA1040-100M-ANP_C2983105.html" TargetMode="External"/><Relationship Id="rId53" Type="http://schemas.openxmlformats.org/officeDocument/2006/relationships/hyperlink" Target="https://www.lcsc.com/product-detail/Chip-Resistor-Surface-Mount_YAGEO-RC0603FR-0749R9L_C114625.html" TargetMode="External"/><Relationship Id="rId58" Type="http://schemas.openxmlformats.org/officeDocument/2006/relationships/hyperlink" Target="https://www.lcsc.com/product-detail/Chip-Resistor-Surface-Mount_YAGEO-RC0603FR-0712K4L_C137798.html" TargetMode="External"/><Relationship Id="rId74" Type="http://schemas.openxmlformats.org/officeDocument/2006/relationships/hyperlink" Target="https://www.lcsc.com/product-detail/Chip-Resistor-Surface-Mount_YAGEO-RT0603BRD0768KL_C705793.html" TargetMode="External"/><Relationship Id="rId79" Type="http://schemas.openxmlformats.org/officeDocument/2006/relationships/hyperlink" Target="https://www.lcsc.com/product-detail/DC-DC-Converters_Texas-Instruments-TPS5450DDAR_C114425.html" TargetMode="External"/><Relationship Id="rId102" Type="http://schemas.openxmlformats.org/officeDocument/2006/relationships/hyperlink" Target="https://www.lcsc.com/product-detail/Multilayer-Ceramic-Capacitors-MLCC-SMD-SMT_YAGEO-CC0603KRX7R0BB223_C313105.html" TargetMode="External"/><Relationship Id="rId5" Type="http://schemas.openxmlformats.org/officeDocument/2006/relationships/hyperlink" Target="https://www.lcsc.com/product-detail/Solid-Capacitors_PANASONIC-25SVPF47M_C136280.html" TargetMode="External"/><Relationship Id="rId90" Type="http://schemas.openxmlformats.org/officeDocument/2006/relationships/hyperlink" Target="https://www.lcsc.com/product-detail/Interface-Specialized_Microchip-Tech-MCP23017T-E-SS_C558584.html" TargetMode="External"/><Relationship Id="rId95" Type="http://schemas.openxmlformats.org/officeDocument/2006/relationships/hyperlink" Target="https://www.lcsc.com/product-detail/Digital-Isolators_Analog-Devices-ADUM1201ARZ-RL7_C9669.html" TargetMode="External"/><Relationship Id="rId22" Type="http://schemas.openxmlformats.org/officeDocument/2006/relationships/hyperlink" Target="https://www.lcsc.com/product-detail/Resettable-Fuses_BHFUSE-BSMD1812-150-33V_C883154.html" TargetMode="External"/><Relationship Id="rId27" Type="http://schemas.openxmlformats.org/officeDocument/2006/relationships/hyperlink" Target="https://www.lcsc.com/product-detail/USB-Connectors_Amphenol-ICC-10118194-0001LF_C132563.html" TargetMode="External"/><Relationship Id="rId43" Type="http://schemas.openxmlformats.org/officeDocument/2006/relationships/hyperlink" Target="https://www.lcsc.com/product-detail/Light-Emitting-Diodes-LED_Foshan-NationStar-Optoelectronics-NCD0603G2_C87326.html" TargetMode="External"/><Relationship Id="rId48" Type="http://schemas.openxmlformats.org/officeDocument/2006/relationships/hyperlink" Target="https://www.lcsc.com/product-detail/MOSFETs_Slkor-SLKORMICRO-Elec-BSS138_C426569.html" TargetMode="External"/><Relationship Id="rId64" Type="http://schemas.openxmlformats.org/officeDocument/2006/relationships/hyperlink" Target="https://www.lcsc.com/product-detail/Chip-Resistor-Surface-Mount_UNI-ROYAL-Uniroyal-Elec-0603WAF3241T5E_C22994.html" TargetMode="External"/><Relationship Id="rId69" Type="http://schemas.openxmlformats.org/officeDocument/2006/relationships/hyperlink" Target="https://www.lcsc.com/product-detail/Chip-Resistor-Surface-Mount_YAGEO-RC0402FR-07499KL_C137971.html" TargetMode="External"/><Relationship Id="rId80" Type="http://schemas.openxmlformats.org/officeDocument/2006/relationships/hyperlink" Target="https://www.lcsc.com/product-detail/Linear-Voltage-Regulators-LDO_HGSEMI-LM1084S-3-3-TR_C259972.html" TargetMode="External"/><Relationship Id="rId85" Type="http://schemas.openxmlformats.org/officeDocument/2006/relationships/hyperlink" Target="https://www.lcsc.com/product-detail/Linear-Voltage-Regulators-LDO_Microchip-Tech-MIC29302WU-TR_C11149.html" TargetMode="External"/><Relationship Id="rId12" Type="http://schemas.openxmlformats.org/officeDocument/2006/relationships/hyperlink" Target="https://www.lcsc.com/product-detail/Schottky-Barrier-Diodes-SBD_Jiangsu-Changjing-Electronics-Technology-Co-Ltd-ST20100L_C2693410.html" TargetMode="External"/><Relationship Id="rId17" Type="http://schemas.openxmlformats.org/officeDocument/2006/relationships/hyperlink" Target="https://www.lcsc.com/product-detail/TVS_WILLSEMI-Will-Semicon-ESD5651N-2-TR_C239784.html" TargetMode="External"/><Relationship Id="rId33" Type="http://schemas.openxmlformats.org/officeDocument/2006/relationships/hyperlink" Target="https://www.lcsc.com/product-detail/RF-Connectors-Coaxial-Connectors_HRS-Hirose-U-FL-R-SMT-1-80_C88374.html" TargetMode="External"/><Relationship Id="rId38" Type="http://schemas.openxmlformats.org/officeDocument/2006/relationships/hyperlink" Target="https://www.lcsc.com/product-detail/Inductors-SMD_Murata-Electronics-LQW18AN27NG10D_C701182.html" TargetMode="External"/><Relationship Id="rId59" Type="http://schemas.openxmlformats.org/officeDocument/2006/relationships/hyperlink" Target="https://www.lcsc.com/product-detail/Chip-Resistor-Surface-Mount_YAGEO-RC0603FR-07470RL_C114669.html" TargetMode="External"/><Relationship Id="rId103" Type="http://schemas.openxmlformats.org/officeDocument/2006/relationships/hyperlink" Target="https://www.lcsc.com/product-detail/Multilayer-Ceramic-Capacitors-MLCC-SMD-SMT_Walsin-Tech-Corp-0402N330J250CT_C458864.html" TargetMode="External"/><Relationship Id="rId108" Type="http://schemas.openxmlformats.org/officeDocument/2006/relationships/hyperlink" Target="https://www.lcsc.com/product-detail/Aluminum-Electrolytic-Capacitors-SMD_Nichicon-UCD1H221MNL1GS_C116211.html" TargetMode="External"/><Relationship Id="rId54" Type="http://schemas.openxmlformats.org/officeDocument/2006/relationships/hyperlink" Target="https://www.lcsc.com/product-detail/Chip-Resistor-Surface-Mount_YAGEO-RC0603FR-0710RL_C109318.html" TargetMode="External"/><Relationship Id="rId70" Type="http://schemas.openxmlformats.org/officeDocument/2006/relationships/hyperlink" Target="https://www.lcsc.com/product-detail/Chip-Resistor-Surface-Mount_YAGEO-RC0603JR-0756KL_C137618.html" TargetMode="External"/><Relationship Id="rId75" Type="http://schemas.openxmlformats.org/officeDocument/2006/relationships/hyperlink" Target="https://www.lcsc.com/product-detail/Varistors_TDK-B72210S0300K101_C125513.html" TargetMode="External"/><Relationship Id="rId91" Type="http://schemas.openxmlformats.org/officeDocument/2006/relationships/hyperlink" Target="https://www.lcsc.com/product-detail/Darlington-Transistor-Arrays_Mixic-ULN2003A_C181730.html" TargetMode="External"/><Relationship Id="rId96" Type="http://schemas.openxmlformats.org/officeDocument/2006/relationships/hyperlink" Target="https://www.lcsc.com/product-detail/Digital-Isolators_Analog-Devices-ADuM1200ARZ-RL7_C15219.html" TargetMode="External"/><Relationship Id="rId1" Type="http://schemas.openxmlformats.org/officeDocument/2006/relationships/hyperlink" Target="https://www.lcsc.com/product-detail/Multilayer-Ceramic-Capacitors-MLCC-SMD-SMT_YAGEO-AC0603KRX7R0BB103_C149602.html" TargetMode="External"/><Relationship Id="rId6" Type="http://schemas.openxmlformats.org/officeDocument/2006/relationships/hyperlink" Target="https://www.lcsc.com/product-detail/Multilayer-Ceramic-Capacitors-MLCC-SMD-SMT_YAGEO-CC0603MRX5R6BB226_C109447.html" TargetMode="External"/><Relationship Id="rId15" Type="http://schemas.openxmlformats.org/officeDocument/2006/relationships/hyperlink" Target="https://www.lcsc.com/product-detail/Switching-Diode_onsemi-1N4148WT_C232841.html" TargetMode="External"/><Relationship Id="rId23" Type="http://schemas.openxmlformats.org/officeDocument/2006/relationships/hyperlink" Target="https://www.lcsc.com/product-detail/Resettable-Fuses_PTTC-Polytronics-Tech-SHV2920P500-30-AA_C495350.html" TargetMode="External"/><Relationship Id="rId28" Type="http://schemas.openxmlformats.org/officeDocument/2006/relationships/hyperlink" Target="https://www.lcsc.com/product-detail/Screw-terminal_DIBO-DB128L-5-08-3P-BK-S_C430602.html" TargetMode="External"/><Relationship Id="rId36" Type="http://schemas.openxmlformats.org/officeDocument/2006/relationships/hyperlink" Target="https://www.lcsc.com/product-detail/Power-Relays_HF-Xiamen-Hongfa-Electroacoustic-JQC-3FF-005-1ZS-551_C9221.html" TargetMode="External"/><Relationship Id="rId49" Type="http://schemas.openxmlformats.org/officeDocument/2006/relationships/hyperlink" Target="https://www.lcsc.com/product-detail/Chip-Resistor-Surface-Mount_YAGEO-AC0603JR-0710KL_C140867.html" TargetMode="External"/><Relationship Id="rId57" Type="http://schemas.openxmlformats.org/officeDocument/2006/relationships/hyperlink" Target="https://www.lcsc.com/product-detail/Chip-Resistor-Surface-Mount_YAGEO-RC0603FR-071ML_C105578.html" TargetMode="External"/><Relationship Id="rId106" Type="http://schemas.openxmlformats.org/officeDocument/2006/relationships/hyperlink" Target="https://www.aliexpress.us/item/1005005178120018.html?spm=a2g0o.productlist.main.13.22ec83d0nCwBMT&amp;algo_pvid=e625171b-7a9a-4b0a-a350-9b000cf80403&amp;algo_exp_id=e625171b-7a9a-4b0a-a350-9b000cf80403-6&amp;pdp_npi=3%40dis%21PKR%21626.05%21626.05%21%21%21%21%21%4021" TargetMode="External"/><Relationship Id="rId10" Type="http://schemas.openxmlformats.org/officeDocument/2006/relationships/hyperlink" Target="https://www.lcsc.com/product-detail/Multilayer-Ceramic-Capacitors-MLCC-SMD-SMT_Murata-Electronics-GCM1885C2A120JA16D_C701298.html" TargetMode="External"/><Relationship Id="rId31" Type="http://schemas.openxmlformats.org/officeDocument/2006/relationships/hyperlink" Target="https://www.lcsc.com/product-detail/Female-Headers_BOOMELE-Boom-Precision-Elec-C2718488_C2718488.html" TargetMode="External"/><Relationship Id="rId44" Type="http://schemas.openxmlformats.org/officeDocument/2006/relationships/hyperlink" Target="https://www.lcsc.com/product-detail/Light-Emitting-Diodes-LED_Foshan-NationStar-Optoelectronics-NCD0603B3_C158101.html" TargetMode="External"/><Relationship Id="rId52" Type="http://schemas.openxmlformats.org/officeDocument/2006/relationships/hyperlink" Target="https://www.lcsc.com/product-detail/Chip-Resistor-Surface-Mount_YAGEO-RC0603FR-070RL_C100044.html" TargetMode="External"/><Relationship Id="rId60" Type="http://schemas.openxmlformats.org/officeDocument/2006/relationships/hyperlink" Target="https://www.lcsc.com/product-detail/Chip-Resistor-Surface-Mount_YAGEO-RC0603FR-0722RL_C107701.html" TargetMode="External"/><Relationship Id="rId65" Type="http://schemas.openxmlformats.org/officeDocument/2006/relationships/hyperlink" Target="https://www.lcsc.com/product-detail/Chip-Resistor-Surface-Mount_YAGEO-RC0603FR-074M42L_C482859.html" TargetMode="External"/><Relationship Id="rId73" Type="http://schemas.openxmlformats.org/officeDocument/2006/relationships/hyperlink" Target="https://www.lcsc.com/product-detail/Chip-Resistor-Surface-Mount_YAGEO-RC0603FR-072K2L_C114662.html" TargetMode="External"/><Relationship Id="rId78" Type="http://schemas.openxmlformats.org/officeDocument/2006/relationships/hyperlink" Target="https://www.lcsc.com/product-detail/Power-Distribution-Switches_Texas-Instruments-TPS2116DRLR_C3235557.html" TargetMode="External"/><Relationship Id="rId81" Type="http://schemas.openxmlformats.org/officeDocument/2006/relationships/hyperlink" Target="https://www.lcsc.com/product-detail/WiFi-Modules_Espressif-Systems-ESP32-S3-WROOM-1-N8R2_C2913204.html" TargetMode="External"/><Relationship Id="rId86" Type="http://schemas.openxmlformats.org/officeDocument/2006/relationships/hyperlink" Target="https://www.lcsc.com/product-detail/Analog-Switches-Multiplexers_onsemi-FSA2567MPX_C512961.html" TargetMode="External"/><Relationship Id="rId94" Type="http://schemas.openxmlformats.org/officeDocument/2006/relationships/hyperlink" Target="https://www.lcsc.com/product-detail/Security-Verification-Encryption-ICs_Microchip-Tech-ATECC608B-SSHDA-B_C5444784.html" TargetMode="External"/><Relationship Id="rId99" Type="http://schemas.openxmlformats.org/officeDocument/2006/relationships/hyperlink" Target="https://www.lcsc.com/product-detail/Crystals_Yangxing-Tech-X49SD3579545MSD2SC-1_C2195.html" TargetMode="External"/><Relationship Id="rId101" Type="http://schemas.openxmlformats.org/officeDocument/2006/relationships/hyperlink" Target="https://www.lcsc.com/product-detail/Solid-Capacitors_PANASONIC-25SVPF330M_C178367.html" TargetMode="External"/><Relationship Id="rId4" Type="http://schemas.openxmlformats.org/officeDocument/2006/relationships/hyperlink" Target="https://www.lcsc.com/product-detail/Multilayer-Ceramic-Capacitors-MLCC-SMD-SMT_YAGEO-CC0603KRX5R8BB105_C14664.html" TargetMode="External"/><Relationship Id="rId9" Type="http://schemas.openxmlformats.org/officeDocument/2006/relationships/hyperlink" Target="https://www.lcsc.com/product-detail/Multilayer-Ceramic-Capacitors-MLCC-SMD-SMT_TDK-C1608X5R1E475KT000E_C76615.html" TargetMode="External"/><Relationship Id="rId13" Type="http://schemas.openxmlformats.org/officeDocument/2006/relationships/hyperlink" Target="https://www.lcsc.com/product-detail/TVS_WILLSEMI-Will-Semicon-ESD5302F-3-TR_C239643.html" TargetMode="External"/><Relationship Id="rId18" Type="http://schemas.openxmlformats.org/officeDocument/2006/relationships/hyperlink" Target="https://www.lcsc.com/product-detail/Zener-Diodes_Jiangsu-Changjing-Electronics-Technology-Co-Ltd-BZT52C5V6S_C22612.html" TargetMode="External"/><Relationship Id="rId39" Type="http://schemas.openxmlformats.org/officeDocument/2006/relationships/hyperlink" Target="https://www.lcsc.com/product-detail/Power-Inductors_Sunlord-WPN4020H1R0MT_C98359.html" TargetMode="External"/><Relationship Id="rId109" Type="http://schemas.openxmlformats.org/officeDocument/2006/relationships/hyperlink" Target="https://www.lcsc.com/product-detail/Aluminum-Electrolytic-Capacitors-SMD_ROQANG-RVT1E100M0405_C72484.html" TargetMode="External"/><Relationship Id="rId34" Type="http://schemas.openxmlformats.org/officeDocument/2006/relationships/hyperlink" Target="https://www.lcsc.com/product-detail/SIM-Card-Connectors_XKB-Connectivity-XKNANO-113_C381071.html" TargetMode="External"/><Relationship Id="rId50" Type="http://schemas.openxmlformats.org/officeDocument/2006/relationships/hyperlink" Target="https://www.lcsc.com/product-detail/Chip-Resistor-Surface-Mount_YAGEO-RC0603FR-071KL_C22548.html" TargetMode="External"/><Relationship Id="rId55" Type="http://schemas.openxmlformats.org/officeDocument/2006/relationships/hyperlink" Target="https://www.lcsc.com/product-detail/Chip-Resistor-Surface-Mount_YAGEO-RC0603FR-0733RL_C108661.html" TargetMode="External"/><Relationship Id="rId76" Type="http://schemas.openxmlformats.org/officeDocument/2006/relationships/hyperlink" Target="https://www.lcsc.com/product-detail/Chip-Resistor-Surface-Mount_FOJAN-FRC0603F4023TS_C2960796.html" TargetMode="External"/><Relationship Id="rId97" Type="http://schemas.openxmlformats.org/officeDocument/2006/relationships/hyperlink" Target="https://www.lcsc.com/product-detail/Telecommunication-Interface-ICs_Microchip-Tech-MT8870DN1_C1522106.html" TargetMode="External"/><Relationship Id="rId104" Type="http://schemas.openxmlformats.org/officeDocument/2006/relationships/hyperlink" Target="https://www.lcsc.com/product-detail/Chip-Resistor-Surface-Mount_FOJAN-FRC0603J154-TS_C2907102.html" TargetMode="External"/><Relationship Id="rId7" Type="http://schemas.openxmlformats.org/officeDocument/2006/relationships/hyperlink" Target="https://www.lcsc.com/product-detail/Multilayer-Ceramic-Capacitors-MLCC-SMD-SMT_TDK-C1608X5R1E106M080AC_C2168289.html" TargetMode="External"/><Relationship Id="rId71" Type="http://schemas.openxmlformats.org/officeDocument/2006/relationships/hyperlink" Target="https://www.lcsc.com/product-detail/Chip-Resistor-Surface-Mount_YAGEO-RC0603FR-07330KL_C114618.html" TargetMode="External"/><Relationship Id="rId92" Type="http://schemas.openxmlformats.org/officeDocument/2006/relationships/hyperlink" Target="https://www.lcsc.com/product-detail/RS-485-RS-422-ICs_HGSEMI-SP3485EIM-TR_C519086.html" TargetMode="External"/><Relationship Id="rId2" Type="http://schemas.openxmlformats.org/officeDocument/2006/relationships/hyperlink" Target="https://www.lcsc.com/product-detail/Aluminum-Electrolytic-Capacitors-SMD_Nichicon-UUD1H101MNL1GS_C116241.html" TargetMode="External"/><Relationship Id="rId29" Type="http://schemas.openxmlformats.org/officeDocument/2006/relationships/hyperlink" Target="https://www.lcsc.com/product-detail/Ethernet-Connectors-Modular-Connectors-RJ45-RJ11_HANRUN-Zhongshan-HanRun-Elec-HY951180A_C34677.html" TargetMode="External"/><Relationship Id="rId24" Type="http://schemas.openxmlformats.org/officeDocument/2006/relationships/hyperlink" Target="https://www.lcsc.com/product-detail/Resettable-Fuses_TECHFUSE-SMD0603-050_C69679.html" TargetMode="External"/><Relationship Id="rId40" Type="http://schemas.openxmlformats.org/officeDocument/2006/relationships/hyperlink" Target="https://www.lcsc.com/product-detail/Light-Emitting-Diodes-LED_Everlight-Elec-16-213-GHC-YR1S1-3T_C74338.html" TargetMode="External"/><Relationship Id="rId45" Type="http://schemas.openxmlformats.org/officeDocument/2006/relationships/hyperlink" Target="https://www.lcsc.com/product-detail/Light-Emitting-Diodes-LED_Worldsemi-WS2812B-B-W_C114586.html" TargetMode="External"/><Relationship Id="rId66" Type="http://schemas.openxmlformats.org/officeDocument/2006/relationships/hyperlink" Target="https://www.lcsc.com/product-detail/Chip-Resistor-Surface-Mount_YAGEO-RC0603FR-07120RL_C114640.html" TargetMode="External"/><Relationship Id="rId87" Type="http://schemas.openxmlformats.org/officeDocument/2006/relationships/hyperlink" Target="https://www.lcsc.com/product-detail/DC-DC-Converters_Analog-Devices-Inc-Maxim-Integrated-MAX38888ATD-T_C2931491.html" TargetMode="External"/><Relationship Id="rId110" Type="http://schemas.openxmlformats.org/officeDocument/2006/relationships/hyperlink" Target="https://www.lcsc.com/product-detail/2G-3G-4G-5G-Modules_SIMCom-Wireless-Solutions-SIM7500E_C126259.html" TargetMode="External"/><Relationship Id="rId61" Type="http://schemas.openxmlformats.org/officeDocument/2006/relationships/hyperlink" Target="https://www.lcsc.com/product-detail/Chip-Resistor-Surface-Mount_YAGEO-RC0603FR-07180RL_C137786.html" TargetMode="External"/><Relationship Id="rId82" Type="http://schemas.openxmlformats.org/officeDocument/2006/relationships/hyperlink" Target="https://www.lcsc.com/product-detail/Ethernet-ICs_WIZNET-W5500_C32843.html" TargetMode="External"/><Relationship Id="rId19" Type="http://schemas.openxmlformats.org/officeDocument/2006/relationships/hyperlink" Target="https://www.lcsc.com/product-detail/Schottky-Barrier-Diodes-SBD_MDD-Microdiode-Electronics-SS36_C16015.html" TargetMode="External"/><Relationship Id="rId14" Type="http://schemas.openxmlformats.org/officeDocument/2006/relationships/hyperlink" Target="https://www.lcsc.com/product-detail/TVS_MSKSEMI-SMBJ26CA_C5331111.html" TargetMode="External"/><Relationship Id="rId30" Type="http://schemas.openxmlformats.org/officeDocument/2006/relationships/hyperlink" Target="https://www.lcsc.com/product-detail/Wire-To-Board-Wire-To-Wire-Connector_BOOMELE-Boom-Precision-Elec-C145963_C145963.html" TargetMode="External"/><Relationship Id="rId35" Type="http://schemas.openxmlformats.org/officeDocument/2006/relationships/hyperlink" Target="https://www.lcsc.com/product-detail/Screw-terminal_DIBO-DB128L-5-08-2P-BK-S_C430601.html" TargetMode="External"/><Relationship Id="rId56" Type="http://schemas.openxmlformats.org/officeDocument/2006/relationships/hyperlink" Target="https://www.lcsc.com/product-detail/Chip-Resistor-Surface-Mount_YAGEO-RC0603JR-07330RL_C105879.html" TargetMode="External"/><Relationship Id="rId77" Type="http://schemas.openxmlformats.org/officeDocument/2006/relationships/hyperlink" Target="https://www.lcsc.com/product-detail/Tactile-Switches_Korean-Hroparts-Elec-K2-6639SP-C4SC-04_C83206.html" TargetMode="External"/><Relationship Id="rId100" Type="http://schemas.openxmlformats.org/officeDocument/2006/relationships/hyperlink" Target="https://www.lcsc.com/product-detail/Multilayer-Ceramic-Capacitors-MLCC-SMD-SMT_Taiyo-Yuden-UMK107B104KAHT_C386152.html" TargetMode="External"/><Relationship Id="rId105" Type="http://schemas.openxmlformats.org/officeDocument/2006/relationships/hyperlink" Target="https://www.lcsc.com/product-detail/Optocouplers-Phototransistor-Output_RENESAS-PS2801C-1-F3-A_C67112.html" TargetMode="External"/><Relationship Id="rId8" Type="http://schemas.openxmlformats.org/officeDocument/2006/relationships/hyperlink" Target="https://www.lcsc.com/product-detail/Multilayer-Ceramic-Capacitors-MLCC-SMD-SMT_FH-Guangdong-Fenghua-Advanced-Tech-0603B682K500NT_C1631.html" TargetMode="External"/><Relationship Id="rId51" Type="http://schemas.openxmlformats.org/officeDocument/2006/relationships/hyperlink" Target="https://www.lcsc.com/product-detail/Chip-Resistor-Surface-Mount_YAGEO-RT0603BRD07100KL_C122538.html" TargetMode="External"/><Relationship Id="rId72" Type="http://schemas.openxmlformats.org/officeDocument/2006/relationships/hyperlink" Target="https://www.lcsc.com/product-detail/Chip-Resistor-Surface-Mount_YAGEO-RC0603JR-07100KL_C100048.html" TargetMode="External"/><Relationship Id="rId93" Type="http://schemas.openxmlformats.org/officeDocument/2006/relationships/hyperlink" Target="https://www.lcsc.com/product-detail/RS232-ICs_Texas-Instruments-MAX3232IDR_C18261.html" TargetMode="External"/><Relationship Id="rId98" Type="http://schemas.openxmlformats.org/officeDocument/2006/relationships/hyperlink" Target="https://www.lcsc.com/product-detail/Crystals_NDK-NX3225GA-25MHZ-STD-CRG-2_C438901.html" TargetMode="External"/><Relationship Id="rId3" Type="http://schemas.openxmlformats.org/officeDocument/2006/relationships/hyperlink" Target="https://www.lcsc.com/product-detail/Aluminum-Electrolytic-Capacitors-SMD_Lelon-VE-680M1JTR-1010_C249560.html" TargetMode="External"/><Relationship Id="rId25" Type="http://schemas.openxmlformats.org/officeDocument/2006/relationships/hyperlink" Target="https://www.lcsc.com/product-detail/Ferrite-Beads_Murata-Electronics-BLM31PG121SN1L_C85841.html" TargetMode="External"/><Relationship Id="rId46" Type="http://schemas.openxmlformats.org/officeDocument/2006/relationships/hyperlink" Target="https://www.lcsc.com/product-detail/Bipolar-Transistors-BJT_TECH-PUBLIC-MMBT3904M_C2923360.html" TargetMode="External"/><Relationship Id="rId67" Type="http://schemas.openxmlformats.org/officeDocument/2006/relationships/hyperlink" Target="https://www.lcsc.com/product-detail/Chip-Resistor-Surface-Mount_FOJAN-FRC0805F1804TS_C2930213.html" TargetMode="External"/><Relationship Id="rId20" Type="http://schemas.openxmlformats.org/officeDocument/2006/relationships/hyperlink" Target="https://www.lcsc.com/product-detail/TVS_Slkor-SLKORMICRO-Elec-SMBJ36CA_C556189.html" TargetMode="External"/><Relationship Id="rId41" Type="http://schemas.openxmlformats.org/officeDocument/2006/relationships/hyperlink" Target="https://www.lcsc.com/product-detail/Light-Emitting-Diodes-LED_Everlight-Elec-19-21-G6C-FM1N2B-3T_C93689.html" TargetMode="External"/><Relationship Id="rId62" Type="http://schemas.openxmlformats.org/officeDocument/2006/relationships/hyperlink" Target="https://www.lcsc.com/product-detail/Chip-Resistor-Surface-Mount_YAGEO-RC0603JR-074K7L_C105428.html" TargetMode="External"/><Relationship Id="rId83" Type="http://schemas.openxmlformats.org/officeDocument/2006/relationships/hyperlink" Target="https://www.lcsc.com/product-detail/TVS_Littelfuse-SP0504BAHTG_C10675.html" TargetMode="External"/><Relationship Id="rId88" Type="http://schemas.openxmlformats.org/officeDocument/2006/relationships/hyperlink" Target="https://www.lcsc.com/product-detail/Translators-Level-Shifters_Texas-Instruments-TXB0102DCUT_C2677366.html" TargetMode="External"/><Relationship Id="rId11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124"/>
  <sheetViews>
    <sheetView tabSelected="1" workbookViewId="0">
      <selection activeCell="L12" sqref="L12"/>
    </sheetView>
  </sheetViews>
  <sheetFormatPr defaultRowHeight="15" x14ac:dyDescent="0.25"/>
  <cols>
    <col min="2" max="2" width="4" style="26" bestFit="1" customWidth="1"/>
    <col min="3" max="3" width="18" style="26" bestFit="1" customWidth="1"/>
    <col min="4" max="4" width="27.42578125" customWidth="1"/>
    <col min="5" max="5" width="30.85546875" customWidth="1"/>
    <col min="6" max="6" width="22.28515625" bestFit="1" customWidth="1"/>
    <col min="7" max="7" width="33.42578125" bestFit="1" customWidth="1"/>
    <col min="8" max="8" width="21.42578125" bestFit="1" customWidth="1"/>
    <col min="9" max="9" width="21.5703125" bestFit="1" customWidth="1"/>
    <col min="10" max="10" width="17" bestFit="1" customWidth="1"/>
    <col min="11" max="11" width="10.7109375" bestFit="1" customWidth="1"/>
    <col min="12" max="12" width="8.7109375" bestFit="1" customWidth="1"/>
    <col min="13" max="13" width="19.28515625" bestFit="1" customWidth="1"/>
    <col min="14" max="14" width="16.140625" bestFit="1" customWidth="1"/>
    <col min="15" max="15" width="10.85546875" customWidth="1"/>
    <col min="16" max="16" width="19.7109375" bestFit="1" customWidth="1"/>
    <col min="17" max="17" width="20.28515625" bestFit="1" customWidth="1"/>
    <col min="18" max="18" width="16.5703125" bestFit="1" customWidth="1"/>
    <col min="19" max="19" width="26.8554687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71"/>
      <c r="L1" s="71"/>
      <c r="M1" s="71"/>
      <c r="N1" s="71"/>
      <c r="O1" s="71"/>
      <c r="P1" s="71"/>
      <c r="Q1" s="71"/>
      <c r="R1" s="71"/>
      <c r="S1" s="72"/>
    </row>
    <row r="2" spans="1:19" ht="32.25" thickBot="1" x14ac:dyDescent="0.3">
      <c r="A2" s="1"/>
      <c r="B2" s="21"/>
      <c r="C2" s="31"/>
      <c r="D2" s="11" t="s">
        <v>0</v>
      </c>
      <c r="E2" s="11"/>
      <c r="F2" s="55" t="s">
        <v>627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6" t="s">
        <v>628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73"/>
    </row>
    <row r="4" spans="1:19" x14ac:dyDescent="0.25">
      <c r="A4" s="1"/>
      <c r="B4" s="22"/>
      <c r="C4" s="32"/>
      <c r="D4" s="13" t="s">
        <v>2</v>
      </c>
      <c r="E4" s="13"/>
      <c r="F4" s="57" t="s">
        <v>628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74"/>
    </row>
    <row r="5" spans="1:19" x14ac:dyDescent="0.25">
      <c r="A5" s="1"/>
      <c r="B5" s="22"/>
      <c r="C5" s="32"/>
      <c r="D5" s="13" t="s">
        <v>3</v>
      </c>
      <c r="E5" s="13"/>
      <c r="F5" s="58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74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74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74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74"/>
    </row>
    <row r="9" spans="1:19" ht="15.75" thickBot="1" x14ac:dyDescent="0.3">
      <c r="A9" s="1"/>
      <c r="B9" s="30" t="s">
        <v>4</v>
      </c>
      <c r="C9" s="30" t="s">
        <v>8</v>
      </c>
      <c r="D9" s="30" t="s">
        <v>36</v>
      </c>
      <c r="E9" s="30" t="s">
        <v>147</v>
      </c>
      <c r="F9" s="30" t="s">
        <v>260</v>
      </c>
      <c r="G9" s="30" t="s">
        <v>322</v>
      </c>
      <c r="H9" s="30" t="s">
        <v>417</v>
      </c>
      <c r="I9" s="30" t="s">
        <v>629</v>
      </c>
      <c r="J9" s="30" t="s">
        <v>475</v>
      </c>
      <c r="K9" s="30" t="s">
        <v>637</v>
      </c>
      <c r="L9" s="30" t="s">
        <v>626</v>
      </c>
      <c r="M9" s="30" t="s">
        <v>630</v>
      </c>
      <c r="N9" s="30" t="s">
        <v>631</v>
      </c>
      <c r="O9" s="30" t="s">
        <v>632</v>
      </c>
      <c r="P9" s="30" t="s">
        <v>633</v>
      </c>
      <c r="Q9" s="30" t="s">
        <v>634</v>
      </c>
      <c r="R9" s="30" t="s">
        <v>635</v>
      </c>
      <c r="S9" s="30" t="s">
        <v>636</v>
      </c>
    </row>
    <row r="10" spans="1:19" ht="24" x14ac:dyDescent="0.25">
      <c r="A10" s="1"/>
      <c r="B10" s="46">
        <f>ROW(B10) - ROW($B$9)</f>
        <v>1</v>
      </c>
      <c r="C10" s="53" t="s">
        <v>9</v>
      </c>
      <c r="D10" s="81" t="s">
        <v>37</v>
      </c>
      <c r="E10" s="37" t="s">
        <v>148</v>
      </c>
      <c r="F10" s="37" t="s">
        <v>639</v>
      </c>
      <c r="G10" s="37" t="s">
        <v>261</v>
      </c>
      <c r="H10" s="37" t="s">
        <v>418</v>
      </c>
      <c r="I10" s="37" t="s">
        <v>641</v>
      </c>
      <c r="J10" s="37" t="s">
        <v>641</v>
      </c>
      <c r="K10" s="37" t="s">
        <v>641</v>
      </c>
      <c r="L10" s="37">
        <v>1</v>
      </c>
      <c r="M10" s="37">
        <f>L10*20</f>
        <v>20</v>
      </c>
      <c r="N10" s="37">
        <v>21</v>
      </c>
      <c r="O10" s="61" t="s">
        <v>659</v>
      </c>
      <c r="P10" s="38">
        <v>1.145</v>
      </c>
      <c r="Q10" s="38">
        <f>P10*N10</f>
        <v>24.045000000000002</v>
      </c>
      <c r="R10" s="64" t="s">
        <v>660</v>
      </c>
      <c r="S10" s="50"/>
    </row>
    <row r="11" spans="1:19" ht="72" x14ac:dyDescent="0.25">
      <c r="A11" s="1"/>
      <c r="B11" s="47">
        <f t="shared" ref="B11:B122" si="0">ROW(B11) - ROW($B$9)</f>
        <v>2</v>
      </c>
      <c r="C11" s="54" t="s">
        <v>10</v>
      </c>
      <c r="D11" s="82" t="s">
        <v>38</v>
      </c>
      <c r="E11" s="51" t="s">
        <v>149</v>
      </c>
      <c r="F11" s="51" t="s">
        <v>262</v>
      </c>
      <c r="G11" s="62" t="s">
        <v>323</v>
      </c>
      <c r="H11" s="51" t="s">
        <v>419</v>
      </c>
      <c r="I11" s="51" t="s">
        <v>647</v>
      </c>
      <c r="J11" s="51" t="s">
        <v>646</v>
      </c>
      <c r="K11" s="51" t="s">
        <v>573</v>
      </c>
      <c r="L11" s="51">
        <v>39</v>
      </c>
      <c r="M11" s="37">
        <f t="shared" ref="M11:M73" si="1">L11*20</f>
        <v>780</v>
      </c>
      <c r="N11" s="51">
        <v>800</v>
      </c>
      <c r="O11" s="60" t="s">
        <v>642</v>
      </c>
      <c r="P11" s="52">
        <v>8.8000000000000005E-3</v>
      </c>
      <c r="Q11" s="52">
        <f t="shared" ref="Q11" si="2">P11*N11</f>
        <v>7.04</v>
      </c>
      <c r="R11" s="51"/>
      <c r="S11" s="51"/>
    </row>
    <row r="12" spans="1:19" x14ac:dyDescent="0.25">
      <c r="A12" s="1"/>
      <c r="B12" s="46">
        <f>ROW(B12) - ROW($B$9)</f>
        <v>3</v>
      </c>
      <c r="C12" s="53" t="s">
        <v>10</v>
      </c>
      <c r="D12" s="81" t="s">
        <v>39</v>
      </c>
      <c r="E12" s="37" t="s">
        <v>150</v>
      </c>
      <c r="F12" s="37" t="s">
        <v>639</v>
      </c>
      <c r="G12" s="37" t="s">
        <v>263</v>
      </c>
      <c r="H12" s="37" t="s">
        <v>420</v>
      </c>
      <c r="I12" s="37" t="s">
        <v>641</v>
      </c>
      <c r="J12" s="37" t="s">
        <v>476</v>
      </c>
      <c r="K12" s="37" t="s">
        <v>574</v>
      </c>
      <c r="L12" s="37">
        <v>1</v>
      </c>
      <c r="M12" s="37">
        <f t="shared" si="1"/>
        <v>20</v>
      </c>
      <c r="N12" s="37">
        <v>21</v>
      </c>
      <c r="O12" s="61" t="s">
        <v>642</v>
      </c>
      <c r="P12" s="38">
        <v>1.2823</v>
      </c>
      <c r="Q12" s="38">
        <f>P12*N12</f>
        <v>26.9283</v>
      </c>
      <c r="R12" s="37"/>
      <c r="S12" s="59"/>
    </row>
    <row r="13" spans="1:19" x14ac:dyDescent="0.25">
      <c r="A13" s="1"/>
      <c r="B13" s="47">
        <f t="shared" si="0"/>
        <v>4</v>
      </c>
      <c r="C13" s="54" t="s">
        <v>10</v>
      </c>
      <c r="D13" s="82" t="s">
        <v>40</v>
      </c>
      <c r="E13" s="51" t="s">
        <v>151</v>
      </c>
      <c r="F13" s="51" t="s">
        <v>262</v>
      </c>
      <c r="G13" s="51" t="s">
        <v>324</v>
      </c>
      <c r="H13" s="51" t="s">
        <v>419</v>
      </c>
      <c r="I13" s="51" t="s">
        <v>641</v>
      </c>
      <c r="J13" s="51" t="s">
        <v>477</v>
      </c>
      <c r="K13" s="51" t="s">
        <v>575</v>
      </c>
      <c r="L13" s="51">
        <v>3</v>
      </c>
      <c r="M13" s="37">
        <f t="shared" si="1"/>
        <v>60</v>
      </c>
      <c r="N13" s="51">
        <v>100</v>
      </c>
      <c r="O13" s="60" t="s">
        <v>642</v>
      </c>
      <c r="P13" s="52">
        <v>7.7000000000000002E-3</v>
      </c>
      <c r="Q13" s="52">
        <f t="shared" ref="Q13" si="3">P13*N13</f>
        <v>0.77</v>
      </c>
      <c r="R13" s="51"/>
      <c r="S13" s="59"/>
    </row>
    <row r="14" spans="1:19" x14ac:dyDescent="0.25">
      <c r="A14" s="1"/>
      <c r="B14" s="46">
        <f>ROW(B14) - ROW($B$9)</f>
        <v>5</v>
      </c>
      <c r="C14" s="53" t="s">
        <v>10</v>
      </c>
      <c r="D14" s="81" t="s">
        <v>41</v>
      </c>
      <c r="E14" s="37" t="s">
        <v>152</v>
      </c>
      <c r="F14" s="37" t="s">
        <v>264</v>
      </c>
      <c r="G14" s="37" t="s">
        <v>325</v>
      </c>
      <c r="H14" s="37" t="s">
        <v>421</v>
      </c>
      <c r="I14" s="37" t="s">
        <v>641</v>
      </c>
      <c r="J14" s="37" t="s">
        <v>478</v>
      </c>
      <c r="K14" s="37" t="s">
        <v>576</v>
      </c>
      <c r="L14" s="37">
        <v>1</v>
      </c>
      <c r="M14" s="37">
        <f t="shared" si="1"/>
        <v>20</v>
      </c>
      <c r="N14" s="37">
        <v>25</v>
      </c>
      <c r="O14" s="61" t="s">
        <v>642</v>
      </c>
      <c r="P14" s="38">
        <v>0.28039999999999998</v>
      </c>
      <c r="Q14" s="38">
        <f>P14*N14</f>
        <v>7.01</v>
      </c>
      <c r="R14" s="37"/>
      <c r="S14" s="59"/>
    </row>
    <row r="15" spans="1:19" ht="36" x14ac:dyDescent="0.25">
      <c r="A15" s="1"/>
      <c r="B15" s="47">
        <f t="shared" si="0"/>
        <v>6</v>
      </c>
      <c r="C15" s="54" t="s">
        <v>10</v>
      </c>
      <c r="D15" s="82" t="s">
        <v>42</v>
      </c>
      <c r="E15" s="51" t="s">
        <v>153</v>
      </c>
      <c r="F15" s="51" t="s">
        <v>639</v>
      </c>
      <c r="G15" s="51" t="s">
        <v>265</v>
      </c>
      <c r="H15" s="51" t="s">
        <v>422</v>
      </c>
      <c r="I15" s="51" t="s">
        <v>641</v>
      </c>
      <c r="J15" s="51" t="s">
        <v>479</v>
      </c>
      <c r="K15" s="51" t="s">
        <v>577</v>
      </c>
      <c r="L15" s="51">
        <v>3</v>
      </c>
      <c r="M15" s="37">
        <f t="shared" si="1"/>
        <v>60</v>
      </c>
      <c r="N15" s="51">
        <v>62</v>
      </c>
      <c r="O15" s="60" t="s">
        <v>642</v>
      </c>
      <c r="P15" s="52">
        <v>0.13539999999999999</v>
      </c>
      <c r="Q15" s="52">
        <f t="shared" ref="Q15" si="4">P15*N15</f>
        <v>8.3948</v>
      </c>
      <c r="R15" s="51"/>
      <c r="S15" s="59"/>
    </row>
    <row r="16" spans="1:19" x14ac:dyDescent="0.25">
      <c r="A16" s="1"/>
      <c r="B16" s="46">
        <f>ROW(B16) - ROW($B$9)</f>
        <v>7</v>
      </c>
      <c r="C16" s="54" t="s">
        <v>10</v>
      </c>
      <c r="D16" s="81" t="s">
        <v>43</v>
      </c>
      <c r="E16" s="37" t="s">
        <v>154</v>
      </c>
      <c r="F16" s="37" t="s">
        <v>262</v>
      </c>
      <c r="G16" s="37" t="s">
        <v>326</v>
      </c>
      <c r="H16" s="37" t="s">
        <v>419</v>
      </c>
      <c r="I16" s="37" t="s">
        <v>641</v>
      </c>
      <c r="J16" s="37" t="s">
        <v>480</v>
      </c>
      <c r="K16" s="37" t="s">
        <v>578</v>
      </c>
      <c r="L16" s="37">
        <v>5</v>
      </c>
      <c r="M16" s="37">
        <f t="shared" si="1"/>
        <v>100</v>
      </c>
      <c r="N16" s="37">
        <v>100</v>
      </c>
      <c r="O16" s="61" t="s">
        <v>642</v>
      </c>
      <c r="P16" s="38">
        <v>5.1999999999999998E-3</v>
      </c>
      <c r="Q16" s="38">
        <f>P16*N16</f>
        <v>0.52</v>
      </c>
      <c r="R16" s="37"/>
      <c r="S16" s="59"/>
    </row>
    <row r="17" spans="1:19" x14ac:dyDescent="0.25">
      <c r="A17" s="1"/>
      <c r="B17" s="47">
        <f t="shared" si="0"/>
        <v>8</v>
      </c>
      <c r="C17" s="54" t="s">
        <v>10</v>
      </c>
      <c r="D17" s="82" t="s">
        <v>44</v>
      </c>
      <c r="E17" s="51" t="s">
        <v>155</v>
      </c>
      <c r="F17" s="51" t="s">
        <v>639</v>
      </c>
      <c r="G17" s="51" t="s">
        <v>266</v>
      </c>
      <c r="H17" s="51" t="s">
        <v>420</v>
      </c>
      <c r="I17" s="51" t="s">
        <v>641</v>
      </c>
      <c r="J17" s="51" t="s">
        <v>481</v>
      </c>
      <c r="K17" s="51" t="s">
        <v>579</v>
      </c>
      <c r="L17" s="51">
        <v>1</v>
      </c>
      <c r="M17" s="37">
        <f t="shared" si="1"/>
        <v>20</v>
      </c>
      <c r="N17" s="51">
        <v>22</v>
      </c>
      <c r="O17" s="60" t="s">
        <v>642</v>
      </c>
      <c r="P17" s="52">
        <v>0.73980000000000001</v>
      </c>
      <c r="Q17" s="52">
        <f t="shared" ref="Q17" si="5">P17*N17</f>
        <v>16.275600000000001</v>
      </c>
      <c r="R17" s="51"/>
      <c r="S17" s="59"/>
    </row>
    <row r="18" spans="1:19" x14ac:dyDescent="0.25">
      <c r="A18" s="1"/>
      <c r="B18" s="46">
        <f>ROW(B18) - ROW($B$9)</f>
        <v>9</v>
      </c>
      <c r="C18" s="54" t="s">
        <v>10</v>
      </c>
      <c r="D18" s="81" t="s">
        <v>45</v>
      </c>
      <c r="E18" s="37" t="s">
        <v>156</v>
      </c>
      <c r="F18" s="37" t="s">
        <v>639</v>
      </c>
      <c r="G18" s="63" t="s">
        <v>327</v>
      </c>
      <c r="H18" s="37" t="s">
        <v>423</v>
      </c>
      <c r="I18" s="37" t="s">
        <v>665</v>
      </c>
      <c r="J18" s="37" t="s">
        <v>664</v>
      </c>
      <c r="K18" s="37" t="s">
        <v>580</v>
      </c>
      <c r="L18" s="37">
        <v>1</v>
      </c>
      <c r="M18" s="37">
        <f t="shared" si="1"/>
        <v>20</v>
      </c>
      <c r="N18" s="37">
        <v>40</v>
      </c>
      <c r="O18" s="61" t="s">
        <v>642</v>
      </c>
      <c r="P18" s="38">
        <v>2.2100000000000002E-2</v>
      </c>
      <c r="Q18" s="38">
        <f>P18*N18</f>
        <v>0.88400000000000012</v>
      </c>
      <c r="R18" s="64"/>
      <c r="S18" s="59"/>
    </row>
    <row r="19" spans="1:19" x14ac:dyDescent="0.25">
      <c r="A19" s="1"/>
      <c r="B19" s="47">
        <f t="shared" si="0"/>
        <v>10</v>
      </c>
      <c r="C19" s="54" t="s">
        <v>10</v>
      </c>
      <c r="D19" s="82" t="s">
        <v>46</v>
      </c>
      <c r="E19" s="51" t="s">
        <v>157</v>
      </c>
      <c r="F19" s="51" t="s">
        <v>262</v>
      </c>
      <c r="G19" s="51" t="s">
        <v>328</v>
      </c>
      <c r="H19" s="51" t="s">
        <v>419</v>
      </c>
      <c r="I19" s="51" t="s">
        <v>641</v>
      </c>
      <c r="J19" s="51" t="s">
        <v>482</v>
      </c>
      <c r="K19" s="51" t="s">
        <v>581</v>
      </c>
      <c r="L19" s="51">
        <v>4</v>
      </c>
      <c r="M19" s="37">
        <f t="shared" si="1"/>
        <v>80</v>
      </c>
      <c r="N19" s="51">
        <v>100</v>
      </c>
      <c r="O19" s="60" t="s">
        <v>642</v>
      </c>
      <c r="P19" s="52">
        <v>3.32E-2</v>
      </c>
      <c r="Q19" s="52">
        <f t="shared" ref="Q19" si="6">P19*N19</f>
        <v>3.32</v>
      </c>
      <c r="R19" s="51"/>
      <c r="S19" s="59"/>
    </row>
    <row r="20" spans="1:19" x14ac:dyDescent="0.25">
      <c r="A20" s="1"/>
      <c r="B20" s="46">
        <f>ROW(B20) - ROW($B$9)</f>
        <v>11</v>
      </c>
      <c r="C20" s="54" t="s">
        <v>10</v>
      </c>
      <c r="D20" s="81" t="s">
        <v>47</v>
      </c>
      <c r="E20" s="37" t="s">
        <v>158</v>
      </c>
      <c r="F20" s="37" t="s">
        <v>262</v>
      </c>
      <c r="G20" s="37" t="s">
        <v>329</v>
      </c>
      <c r="H20" s="37" t="s">
        <v>424</v>
      </c>
      <c r="I20" s="37" t="s">
        <v>641</v>
      </c>
      <c r="J20" s="37" t="s">
        <v>483</v>
      </c>
      <c r="K20" s="37" t="s">
        <v>580</v>
      </c>
      <c r="L20" s="37">
        <v>4</v>
      </c>
      <c r="M20" s="37">
        <f t="shared" si="1"/>
        <v>80</v>
      </c>
      <c r="N20" s="37">
        <v>82</v>
      </c>
      <c r="O20" s="61" t="s">
        <v>642</v>
      </c>
      <c r="P20" s="38">
        <v>1.0452999999999999</v>
      </c>
      <c r="Q20" s="38">
        <f>P20*N20</f>
        <v>85.71459999999999</v>
      </c>
      <c r="R20" s="37"/>
      <c r="S20" s="59"/>
    </row>
    <row r="21" spans="1:19" x14ac:dyDescent="0.25">
      <c r="A21" s="1"/>
      <c r="B21" s="47">
        <f t="shared" si="0"/>
        <v>12</v>
      </c>
      <c r="C21" s="54" t="s">
        <v>10</v>
      </c>
      <c r="D21" s="82" t="s">
        <v>48</v>
      </c>
      <c r="E21" s="51" t="s">
        <v>159</v>
      </c>
      <c r="F21" s="51" t="s">
        <v>262</v>
      </c>
      <c r="G21" s="51" t="s">
        <v>330</v>
      </c>
      <c r="H21" s="51" t="s">
        <v>425</v>
      </c>
      <c r="I21" s="51" t="s">
        <v>641</v>
      </c>
      <c r="J21" s="51" t="s">
        <v>484</v>
      </c>
      <c r="K21" s="51" t="s">
        <v>582</v>
      </c>
      <c r="L21" s="51">
        <v>2</v>
      </c>
      <c r="M21" s="37">
        <f t="shared" si="1"/>
        <v>40</v>
      </c>
      <c r="N21" s="51">
        <v>100</v>
      </c>
      <c r="O21" s="60" t="s">
        <v>642</v>
      </c>
      <c r="P21" s="52">
        <v>2.7000000000000001E-3</v>
      </c>
      <c r="Q21" s="52">
        <f t="shared" ref="Q21" si="7">P21*N21</f>
        <v>0.27</v>
      </c>
      <c r="R21" s="51"/>
      <c r="S21" s="59"/>
    </row>
    <row r="22" spans="1:19" x14ac:dyDescent="0.25">
      <c r="A22" s="1"/>
      <c r="B22" s="46">
        <f>ROW(B22) - ROW($B$9)</f>
        <v>13</v>
      </c>
      <c r="C22" s="53" t="s">
        <v>10</v>
      </c>
      <c r="D22" s="81" t="s">
        <v>49</v>
      </c>
      <c r="E22" s="37" t="s">
        <v>160</v>
      </c>
      <c r="F22" s="37" t="s">
        <v>262</v>
      </c>
      <c r="G22" s="63" t="s">
        <v>331</v>
      </c>
      <c r="H22" s="37" t="s">
        <v>424</v>
      </c>
      <c r="I22" s="37" t="s">
        <v>641</v>
      </c>
      <c r="J22" s="37" t="s">
        <v>648</v>
      </c>
      <c r="K22" s="37" t="s">
        <v>583</v>
      </c>
      <c r="L22" s="37">
        <v>1</v>
      </c>
      <c r="M22" s="37">
        <f t="shared" si="1"/>
        <v>20</v>
      </c>
      <c r="N22" s="37">
        <v>50</v>
      </c>
      <c r="O22" s="61" t="s">
        <v>642</v>
      </c>
      <c r="P22" s="38">
        <v>9.1000000000000004E-3</v>
      </c>
      <c r="Q22" s="38">
        <f>P22*N22</f>
        <v>0.45500000000000002</v>
      </c>
      <c r="R22" s="37"/>
      <c r="S22" s="59"/>
    </row>
    <row r="23" spans="1:19" x14ac:dyDescent="0.25">
      <c r="A23" s="1"/>
      <c r="B23" s="47">
        <f t="shared" si="0"/>
        <v>14</v>
      </c>
      <c r="C23" s="53" t="s">
        <v>10</v>
      </c>
      <c r="D23" s="82" t="s">
        <v>50</v>
      </c>
      <c r="E23" s="51" t="s">
        <v>161</v>
      </c>
      <c r="F23" s="51" t="s">
        <v>262</v>
      </c>
      <c r="G23" s="51" t="s">
        <v>332</v>
      </c>
      <c r="H23" s="51" t="s">
        <v>424</v>
      </c>
      <c r="I23" s="51" t="s">
        <v>641</v>
      </c>
      <c r="J23" s="51" t="s">
        <v>485</v>
      </c>
      <c r="K23" s="51" t="s">
        <v>584</v>
      </c>
      <c r="L23" s="51">
        <v>1</v>
      </c>
      <c r="M23" s="37">
        <f t="shared" si="1"/>
        <v>20</v>
      </c>
      <c r="N23" s="51">
        <v>30</v>
      </c>
      <c r="O23" s="60" t="s">
        <v>642</v>
      </c>
      <c r="P23" s="52">
        <v>4.2500000000000003E-2</v>
      </c>
      <c r="Q23" s="52">
        <f t="shared" ref="Q23" si="8">P23*N23</f>
        <v>1.2750000000000001</v>
      </c>
      <c r="R23" s="51"/>
      <c r="S23" s="59"/>
    </row>
    <row r="24" spans="1:19" x14ac:dyDescent="0.25">
      <c r="A24" s="1"/>
      <c r="B24" s="46">
        <f>ROW(B24) - ROW($B$9)</f>
        <v>15</v>
      </c>
      <c r="C24" s="53" t="s">
        <v>10</v>
      </c>
      <c r="D24" s="81" t="s">
        <v>51</v>
      </c>
      <c r="E24" s="37" t="s">
        <v>162</v>
      </c>
      <c r="F24" s="37" t="s">
        <v>262</v>
      </c>
      <c r="G24" s="37" t="s">
        <v>333</v>
      </c>
      <c r="H24" s="37" t="s">
        <v>426</v>
      </c>
      <c r="I24" s="37" t="s">
        <v>641</v>
      </c>
      <c r="J24" s="37" t="s">
        <v>486</v>
      </c>
      <c r="K24" s="37" t="s">
        <v>585</v>
      </c>
      <c r="L24" s="37">
        <v>2</v>
      </c>
      <c r="M24" s="37">
        <f t="shared" si="1"/>
        <v>40</v>
      </c>
      <c r="N24" s="37">
        <v>50</v>
      </c>
      <c r="O24" s="61" t="s">
        <v>642</v>
      </c>
      <c r="P24" s="38">
        <v>1.7999999999999999E-2</v>
      </c>
      <c r="Q24" s="38">
        <f>P24*N24</f>
        <v>0.89999999999999991</v>
      </c>
      <c r="R24" s="37"/>
      <c r="S24" s="59"/>
    </row>
    <row r="25" spans="1:19" x14ac:dyDescent="0.25">
      <c r="A25" s="1"/>
      <c r="B25" s="47">
        <f t="shared" si="0"/>
        <v>16</v>
      </c>
      <c r="C25" s="54" t="s">
        <v>10</v>
      </c>
      <c r="D25" s="82" t="s">
        <v>52</v>
      </c>
      <c r="E25" s="51" t="s">
        <v>163</v>
      </c>
      <c r="F25" s="51" t="s">
        <v>639</v>
      </c>
      <c r="G25" s="63" t="s">
        <v>267</v>
      </c>
      <c r="H25" s="51" t="s">
        <v>420</v>
      </c>
      <c r="I25" s="51" t="s">
        <v>662</v>
      </c>
      <c r="J25" s="51" t="s">
        <v>663</v>
      </c>
      <c r="K25" s="51" t="s">
        <v>586</v>
      </c>
      <c r="L25" s="51">
        <v>3</v>
      </c>
      <c r="M25" s="37">
        <f t="shared" si="1"/>
        <v>60</v>
      </c>
      <c r="N25" s="51">
        <v>65</v>
      </c>
      <c r="O25" s="60" t="s">
        <v>642</v>
      </c>
      <c r="P25" s="52">
        <v>0.22689999999999999</v>
      </c>
      <c r="Q25" s="52">
        <f t="shared" ref="Q25" si="9">P25*N25</f>
        <v>14.7485</v>
      </c>
      <c r="R25" s="64"/>
      <c r="S25" s="59"/>
    </row>
    <row r="26" spans="1:19" x14ac:dyDescent="0.25">
      <c r="A26" s="1"/>
      <c r="B26" s="46">
        <f>ROW(B26) - ROW($B$9)</f>
        <v>17</v>
      </c>
      <c r="C26" s="54" t="s">
        <v>10</v>
      </c>
      <c r="D26" s="81" t="s">
        <v>53</v>
      </c>
      <c r="E26" s="37" t="s">
        <v>164</v>
      </c>
      <c r="F26" s="37" t="s">
        <v>268</v>
      </c>
      <c r="G26" s="63" t="s">
        <v>334</v>
      </c>
      <c r="H26" s="37" t="s">
        <v>426</v>
      </c>
      <c r="I26" s="37" t="s">
        <v>649</v>
      </c>
      <c r="J26" s="37" t="s">
        <v>650</v>
      </c>
      <c r="K26" s="37" t="s">
        <v>587</v>
      </c>
      <c r="L26" s="37">
        <v>1</v>
      </c>
      <c r="M26" s="37">
        <f t="shared" si="1"/>
        <v>20</v>
      </c>
      <c r="N26" s="37">
        <v>100</v>
      </c>
      <c r="O26" s="61" t="s">
        <v>642</v>
      </c>
      <c r="P26" s="38">
        <v>1.6000000000000001E-3</v>
      </c>
      <c r="Q26" s="38">
        <f>P26*N26</f>
        <v>0.16</v>
      </c>
      <c r="R26" s="37"/>
      <c r="S26" s="59"/>
    </row>
    <row r="27" spans="1:19" ht="48" x14ac:dyDescent="0.25">
      <c r="A27" s="1"/>
      <c r="B27" s="47">
        <f t="shared" si="0"/>
        <v>18</v>
      </c>
      <c r="C27" s="54" t="s">
        <v>10</v>
      </c>
      <c r="D27" s="82" t="s">
        <v>54</v>
      </c>
      <c r="E27" s="51" t="s">
        <v>165</v>
      </c>
      <c r="F27" s="51" t="s">
        <v>639</v>
      </c>
      <c r="G27" s="51" t="s">
        <v>269</v>
      </c>
      <c r="H27" s="51" t="s">
        <v>427</v>
      </c>
      <c r="I27" s="51" t="s">
        <v>641</v>
      </c>
      <c r="J27" s="51" t="s">
        <v>641</v>
      </c>
      <c r="K27" s="51" t="s">
        <v>588</v>
      </c>
      <c r="L27" s="51">
        <v>1</v>
      </c>
      <c r="M27" s="37">
        <f t="shared" si="1"/>
        <v>20</v>
      </c>
      <c r="N27" s="51">
        <v>21</v>
      </c>
      <c r="O27" s="60" t="s">
        <v>657</v>
      </c>
      <c r="P27" s="52">
        <v>2.21</v>
      </c>
      <c r="Q27" s="52">
        <f t="shared" ref="Q27" si="10">P27*N27</f>
        <v>46.41</v>
      </c>
      <c r="R27" s="51"/>
      <c r="S27" s="59"/>
    </row>
    <row r="28" spans="1:19" x14ac:dyDescent="0.25">
      <c r="A28" s="1"/>
      <c r="B28" s="46">
        <f>ROW(B28) - ROW($B$9)</f>
        <v>19</v>
      </c>
      <c r="C28" s="53" t="s">
        <v>11</v>
      </c>
      <c r="D28" s="81" t="s">
        <v>55</v>
      </c>
      <c r="E28" s="37" t="s">
        <v>166</v>
      </c>
      <c r="F28" s="37" t="s">
        <v>270</v>
      </c>
      <c r="G28" s="37" t="s">
        <v>335</v>
      </c>
      <c r="H28" s="37" t="s">
        <v>428</v>
      </c>
      <c r="I28" s="37" t="s">
        <v>641</v>
      </c>
      <c r="J28" s="37" t="s">
        <v>487</v>
      </c>
      <c r="K28" s="37" t="s">
        <v>641</v>
      </c>
      <c r="L28" s="37">
        <v>2</v>
      </c>
      <c r="M28" s="37">
        <f t="shared" si="1"/>
        <v>40</v>
      </c>
      <c r="N28" s="37">
        <v>50</v>
      </c>
      <c r="O28" s="61" t="s">
        <v>642</v>
      </c>
      <c r="P28" s="38">
        <v>6.1699999999999998E-2</v>
      </c>
      <c r="Q28" s="38">
        <f>P28*N28</f>
        <v>3.085</v>
      </c>
      <c r="R28" s="37"/>
      <c r="S28" s="59"/>
    </row>
    <row r="29" spans="1:19" ht="36" x14ac:dyDescent="0.25">
      <c r="A29" s="1"/>
      <c r="B29" s="47">
        <f t="shared" si="0"/>
        <v>20</v>
      </c>
      <c r="C29" s="54" t="s">
        <v>11</v>
      </c>
      <c r="D29" s="82" t="s">
        <v>56</v>
      </c>
      <c r="E29" s="51" t="s">
        <v>167</v>
      </c>
      <c r="F29" s="51" t="s">
        <v>271</v>
      </c>
      <c r="G29" s="51" t="s">
        <v>336</v>
      </c>
      <c r="H29" s="51" t="s">
        <v>429</v>
      </c>
      <c r="I29" s="51" t="s">
        <v>641</v>
      </c>
      <c r="J29" s="51" t="s">
        <v>488</v>
      </c>
      <c r="K29" s="51" t="s">
        <v>641</v>
      </c>
      <c r="L29" s="51">
        <v>1</v>
      </c>
      <c r="M29" s="37">
        <f t="shared" si="1"/>
        <v>20</v>
      </c>
      <c r="N29" s="51">
        <v>22</v>
      </c>
      <c r="O29" s="60" t="s">
        <v>642</v>
      </c>
      <c r="P29" s="52">
        <v>0.36499999999999999</v>
      </c>
      <c r="Q29" s="52">
        <f t="shared" ref="Q29" si="11">P29*N29</f>
        <v>8.0299999999999994</v>
      </c>
      <c r="R29" s="51"/>
      <c r="S29" s="59"/>
    </row>
    <row r="30" spans="1:19" ht="24" x14ac:dyDescent="0.25">
      <c r="A30" s="1"/>
      <c r="B30" s="46">
        <f>ROW(B30) - ROW($B$9)</f>
        <v>21</v>
      </c>
      <c r="C30" s="53" t="s">
        <v>11</v>
      </c>
      <c r="D30" s="81" t="s">
        <v>57</v>
      </c>
      <c r="E30" s="37" t="s">
        <v>168</v>
      </c>
      <c r="F30" s="37" t="s">
        <v>272</v>
      </c>
      <c r="G30" s="37" t="s">
        <v>337</v>
      </c>
      <c r="H30" s="37" t="s">
        <v>430</v>
      </c>
      <c r="I30" s="37" t="s">
        <v>641</v>
      </c>
      <c r="J30" s="37" t="s">
        <v>489</v>
      </c>
      <c r="K30" s="37" t="s">
        <v>641</v>
      </c>
      <c r="L30" s="37">
        <v>1</v>
      </c>
      <c r="M30" s="37">
        <f t="shared" si="1"/>
        <v>20</v>
      </c>
      <c r="N30" s="37">
        <v>25</v>
      </c>
      <c r="O30" s="61" t="s">
        <v>642</v>
      </c>
      <c r="P30" s="38">
        <v>8.6400000000000005E-2</v>
      </c>
      <c r="Q30" s="38">
        <f>P30*N30</f>
        <v>2.16</v>
      </c>
      <c r="R30" s="37"/>
      <c r="S30" s="59"/>
    </row>
    <row r="31" spans="1:19" x14ac:dyDescent="0.25">
      <c r="A31" s="1"/>
      <c r="B31" s="47">
        <f t="shared" si="0"/>
        <v>22</v>
      </c>
      <c r="C31" s="54" t="s">
        <v>11</v>
      </c>
      <c r="D31" s="82" t="s">
        <v>58</v>
      </c>
      <c r="E31" s="51" t="s">
        <v>169</v>
      </c>
      <c r="F31" s="51" t="s">
        <v>273</v>
      </c>
      <c r="G31" s="51" t="s">
        <v>338</v>
      </c>
      <c r="H31" s="51" t="s">
        <v>431</v>
      </c>
      <c r="I31" s="51" t="s">
        <v>641</v>
      </c>
      <c r="J31" s="51" t="s">
        <v>490</v>
      </c>
      <c r="K31" s="51" t="s">
        <v>641</v>
      </c>
      <c r="L31" s="51">
        <v>4</v>
      </c>
      <c r="M31" s="37">
        <f t="shared" si="1"/>
        <v>80</v>
      </c>
      <c r="N31" s="51">
        <v>90</v>
      </c>
      <c r="O31" s="60" t="s">
        <v>642</v>
      </c>
      <c r="P31" s="52">
        <v>5.0099999999999999E-2</v>
      </c>
      <c r="Q31" s="52">
        <f t="shared" ref="Q31" si="12">P31*N31</f>
        <v>4.5089999999999995</v>
      </c>
      <c r="R31" s="51"/>
      <c r="S31" s="59"/>
    </row>
    <row r="32" spans="1:19" ht="24" x14ac:dyDescent="0.25">
      <c r="A32" s="1"/>
      <c r="B32" s="46">
        <f>ROW(B32) - ROW($B$9)</f>
        <v>23</v>
      </c>
      <c r="C32" s="53" t="s">
        <v>11</v>
      </c>
      <c r="D32" s="81" t="s">
        <v>59</v>
      </c>
      <c r="E32" s="37" t="s">
        <v>170</v>
      </c>
      <c r="F32" s="37" t="s">
        <v>274</v>
      </c>
      <c r="G32" s="37" t="s">
        <v>339</v>
      </c>
      <c r="H32" s="37" t="s">
        <v>432</v>
      </c>
      <c r="I32" s="37" t="s">
        <v>641</v>
      </c>
      <c r="J32" s="37" t="s">
        <v>491</v>
      </c>
      <c r="K32" s="37" t="s">
        <v>641</v>
      </c>
      <c r="L32" s="37">
        <v>1</v>
      </c>
      <c r="M32" s="37">
        <f t="shared" si="1"/>
        <v>20</v>
      </c>
      <c r="N32" s="37">
        <v>30</v>
      </c>
      <c r="O32" s="61" t="s">
        <v>642</v>
      </c>
      <c r="P32" s="38">
        <v>2.46E-2</v>
      </c>
      <c r="Q32" s="38">
        <f>P32*N32</f>
        <v>0.73799999999999999</v>
      </c>
      <c r="R32" s="37"/>
      <c r="S32" s="59"/>
    </row>
    <row r="33" spans="1:19" x14ac:dyDescent="0.25">
      <c r="A33" s="1"/>
      <c r="B33" s="47">
        <f t="shared" si="0"/>
        <v>24</v>
      </c>
      <c r="C33" s="54" t="s">
        <v>11</v>
      </c>
      <c r="D33" s="82" t="s">
        <v>60</v>
      </c>
      <c r="E33" s="51" t="s">
        <v>171</v>
      </c>
      <c r="F33" s="51" t="s">
        <v>275</v>
      </c>
      <c r="G33" s="51" t="s">
        <v>340</v>
      </c>
      <c r="H33" s="51" t="s">
        <v>433</v>
      </c>
      <c r="I33" s="51" t="s">
        <v>641</v>
      </c>
      <c r="J33" s="51" t="s">
        <v>492</v>
      </c>
      <c r="K33" s="51" t="s">
        <v>641</v>
      </c>
      <c r="L33" s="51">
        <v>1</v>
      </c>
      <c r="M33" s="37">
        <f t="shared" si="1"/>
        <v>20</v>
      </c>
      <c r="N33" s="51">
        <v>25</v>
      </c>
      <c r="O33" s="60" t="s">
        <v>642</v>
      </c>
      <c r="P33" s="52">
        <v>7.5800000000000006E-2</v>
      </c>
      <c r="Q33" s="52">
        <f t="shared" ref="Q33" si="13">P33*N33</f>
        <v>1.8950000000000002</v>
      </c>
      <c r="R33" s="51"/>
      <c r="S33" s="59"/>
    </row>
    <row r="34" spans="1:19" ht="24" x14ac:dyDescent="0.25">
      <c r="A34" s="1"/>
      <c r="B34" s="46">
        <f>ROW(B34) - ROW($B$9)</f>
        <v>25</v>
      </c>
      <c r="C34" s="53" t="s">
        <v>11</v>
      </c>
      <c r="D34" s="81" t="s">
        <v>61</v>
      </c>
      <c r="E34" s="37" t="s">
        <v>172</v>
      </c>
      <c r="F34" s="37" t="s">
        <v>276</v>
      </c>
      <c r="G34" s="37" t="s">
        <v>341</v>
      </c>
      <c r="H34" s="37" t="s">
        <v>434</v>
      </c>
      <c r="I34" s="37" t="s">
        <v>641</v>
      </c>
      <c r="J34" s="37" t="s">
        <v>493</v>
      </c>
      <c r="K34" s="37" t="s">
        <v>641</v>
      </c>
      <c r="L34" s="37">
        <v>2</v>
      </c>
      <c r="M34" s="37">
        <f t="shared" si="1"/>
        <v>40</v>
      </c>
      <c r="N34" s="37">
        <v>60</v>
      </c>
      <c r="O34" s="61" t="s">
        <v>642</v>
      </c>
      <c r="P34" s="38">
        <v>3.1699999999999999E-2</v>
      </c>
      <c r="Q34" s="38">
        <f>P34*N34</f>
        <v>1.9019999999999999</v>
      </c>
      <c r="R34" s="37"/>
      <c r="S34" s="59"/>
    </row>
    <row r="35" spans="1:19" ht="36" x14ac:dyDescent="0.25">
      <c r="A35" s="1"/>
      <c r="B35" s="47">
        <f t="shared" si="0"/>
        <v>26</v>
      </c>
      <c r="C35" s="54" t="s">
        <v>11</v>
      </c>
      <c r="D35" s="82" t="s">
        <v>62</v>
      </c>
      <c r="E35" s="51" t="s">
        <v>173</v>
      </c>
      <c r="F35" s="51" t="s">
        <v>277</v>
      </c>
      <c r="G35" s="51" t="s">
        <v>342</v>
      </c>
      <c r="H35" s="51" t="s">
        <v>435</v>
      </c>
      <c r="I35" s="51" t="s">
        <v>641</v>
      </c>
      <c r="J35" s="51" t="s">
        <v>494</v>
      </c>
      <c r="K35" s="51" t="s">
        <v>641</v>
      </c>
      <c r="L35" s="51">
        <v>2</v>
      </c>
      <c r="M35" s="37">
        <f t="shared" si="1"/>
        <v>40</v>
      </c>
      <c r="N35" s="51">
        <v>60</v>
      </c>
      <c r="O35" s="60" t="s">
        <v>642</v>
      </c>
      <c r="P35" s="52">
        <v>2.3400000000000001E-2</v>
      </c>
      <c r="Q35" s="52">
        <f t="shared" ref="Q35" si="14">P35*N35</f>
        <v>1.4040000000000001</v>
      </c>
      <c r="R35" s="51"/>
      <c r="S35" s="59"/>
    </row>
    <row r="36" spans="1:19" ht="24" x14ac:dyDescent="0.25">
      <c r="A36" s="1"/>
      <c r="B36" s="46">
        <f>ROW(B36) - ROW($B$9)</f>
        <v>27</v>
      </c>
      <c r="C36" s="53" t="s">
        <v>11</v>
      </c>
      <c r="D36" s="81" t="s">
        <v>63</v>
      </c>
      <c r="E36" s="37" t="s">
        <v>174</v>
      </c>
      <c r="F36" s="37" t="s">
        <v>20</v>
      </c>
      <c r="G36" s="37" t="s">
        <v>343</v>
      </c>
      <c r="H36" s="37" t="s">
        <v>432</v>
      </c>
      <c r="I36" s="37" t="s">
        <v>641</v>
      </c>
      <c r="J36" s="37" t="s">
        <v>495</v>
      </c>
      <c r="K36" s="37" t="s">
        <v>641</v>
      </c>
      <c r="L36" s="37">
        <v>8</v>
      </c>
      <c r="M36" s="37">
        <f t="shared" si="1"/>
        <v>160</v>
      </c>
      <c r="N36" s="37">
        <v>180</v>
      </c>
      <c r="O36" s="61" t="s">
        <v>642</v>
      </c>
      <c r="P36" s="38">
        <v>3.1600000000000003E-2</v>
      </c>
      <c r="Q36" s="38">
        <f>P36*N36</f>
        <v>5.6880000000000006</v>
      </c>
      <c r="R36" s="37"/>
      <c r="S36" s="59"/>
    </row>
    <row r="37" spans="1:19" ht="24" x14ac:dyDescent="0.25">
      <c r="A37" s="1"/>
      <c r="B37" s="47">
        <f t="shared" si="0"/>
        <v>28</v>
      </c>
      <c r="C37" s="54" t="s">
        <v>11</v>
      </c>
      <c r="D37" s="82" t="s">
        <v>64</v>
      </c>
      <c r="E37" s="51" t="s">
        <v>175</v>
      </c>
      <c r="F37" s="51" t="s">
        <v>273</v>
      </c>
      <c r="G37" s="51" t="s">
        <v>344</v>
      </c>
      <c r="H37" s="51" t="s">
        <v>436</v>
      </c>
      <c r="I37" s="51" t="s">
        <v>641</v>
      </c>
      <c r="J37" s="51" t="s">
        <v>496</v>
      </c>
      <c r="K37" s="51" t="s">
        <v>641</v>
      </c>
      <c r="L37" s="51">
        <v>9</v>
      </c>
      <c r="M37" s="37">
        <f t="shared" si="1"/>
        <v>180</v>
      </c>
      <c r="N37" s="51">
        <v>190</v>
      </c>
      <c r="O37" s="60" t="s">
        <v>642</v>
      </c>
      <c r="P37" s="52">
        <v>3.6299999999999999E-2</v>
      </c>
      <c r="Q37" s="52">
        <f t="shared" ref="Q37" si="15">P37*N37</f>
        <v>6.8970000000000002</v>
      </c>
      <c r="R37" s="51"/>
      <c r="S37" s="59"/>
    </row>
    <row r="38" spans="1:19" x14ac:dyDescent="0.25">
      <c r="A38" s="1"/>
      <c r="B38" s="46">
        <f>ROW(B38) - ROW($B$9)</f>
        <v>29</v>
      </c>
      <c r="C38" s="53" t="s">
        <v>12</v>
      </c>
      <c r="D38" s="81" t="s">
        <v>65</v>
      </c>
      <c r="E38" s="37" t="s">
        <v>176</v>
      </c>
      <c r="F38" s="37" t="s">
        <v>278</v>
      </c>
      <c r="G38" s="37" t="s">
        <v>345</v>
      </c>
      <c r="H38" s="37" t="s">
        <v>437</v>
      </c>
      <c r="I38" s="37" t="s">
        <v>641</v>
      </c>
      <c r="J38" s="37" t="s">
        <v>497</v>
      </c>
      <c r="K38" s="37" t="s">
        <v>641</v>
      </c>
      <c r="L38" s="37">
        <v>1</v>
      </c>
      <c r="M38" s="37">
        <f t="shared" si="1"/>
        <v>20</v>
      </c>
      <c r="N38" s="37">
        <v>25</v>
      </c>
      <c r="O38" s="61" t="s">
        <v>642</v>
      </c>
      <c r="P38" s="38">
        <v>0.22259999999999999</v>
      </c>
      <c r="Q38" s="38">
        <f>P38*N38</f>
        <v>5.5649999999999995</v>
      </c>
      <c r="R38" s="37"/>
      <c r="S38" s="59"/>
    </row>
    <row r="39" spans="1:19" ht="24" x14ac:dyDescent="0.25">
      <c r="A39" s="1"/>
      <c r="B39" s="47">
        <f t="shared" si="0"/>
        <v>30</v>
      </c>
      <c r="C39" s="54" t="s">
        <v>12</v>
      </c>
      <c r="D39" s="82" t="s">
        <v>66</v>
      </c>
      <c r="E39" s="51" t="s">
        <v>177</v>
      </c>
      <c r="F39" s="51" t="s">
        <v>279</v>
      </c>
      <c r="G39" s="51" t="s">
        <v>346</v>
      </c>
      <c r="H39" s="51" t="s">
        <v>438</v>
      </c>
      <c r="I39" s="51" t="s">
        <v>641</v>
      </c>
      <c r="J39" s="51" t="s">
        <v>498</v>
      </c>
      <c r="K39" s="51" t="s">
        <v>641</v>
      </c>
      <c r="L39" s="51">
        <v>8</v>
      </c>
      <c r="M39" s="37">
        <f t="shared" si="1"/>
        <v>160</v>
      </c>
      <c r="N39" s="51">
        <v>170</v>
      </c>
      <c r="O39" s="60" t="s">
        <v>642</v>
      </c>
      <c r="P39" s="52">
        <v>5.3999999999999999E-2</v>
      </c>
      <c r="Q39" s="52">
        <f t="shared" ref="Q39" si="16">P39*N39</f>
        <v>9.18</v>
      </c>
      <c r="R39" s="51"/>
      <c r="S39" s="59"/>
    </row>
    <row r="40" spans="1:19" ht="24" x14ac:dyDescent="0.25">
      <c r="A40" s="1"/>
      <c r="B40" s="46">
        <f>ROW(B40) - ROW($B$9)</f>
        <v>31</v>
      </c>
      <c r="C40" s="53" t="s">
        <v>12</v>
      </c>
      <c r="D40" s="81" t="s">
        <v>67</v>
      </c>
      <c r="E40" s="37" t="s">
        <v>178</v>
      </c>
      <c r="F40" s="37" t="s">
        <v>280</v>
      </c>
      <c r="G40" s="37" t="s">
        <v>347</v>
      </c>
      <c r="H40" s="37" t="s">
        <v>439</v>
      </c>
      <c r="I40" s="37" t="s">
        <v>641</v>
      </c>
      <c r="J40" s="37" t="s">
        <v>499</v>
      </c>
      <c r="K40" s="37"/>
      <c r="L40" s="37">
        <v>1</v>
      </c>
      <c r="M40" s="37">
        <f t="shared" si="1"/>
        <v>20</v>
      </c>
      <c r="N40" s="37">
        <v>21</v>
      </c>
      <c r="O40" s="61" t="s">
        <v>642</v>
      </c>
      <c r="P40" s="38">
        <v>0.95140000000000002</v>
      </c>
      <c r="Q40" s="38">
        <f>P40*N40</f>
        <v>19.979400000000002</v>
      </c>
      <c r="R40" s="37"/>
      <c r="S40" s="59"/>
    </row>
    <row r="41" spans="1:19" ht="24" x14ac:dyDescent="0.25">
      <c r="A41" s="1"/>
      <c r="B41" s="47">
        <f t="shared" si="0"/>
        <v>32</v>
      </c>
      <c r="C41" s="53" t="s">
        <v>12</v>
      </c>
      <c r="D41" s="82" t="s">
        <v>68</v>
      </c>
      <c r="E41" s="51" t="s">
        <v>179</v>
      </c>
      <c r="F41" s="51" t="s">
        <v>281</v>
      </c>
      <c r="G41" s="51" t="s">
        <v>348</v>
      </c>
      <c r="H41" s="51" t="s">
        <v>440</v>
      </c>
      <c r="I41" s="51" t="s">
        <v>641</v>
      </c>
      <c r="J41" s="51" t="s">
        <v>643</v>
      </c>
      <c r="K41" s="51" t="s">
        <v>641</v>
      </c>
      <c r="L41" s="51">
        <v>1</v>
      </c>
      <c r="M41" s="37">
        <f t="shared" si="1"/>
        <v>20</v>
      </c>
      <c r="N41" s="51">
        <v>30</v>
      </c>
      <c r="O41" s="60" t="s">
        <v>642</v>
      </c>
      <c r="P41" s="52">
        <v>4.7399999999999998E-2</v>
      </c>
      <c r="Q41" s="52">
        <f t="shared" ref="Q41" si="17">P41*N41</f>
        <v>1.4219999999999999</v>
      </c>
      <c r="R41" s="51"/>
      <c r="S41" s="59"/>
    </row>
    <row r="42" spans="1:19" x14ac:dyDescent="0.25">
      <c r="A42" s="1"/>
      <c r="B42" s="46">
        <f>ROW(B42) - ROW($B$9)</f>
        <v>33</v>
      </c>
      <c r="C42" s="53" t="s">
        <v>13</v>
      </c>
      <c r="D42" s="81" t="s">
        <v>69</v>
      </c>
      <c r="E42" s="37" t="s">
        <v>180</v>
      </c>
      <c r="F42" s="37" t="s">
        <v>282</v>
      </c>
      <c r="G42" s="37" t="s">
        <v>349</v>
      </c>
      <c r="H42" s="37" t="s">
        <v>426</v>
      </c>
      <c r="I42" s="37" t="s">
        <v>641</v>
      </c>
      <c r="J42" s="37" t="s">
        <v>500</v>
      </c>
      <c r="K42" s="37" t="s">
        <v>641</v>
      </c>
      <c r="L42" s="37">
        <v>1</v>
      </c>
      <c r="M42" s="37">
        <f t="shared" si="1"/>
        <v>20</v>
      </c>
      <c r="N42" s="37">
        <v>25</v>
      </c>
      <c r="O42" s="61" t="s">
        <v>642</v>
      </c>
      <c r="P42" s="38">
        <v>9.4100000000000003E-2</v>
      </c>
      <c r="Q42" s="38">
        <f>P42*N42</f>
        <v>2.3525</v>
      </c>
      <c r="R42" s="37"/>
      <c r="S42" s="59"/>
    </row>
    <row r="43" spans="1:19" x14ac:dyDescent="0.25">
      <c r="A43" s="1"/>
      <c r="B43" s="47">
        <f t="shared" si="0"/>
        <v>34</v>
      </c>
      <c r="C43" s="54" t="s">
        <v>13</v>
      </c>
      <c r="D43" s="82" t="s">
        <v>70</v>
      </c>
      <c r="E43" s="51" t="s">
        <v>181</v>
      </c>
      <c r="F43" s="51" t="s">
        <v>283</v>
      </c>
      <c r="G43" s="51" t="s">
        <v>350</v>
      </c>
      <c r="H43" s="51" t="s">
        <v>441</v>
      </c>
      <c r="I43" s="51" t="s">
        <v>641</v>
      </c>
      <c r="J43" s="51" t="s">
        <v>501</v>
      </c>
      <c r="K43" s="51" t="s">
        <v>641</v>
      </c>
      <c r="L43" s="51">
        <v>2</v>
      </c>
      <c r="M43" s="37">
        <f t="shared" si="1"/>
        <v>40</v>
      </c>
      <c r="N43" s="51">
        <v>45</v>
      </c>
      <c r="O43" s="60" t="s">
        <v>642</v>
      </c>
      <c r="P43" s="52">
        <v>0.2477</v>
      </c>
      <c r="Q43" s="52">
        <f t="shared" ref="Q43" si="18">P43*N43</f>
        <v>11.1465</v>
      </c>
      <c r="R43" s="51"/>
      <c r="S43" s="59"/>
    </row>
    <row r="44" spans="1:19" x14ac:dyDescent="0.25">
      <c r="A44" s="1"/>
      <c r="B44" s="46">
        <f>ROW(B44) - ROW($B$9)</f>
        <v>35</v>
      </c>
      <c r="C44" s="53" t="s">
        <v>14</v>
      </c>
      <c r="D44" s="81" t="s">
        <v>71</v>
      </c>
      <c r="E44" s="37" t="s">
        <v>182</v>
      </c>
      <c r="F44" s="37" t="s">
        <v>639</v>
      </c>
      <c r="G44" s="37" t="s">
        <v>351</v>
      </c>
      <c r="H44" s="37" t="s">
        <v>442</v>
      </c>
      <c r="I44" s="37" t="s">
        <v>641</v>
      </c>
      <c r="J44" s="37" t="s">
        <v>502</v>
      </c>
      <c r="K44" s="37" t="s">
        <v>641</v>
      </c>
      <c r="L44" s="37">
        <v>1</v>
      </c>
      <c r="M44" s="37">
        <f t="shared" si="1"/>
        <v>20</v>
      </c>
      <c r="N44" s="37">
        <v>21</v>
      </c>
      <c r="O44" s="61" t="s">
        <v>642</v>
      </c>
      <c r="P44" s="38">
        <v>0.17649999999999999</v>
      </c>
      <c r="Q44" s="38">
        <f>P44*N44</f>
        <v>3.7064999999999997</v>
      </c>
      <c r="R44" s="37"/>
      <c r="S44" s="59"/>
    </row>
    <row r="45" spans="1:19" ht="48" x14ac:dyDescent="0.25">
      <c r="A45" s="1"/>
      <c r="B45" s="47">
        <f t="shared" si="0"/>
        <v>36</v>
      </c>
      <c r="C45" s="54" t="s">
        <v>15</v>
      </c>
      <c r="D45" s="82" t="s">
        <v>72</v>
      </c>
      <c r="E45" s="51" t="s">
        <v>183</v>
      </c>
      <c r="F45" s="51" t="s">
        <v>639</v>
      </c>
      <c r="G45" s="51" t="s">
        <v>284</v>
      </c>
      <c r="H45" s="51" t="s">
        <v>443</v>
      </c>
      <c r="I45" s="51" t="s">
        <v>641</v>
      </c>
      <c r="J45" s="51" t="s">
        <v>503</v>
      </c>
      <c r="K45" s="51" t="s">
        <v>641</v>
      </c>
      <c r="L45" s="51">
        <v>7</v>
      </c>
      <c r="M45" s="37">
        <f t="shared" si="1"/>
        <v>140</v>
      </c>
      <c r="N45" s="51">
        <v>145</v>
      </c>
      <c r="O45" s="60" t="s">
        <v>642</v>
      </c>
      <c r="P45" s="52">
        <v>0.2316</v>
      </c>
      <c r="Q45" s="52">
        <f t="shared" ref="Q45" si="19">P45*N45</f>
        <v>33.582000000000001</v>
      </c>
      <c r="R45" s="51"/>
      <c r="S45" s="59"/>
    </row>
    <row r="46" spans="1:19" ht="36" x14ac:dyDescent="0.25">
      <c r="A46" s="1"/>
      <c r="B46" s="46">
        <f>ROW(B46) - ROW($B$9)</f>
        <v>37</v>
      </c>
      <c r="C46" s="53" t="s">
        <v>16</v>
      </c>
      <c r="D46" s="81" t="s">
        <v>73</v>
      </c>
      <c r="E46" s="37" t="s">
        <v>184</v>
      </c>
      <c r="F46" s="51" t="s">
        <v>639</v>
      </c>
      <c r="G46" s="37" t="s">
        <v>352</v>
      </c>
      <c r="H46" s="37" t="s">
        <v>444</v>
      </c>
      <c r="I46" s="37" t="s">
        <v>641</v>
      </c>
      <c r="J46" s="37" t="s">
        <v>504</v>
      </c>
      <c r="K46" s="37" t="s">
        <v>641</v>
      </c>
      <c r="L46" s="37">
        <v>1</v>
      </c>
      <c r="M46" s="37">
        <f t="shared" si="1"/>
        <v>20</v>
      </c>
      <c r="N46" s="37">
        <v>21</v>
      </c>
      <c r="O46" s="61" t="s">
        <v>642</v>
      </c>
      <c r="P46" s="38">
        <v>1.8072999999999999</v>
      </c>
      <c r="Q46" s="38">
        <f>P46*N46</f>
        <v>37.953299999999999</v>
      </c>
      <c r="R46" s="37"/>
      <c r="S46" s="59"/>
    </row>
    <row r="47" spans="1:19" ht="24" x14ac:dyDescent="0.25">
      <c r="A47" s="1"/>
      <c r="B47" s="47">
        <f t="shared" si="0"/>
        <v>38</v>
      </c>
      <c r="C47" s="54" t="s">
        <v>17</v>
      </c>
      <c r="D47" s="82" t="s">
        <v>74</v>
      </c>
      <c r="E47" s="51" t="s">
        <v>185</v>
      </c>
      <c r="F47" s="51" t="s">
        <v>639</v>
      </c>
      <c r="G47" s="51" t="s">
        <v>353</v>
      </c>
      <c r="H47" s="51" t="s">
        <v>445</v>
      </c>
      <c r="I47" s="51" t="s">
        <v>641</v>
      </c>
      <c r="J47" s="51" t="s">
        <v>353</v>
      </c>
      <c r="K47" s="51" t="s">
        <v>641</v>
      </c>
      <c r="L47" s="51">
        <v>1</v>
      </c>
      <c r="M47" s="37">
        <f t="shared" si="1"/>
        <v>20</v>
      </c>
      <c r="N47" s="51">
        <v>24</v>
      </c>
      <c r="O47" s="60" t="s">
        <v>642</v>
      </c>
      <c r="P47" s="52">
        <v>6.88E-2</v>
      </c>
      <c r="Q47" s="52">
        <f t="shared" ref="Q47" si="20">P47*N47</f>
        <v>1.6512</v>
      </c>
      <c r="R47" s="51"/>
      <c r="S47" s="59"/>
    </row>
    <row r="48" spans="1:19" ht="48" x14ac:dyDescent="0.25">
      <c r="A48" s="1"/>
      <c r="B48" s="46">
        <f>ROW(B48) - ROW($B$9)</f>
        <v>39</v>
      </c>
      <c r="C48" s="53" t="s">
        <v>18</v>
      </c>
      <c r="D48" s="81" t="s">
        <v>75</v>
      </c>
      <c r="E48" s="37" t="s">
        <v>186</v>
      </c>
      <c r="F48" s="37" t="s">
        <v>285</v>
      </c>
      <c r="G48" s="37" t="s">
        <v>354</v>
      </c>
      <c r="H48" s="37" t="s">
        <v>445</v>
      </c>
      <c r="I48" s="37" t="s">
        <v>641</v>
      </c>
      <c r="J48" s="37" t="s">
        <v>354</v>
      </c>
      <c r="K48" s="37" t="s">
        <v>641</v>
      </c>
      <c r="L48" s="37">
        <v>1</v>
      </c>
      <c r="M48" s="37">
        <f t="shared" si="1"/>
        <v>20</v>
      </c>
      <c r="N48" s="37">
        <v>30</v>
      </c>
      <c r="O48" s="61" t="s">
        <v>642</v>
      </c>
      <c r="P48" s="38">
        <v>4.2200000000000001E-2</v>
      </c>
      <c r="Q48" s="38">
        <f>P48*N48</f>
        <v>1.266</v>
      </c>
      <c r="R48" s="37"/>
      <c r="S48" s="59"/>
    </row>
    <row r="49" spans="1:19" ht="48" x14ac:dyDescent="0.25">
      <c r="A49" s="1"/>
      <c r="B49" s="46">
        <f>ROW(B49) - ROW($B$9)</f>
        <v>40</v>
      </c>
      <c r="C49" s="53" t="s">
        <v>15</v>
      </c>
      <c r="D49" s="81" t="s">
        <v>651</v>
      </c>
      <c r="E49" s="37" t="s">
        <v>191</v>
      </c>
      <c r="F49" s="51" t="s">
        <v>639</v>
      </c>
      <c r="G49" s="37" t="s">
        <v>287</v>
      </c>
      <c r="H49" s="37" t="s">
        <v>443</v>
      </c>
      <c r="I49" s="51" t="s">
        <v>641</v>
      </c>
      <c r="J49" s="37" t="s">
        <v>508</v>
      </c>
      <c r="K49" s="37"/>
      <c r="L49" s="37">
        <v>4</v>
      </c>
      <c r="M49" s="37">
        <f>L49*20</f>
        <v>80</v>
      </c>
      <c r="N49" s="37">
        <v>85</v>
      </c>
      <c r="O49" s="61" t="s">
        <v>642</v>
      </c>
      <c r="P49" s="38">
        <v>0.14130000000000001</v>
      </c>
      <c r="Q49" s="38">
        <f>P49*N49</f>
        <v>12.0105</v>
      </c>
      <c r="R49" s="37"/>
      <c r="S49" s="59"/>
    </row>
    <row r="50" spans="1:19" x14ac:dyDescent="0.25">
      <c r="A50" s="1"/>
      <c r="B50" s="46">
        <f>ROW(B50) - ROW($B$9)</f>
        <v>41</v>
      </c>
      <c r="C50" s="67" t="s">
        <v>19</v>
      </c>
      <c r="D50" s="83" t="s">
        <v>76</v>
      </c>
      <c r="E50" s="63" t="s">
        <v>187</v>
      </c>
      <c r="F50" s="62" t="s">
        <v>639</v>
      </c>
      <c r="G50" s="63" t="s">
        <v>355</v>
      </c>
      <c r="H50" s="63" t="s">
        <v>641</v>
      </c>
      <c r="I50" s="63" t="s">
        <v>641</v>
      </c>
      <c r="J50" s="63" t="s">
        <v>641</v>
      </c>
      <c r="K50" s="63" t="s">
        <v>641</v>
      </c>
      <c r="L50" s="63">
        <v>1</v>
      </c>
      <c r="M50" s="63">
        <f t="shared" si="1"/>
        <v>20</v>
      </c>
      <c r="N50" s="63" t="s">
        <v>641</v>
      </c>
      <c r="O50" s="63"/>
      <c r="P50" s="65"/>
      <c r="Q50" s="65" t="s">
        <v>641</v>
      </c>
      <c r="R50" s="66" t="s">
        <v>661</v>
      </c>
      <c r="S50" s="59"/>
    </row>
    <row r="51" spans="1:19" ht="36" x14ac:dyDescent="0.25">
      <c r="A51" s="1"/>
      <c r="B51" s="47">
        <f t="shared" si="0"/>
        <v>42</v>
      </c>
      <c r="C51" s="54" t="s">
        <v>20</v>
      </c>
      <c r="D51" s="82" t="s">
        <v>77</v>
      </c>
      <c r="E51" s="51" t="s">
        <v>188</v>
      </c>
      <c r="F51" s="51" t="s">
        <v>639</v>
      </c>
      <c r="G51" s="51" t="s">
        <v>356</v>
      </c>
      <c r="H51" s="51" t="s">
        <v>446</v>
      </c>
      <c r="I51" s="51" t="s">
        <v>641</v>
      </c>
      <c r="J51" s="51" t="s">
        <v>505</v>
      </c>
      <c r="K51" s="51" t="s">
        <v>641</v>
      </c>
      <c r="L51" s="51">
        <v>1</v>
      </c>
      <c r="M51" s="37">
        <f t="shared" si="1"/>
        <v>20</v>
      </c>
      <c r="N51" s="51">
        <v>21</v>
      </c>
      <c r="O51" s="60" t="s">
        <v>642</v>
      </c>
      <c r="P51" s="52">
        <v>0.68310000000000004</v>
      </c>
      <c r="Q51" s="52">
        <f t="shared" ref="Q51" si="21">P51*N51</f>
        <v>14.3451</v>
      </c>
      <c r="R51" s="51"/>
      <c r="S51" s="59"/>
    </row>
    <row r="52" spans="1:19" x14ac:dyDescent="0.25">
      <c r="A52" s="1"/>
      <c r="B52" s="46">
        <f>ROW(B52) - ROW($B$9)</f>
        <v>43</v>
      </c>
      <c r="C52" s="53" t="s">
        <v>638</v>
      </c>
      <c r="D52" s="81" t="s">
        <v>78</v>
      </c>
      <c r="E52" s="37" t="s">
        <v>189</v>
      </c>
      <c r="F52" s="51" t="s">
        <v>639</v>
      </c>
      <c r="G52" s="37" t="s">
        <v>357</v>
      </c>
      <c r="H52" s="37" t="s">
        <v>447</v>
      </c>
      <c r="I52" s="37" t="s">
        <v>641</v>
      </c>
      <c r="J52" s="37" t="s">
        <v>506</v>
      </c>
      <c r="K52" s="37" t="s">
        <v>641</v>
      </c>
      <c r="L52" s="37">
        <v>1</v>
      </c>
      <c r="M52" s="37">
        <f t="shared" si="1"/>
        <v>20</v>
      </c>
      <c r="N52" s="37">
        <v>25</v>
      </c>
      <c r="O52" s="61" t="s">
        <v>642</v>
      </c>
      <c r="P52" s="38">
        <v>7.9699999999999993E-2</v>
      </c>
      <c r="Q52" s="38">
        <f>P52*N52</f>
        <v>1.9924999999999997</v>
      </c>
      <c r="R52" s="37"/>
      <c r="S52" s="59"/>
    </row>
    <row r="53" spans="1:19" ht="48" x14ac:dyDescent="0.25">
      <c r="A53" s="1"/>
      <c r="B53" s="47">
        <f t="shared" si="0"/>
        <v>44</v>
      </c>
      <c r="C53" s="54" t="s">
        <v>21</v>
      </c>
      <c r="D53" s="82" t="s">
        <v>79</v>
      </c>
      <c r="E53" s="51" t="s">
        <v>190</v>
      </c>
      <c r="F53" s="51" t="s">
        <v>639</v>
      </c>
      <c r="G53" s="51" t="s">
        <v>286</v>
      </c>
      <c r="H53" s="51" t="s">
        <v>448</v>
      </c>
      <c r="I53" s="51" t="s">
        <v>641</v>
      </c>
      <c r="J53" s="51" t="s">
        <v>507</v>
      </c>
      <c r="K53" s="51" t="s">
        <v>641</v>
      </c>
      <c r="L53" s="51">
        <v>1</v>
      </c>
      <c r="M53" s="37">
        <f t="shared" si="1"/>
        <v>20</v>
      </c>
      <c r="N53" s="51">
        <v>21</v>
      </c>
      <c r="O53" s="60" t="s">
        <v>642</v>
      </c>
      <c r="P53" s="52">
        <v>0.55049999999999999</v>
      </c>
      <c r="Q53" s="52">
        <f t="shared" ref="Q53" si="22">P53*N53</f>
        <v>11.560499999999999</v>
      </c>
      <c r="R53" s="51"/>
      <c r="S53" s="59"/>
    </row>
    <row r="54" spans="1:19" ht="36" x14ac:dyDescent="0.25">
      <c r="A54" s="1"/>
      <c r="B54" s="47">
        <f t="shared" si="0"/>
        <v>45</v>
      </c>
      <c r="C54" s="54" t="s">
        <v>22</v>
      </c>
      <c r="D54" s="82" t="s">
        <v>80</v>
      </c>
      <c r="E54" s="51" t="s">
        <v>192</v>
      </c>
      <c r="F54" s="51" t="s">
        <v>639</v>
      </c>
      <c r="G54" s="51" t="s">
        <v>288</v>
      </c>
      <c r="H54" s="51" t="s">
        <v>449</v>
      </c>
      <c r="I54" s="51" t="s">
        <v>641</v>
      </c>
      <c r="J54" s="51" t="s">
        <v>509</v>
      </c>
      <c r="K54" s="51"/>
      <c r="L54" s="51">
        <v>4</v>
      </c>
      <c r="M54" s="37">
        <f t="shared" si="1"/>
        <v>80</v>
      </c>
      <c r="N54" s="51">
        <v>81</v>
      </c>
      <c r="O54" s="60" t="s">
        <v>642</v>
      </c>
      <c r="P54" s="52">
        <v>0.34849999999999998</v>
      </c>
      <c r="Q54" s="52">
        <f t="shared" ref="Q54" si="23">P54*N54</f>
        <v>28.228499999999997</v>
      </c>
      <c r="R54" s="51"/>
      <c r="S54" s="59"/>
    </row>
    <row r="55" spans="1:19" ht="24" x14ac:dyDescent="0.25">
      <c r="A55" s="1"/>
      <c r="B55" s="46">
        <f>ROW(B55) - ROW($B$9)</f>
        <v>46</v>
      </c>
      <c r="C55" s="53" t="s">
        <v>23</v>
      </c>
      <c r="D55" s="81" t="s">
        <v>81</v>
      </c>
      <c r="E55" s="37" t="s">
        <v>193</v>
      </c>
      <c r="F55" s="51" t="s">
        <v>639</v>
      </c>
      <c r="G55" s="37" t="s">
        <v>289</v>
      </c>
      <c r="H55" s="37" t="s">
        <v>450</v>
      </c>
      <c r="I55" s="51" t="s">
        <v>641</v>
      </c>
      <c r="J55" s="37" t="s">
        <v>510</v>
      </c>
      <c r="K55" s="37" t="s">
        <v>589</v>
      </c>
      <c r="L55" s="37">
        <v>1</v>
      </c>
      <c r="M55" s="37">
        <f t="shared" si="1"/>
        <v>20</v>
      </c>
      <c r="N55" s="37">
        <v>25</v>
      </c>
      <c r="O55" s="61" t="s">
        <v>642</v>
      </c>
      <c r="P55" s="38">
        <v>0.2137</v>
      </c>
      <c r="Q55" s="38">
        <f>P55*N55</f>
        <v>5.3425000000000002</v>
      </c>
      <c r="R55" s="37"/>
      <c r="S55" s="59"/>
    </row>
    <row r="56" spans="1:19" ht="24" x14ac:dyDescent="0.25">
      <c r="A56" s="1"/>
      <c r="B56" s="47">
        <f t="shared" si="0"/>
        <v>47</v>
      </c>
      <c r="C56" s="54" t="s">
        <v>23</v>
      </c>
      <c r="D56" s="82" t="s">
        <v>82</v>
      </c>
      <c r="E56" s="51" t="s">
        <v>194</v>
      </c>
      <c r="F56" s="51" t="s">
        <v>639</v>
      </c>
      <c r="G56" s="51" t="s">
        <v>358</v>
      </c>
      <c r="H56" s="51" t="s">
        <v>426</v>
      </c>
      <c r="I56" s="51" t="s">
        <v>641</v>
      </c>
      <c r="J56" s="51" t="s">
        <v>511</v>
      </c>
      <c r="K56" s="51" t="s">
        <v>590</v>
      </c>
      <c r="L56" s="51">
        <v>1</v>
      </c>
      <c r="M56" s="37">
        <f t="shared" si="1"/>
        <v>20</v>
      </c>
      <c r="N56" s="51">
        <v>30</v>
      </c>
      <c r="O56" s="60" t="s">
        <v>642</v>
      </c>
      <c r="P56" s="52">
        <v>6.2399999999999997E-2</v>
      </c>
      <c r="Q56" s="52">
        <f t="shared" ref="Q56" si="24">P56*N56</f>
        <v>1.8719999999999999</v>
      </c>
      <c r="R56" s="51"/>
      <c r="S56" s="59"/>
    </row>
    <row r="57" spans="1:19" x14ac:dyDescent="0.25">
      <c r="A57" s="1"/>
      <c r="B57" s="46">
        <f>ROW(B57) - ROW($B$9)</f>
        <v>48</v>
      </c>
      <c r="C57" s="53" t="s">
        <v>23</v>
      </c>
      <c r="D57" s="81" t="s">
        <v>83</v>
      </c>
      <c r="E57" s="37" t="s">
        <v>195</v>
      </c>
      <c r="F57" s="51" t="s">
        <v>639</v>
      </c>
      <c r="G57" s="37" t="s">
        <v>359</v>
      </c>
      <c r="H57" s="37" t="s">
        <v>451</v>
      </c>
      <c r="I57" s="37" t="s">
        <v>641</v>
      </c>
      <c r="J57" s="37" t="s">
        <v>512</v>
      </c>
      <c r="K57" s="37" t="s">
        <v>591</v>
      </c>
      <c r="L57" s="37">
        <v>1</v>
      </c>
      <c r="M57" s="37">
        <f t="shared" si="1"/>
        <v>20</v>
      </c>
      <c r="N57" s="37">
        <v>25</v>
      </c>
      <c r="O57" s="61" t="s">
        <v>642</v>
      </c>
      <c r="P57" s="38">
        <v>8.7900000000000006E-2</v>
      </c>
      <c r="Q57" s="38">
        <f>P57*N57</f>
        <v>2.1975000000000002</v>
      </c>
      <c r="R57" s="37"/>
      <c r="S57" s="59"/>
    </row>
    <row r="58" spans="1:19" ht="24" x14ac:dyDescent="0.25">
      <c r="A58" s="1"/>
      <c r="B58" s="47">
        <f t="shared" si="0"/>
        <v>49</v>
      </c>
      <c r="C58" s="54" t="s">
        <v>24</v>
      </c>
      <c r="D58" s="82" t="s">
        <v>84</v>
      </c>
      <c r="E58" s="51" t="s">
        <v>196</v>
      </c>
      <c r="F58" s="51" t="s">
        <v>290</v>
      </c>
      <c r="G58" s="51" t="s">
        <v>360</v>
      </c>
      <c r="H58" s="51" t="s">
        <v>452</v>
      </c>
      <c r="I58" s="51" t="s">
        <v>641</v>
      </c>
      <c r="J58" s="51" t="s">
        <v>513</v>
      </c>
      <c r="K58" s="51" t="s">
        <v>592</v>
      </c>
      <c r="L58" s="51">
        <v>1</v>
      </c>
      <c r="M58" s="37">
        <f t="shared" si="1"/>
        <v>20</v>
      </c>
      <c r="N58" s="51">
        <v>30</v>
      </c>
      <c r="O58" s="60" t="s">
        <v>642</v>
      </c>
      <c r="P58" s="52">
        <v>6.1199999999999997E-2</v>
      </c>
      <c r="Q58" s="52">
        <f t="shared" ref="Q58" si="25">P58*N58</f>
        <v>1.8359999999999999</v>
      </c>
      <c r="R58" s="51"/>
      <c r="S58" s="59"/>
    </row>
    <row r="59" spans="1:19" ht="24" x14ac:dyDescent="0.25">
      <c r="A59" s="1"/>
      <c r="B59" s="46">
        <f>ROW(B59) - ROW($B$9)</f>
        <v>50</v>
      </c>
      <c r="C59" s="53" t="s">
        <v>24</v>
      </c>
      <c r="D59" s="81" t="s">
        <v>85</v>
      </c>
      <c r="E59" s="37" t="s">
        <v>197</v>
      </c>
      <c r="F59" s="37" t="s">
        <v>291</v>
      </c>
      <c r="G59" s="37" t="s">
        <v>361</v>
      </c>
      <c r="H59" s="37" t="s">
        <v>452</v>
      </c>
      <c r="I59" s="37" t="s">
        <v>641</v>
      </c>
      <c r="J59" s="37" t="s">
        <v>514</v>
      </c>
      <c r="K59" s="37" t="s">
        <v>593</v>
      </c>
      <c r="L59" s="37">
        <v>1</v>
      </c>
      <c r="M59" s="37">
        <f t="shared" si="1"/>
        <v>20</v>
      </c>
      <c r="N59" s="37">
        <v>40</v>
      </c>
      <c r="O59" s="61" t="s">
        <v>642</v>
      </c>
      <c r="P59" s="38">
        <v>4.0099999999999997E-2</v>
      </c>
      <c r="Q59" s="38">
        <f>P59*N59</f>
        <v>1.6039999999999999</v>
      </c>
      <c r="R59" s="37"/>
      <c r="S59" s="59"/>
    </row>
    <row r="60" spans="1:19" ht="24" x14ac:dyDescent="0.25">
      <c r="A60" s="1"/>
      <c r="B60" s="47">
        <f t="shared" si="0"/>
        <v>51</v>
      </c>
      <c r="C60" s="54" t="s">
        <v>24</v>
      </c>
      <c r="D60" s="82" t="s">
        <v>86</v>
      </c>
      <c r="E60" s="51" t="s">
        <v>198</v>
      </c>
      <c r="F60" s="51" t="s">
        <v>291</v>
      </c>
      <c r="G60" s="51" t="s">
        <v>362</v>
      </c>
      <c r="H60" s="51" t="s">
        <v>452</v>
      </c>
      <c r="I60" s="51" t="s">
        <v>641</v>
      </c>
      <c r="J60" s="51" t="s">
        <v>515</v>
      </c>
      <c r="K60" s="51" t="s">
        <v>594</v>
      </c>
      <c r="L60" s="51">
        <v>2</v>
      </c>
      <c r="M60" s="37">
        <f t="shared" si="1"/>
        <v>40</v>
      </c>
      <c r="N60" s="51">
        <v>50</v>
      </c>
      <c r="O60" s="60" t="s">
        <v>642</v>
      </c>
      <c r="P60" s="52">
        <v>5.1499999999999997E-2</v>
      </c>
      <c r="Q60" s="52">
        <f t="shared" ref="Q60" si="26">P60*N60</f>
        <v>2.5749999999999997</v>
      </c>
      <c r="R60" s="51"/>
      <c r="S60" s="59"/>
    </row>
    <row r="61" spans="1:19" ht="24" x14ac:dyDescent="0.25">
      <c r="A61" s="1"/>
      <c r="B61" s="46">
        <f>ROW(B61) - ROW($B$9)</f>
        <v>52</v>
      </c>
      <c r="C61" s="53" t="s">
        <v>24</v>
      </c>
      <c r="D61" s="81" t="s">
        <v>87</v>
      </c>
      <c r="E61" s="37" t="s">
        <v>199</v>
      </c>
      <c r="F61" s="37" t="s">
        <v>291</v>
      </c>
      <c r="G61" s="37" t="s">
        <v>363</v>
      </c>
      <c r="H61" s="37" t="s">
        <v>453</v>
      </c>
      <c r="I61" s="37" t="s">
        <v>641</v>
      </c>
      <c r="J61" s="37" t="s">
        <v>516</v>
      </c>
      <c r="K61" s="37" t="s">
        <v>595</v>
      </c>
      <c r="L61" s="37">
        <v>1</v>
      </c>
      <c r="M61" s="37">
        <f t="shared" si="1"/>
        <v>20</v>
      </c>
      <c r="N61" s="37">
        <v>40</v>
      </c>
      <c r="O61" s="61" t="s">
        <v>642</v>
      </c>
      <c r="P61" s="38">
        <v>2.4199999999999999E-2</v>
      </c>
      <c r="Q61" s="38">
        <f>P61*N61</f>
        <v>0.96799999999999997</v>
      </c>
      <c r="R61" s="37"/>
      <c r="S61" s="59"/>
    </row>
    <row r="62" spans="1:19" ht="24" x14ac:dyDescent="0.25">
      <c r="A62" s="1"/>
      <c r="B62" s="47">
        <f t="shared" si="0"/>
        <v>53</v>
      </c>
      <c r="C62" s="54" t="s">
        <v>24</v>
      </c>
      <c r="D62" s="82" t="s">
        <v>88</v>
      </c>
      <c r="E62" s="51" t="s">
        <v>200</v>
      </c>
      <c r="F62" s="51" t="s">
        <v>291</v>
      </c>
      <c r="G62" s="51" t="s">
        <v>364</v>
      </c>
      <c r="H62" s="51" t="s">
        <v>453</v>
      </c>
      <c r="I62" s="51" t="s">
        <v>641</v>
      </c>
      <c r="J62" s="51" t="s">
        <v>517</v>
      </c>
      <c r="K62" s="51" t="s">
        <v>596</v>
      </c>
      <c r="L62" s="51">
        <v>1</v>
      </c>
      <c r="M62" s="37">
        <f t="shared" si="1"/>
        <v>20</v>
      </c>
      <c r="N62" s="51">
        <v>40</v>
      </c>
      <c r="O62" s="60" t="s">
        <v>642</v>
      </c>
      <c r="P62" s="52">
        <v>3.32E-2</v>
      </c>
      <c r="Q62" s="52">
        <f t="shared" ref="Q62" si="27">P62*N62</f>
        <v>1.3280000000000001</v>
      </c>
      <c r="R62" s="51"/>
      <c r="S62" s="59"/>
    </row>
    <row r="63" spans="1:19" ht="24" x14ac:dyDescent="0.25">
      <c r="A63" s="1"/>
      <c r="B63" s="46">
        <f>ROW(B63) - ROW($B$9)</f>
        <v>54</v>
      </c>
      <c r="C63" s="53" t="s">
        <v>25</v>
      </c>
      <c r="D63" s="81" t="s">
        <v>89</v>
      </c>
      <c r="E63" s="37" t="s">
        <v>201</v>
      </c>
      <c r="F63" s="37" t="s">
        <v>639</v>
      </c>
      <c r="G63" s="37" t="s">
        <v>292</v>
      </c>
      <c r="H63" s="37" t="s">
        <v>454</v>
      </c>
      <c r="I63" s="37" t="s">
        <v>641</v>
      </c>
      <c r="J63" s="37" t="s">
        <v>518</v>
      </c>
      <c r="K63" s="37" t="s">
        <v>641</v>
      </c>
      <c r="L63" s="37">
        <v>4</v>
      </c>
      <c r="M63" s="37">
        <f t="shared" si="1"/>
        <v>80</v>
      </c>
      <c r="N63" s="37">
        <v>85</v>
      </c>
      <c r="O63" s="61" t="s">
        <v>642</v>
      </c>
      <c r="P63" s="38">
        <v>7.0900000000000005E-2</v>
      </c>
      <c r="Q63" s="38">
        <f>P63*N63</f>
        <v>6.0265000000000004</v>
      </c>
      <c r="R63" s="37"/>
      <c r="S63" s="59"/>
    </row>
    <row r="64" spans="1:19" ht="48" x14ac:dyDescent="0.25">
      <c r="A64" s="1"/>
      <c r="B64" s="47">
        <f t="shared" si="0"/>
        <v>55</v>
      </c>
      <c r="C64" s="54" t="s">
        <v>26</v>
      </c>
      <c r="D64" s="82" t="s">
        <v>90</v>
      </c>
      <c r="E64" s="51" t="s">
        <v>202</v>
      </c>
      <c r="F64" s="51" t="s">
        <v>293</v>
      </c>
      <c r="G64" s="51" t="s">
        <v>365</v>
      </c>
      <c r="H64" s="51" t="s">
        <v>455</v>
      </c>
      <c r="I64" s="51" t="s">
        <v>641</v>
      </c>
      <c r="J64" s="51" t="s">
        <v>519</v>
      </c>
      <c r="K64" s="51" t="s">
        <v>641</v>
      </c>
      <c r="L64" s="51">
        <v>5</v>
      </c>
      <c r="M64" s="37">
        <f t="shared" si="1"/>
        <v>100</v>
      </c>
      <c r="N64" s="51">
        <v>120</v>
      </c>
      <c r="O64" s="60" t="s">
        <v>642</v>
      </c>
      <c r="P64" s="52">
        <v>3.3500000000000002E-2</v>
      </c>
      <c r="Q64" s="52">
        <f t="shared" ref="Q64" si="28">P64*N64</f>
        <v>4.0200000000000005</v>
      </c>
      <c r="R64" s="51"/>
      <c r="S64" s="59"/>
    </row>
    <row r="65" spans="1:19" ht="24" x14ac:dyDescent="0.25">
      <c r="A65" s="1"/>
      <c r="B65" s="46">
        <f>ROW(B65) - ROW($B$9)</f>
        <v>56</v>
      </c>
      <c r="C65" s="54" t="s">
        <v>26</v>
      </c>
      <c r="D65" s="81" t="s">
        <v>91</v>
      </c>
      <c r="E65" s="37" t="s">
        <v>203</v>
      </c>
      <c r="F65" s="37" t="s">
        <v>294</v>
      </c>
      <c r="G65" s="37" t="s">
        <v>366</v>
      </c>
      <c r="H65" s="37" t="s">
        <v>432</v>
      </c>
      <c r="I65" s="37" t="s">
        <v>641</v>
      </c>
      <c r="J65" s="37" t="s">
        <v>520</v>
      </c>
      <c r="K65" s="37" t="s">
        <v>641</v>
      </c>
      <c r="L65" s="37">
        <v>1</v>
      </c>
      <c r="M65" s="37">
        <f t="shared" si="1"/>
        <v>20</v>
      </c>
      <c r="N65" s="37">
        <v>25</v>
      </c>
      <c r="O65" s="61" t="s">
        <v>642</v>
      </c>
      <c r="P65" s="38">
        <v>7.3700000000000002E-2</v>
      </c>
      <c r="Q65" s="38">
        <f>P65*N65</f>
        <v>1.8425</v>
      </c>
      <c r="R65" s="37"/>
      <c r="S65" s="59"/>
    </row>
    <row r="66" spans="1:19" ht="36" x14ac:dyDescent="0.25">
      <c r="A66" s="1"/>
      <c r="B66" s="47">
        <f t="shared" si="0"/>
        <v>57</v>
      </c>
      <c r="C66" s="54" t="s">
        <v>26</v>
      </c>
      <c r="D66" s="82" t="s">
        <v>92</v>
      </c>
      <c r="E66" s="51" t="s">
        <v>204</v>
      </c>
      <c r="F66" s="51" t="s">
        <v>272</v>
      </c>
      <c r="G66" s="51" t="s">
        <v>367</v>
      </c>
      <c r="H66" s="51" t="s">
        <v>436</v>
      </c>
      <c r="I66" s="51" t="s">
        <v>641</v>
      </c>
      <c r="J66" s="51" t="s">
        <v>521</v>
      </c>
      <c r="K66" s="51" t="s">
        <v>641</v>
      </c>
      <c r="L66" s="51">
        <v>1</v>
      </c>
      <c r="M66" s="37">
        <f t="shared" si="1"/>
        <v>20</v>
      </c>
      <c r="N66" s="51">
        <v>40</v>
      </c>
      <c r="O66" s="60" t="s">
        <v>642</v>
      </c>
      <c r="P66" s="52">
        <v>2.18E-2</v>
      </c>
      <c r="Q66" s="52">
        <f t="shared" ref="Q66" si="29">P66*N66</f>
        <v>0.872</v>
      </c>
      <c r="R66" s="51"/>
      <c r="S66" s="59"/>
    </row>
    <row r="67" spans="1:19" ht="48" x14ac:dyDescent="0.25">
      <c r="A67" s="1"/>
      <c r="B67" s="46">
        <f>ROW(B67) - ROW($B$9)</f>
        <v>58</v>
      </c>
      <c r="C67" s="53" t="s">
        <v>27</v>
      </c>
      <c r="D67" s="81" t="s">
        <v>93</v>
      </c>
      <c r="E67" s="37" t="s">
        <v>205</v>
      </c>
      <c r="F67" s="37" t="s">
        <v>295</v>
      </c>
      <c r="G67" s="37" t="s">
        <v>368</v>
      </c>
      <c r="H67" s="37" t="s">
        <v>419</v>
      </c>
      <c r="I67" s="37" t="s">
        <v>641</v>
      </c>
      <c r="J67" s="37" t="s">
        <v>522</v>
      </c>
      <c r="K67" s="37" t="s">
        <v>597</v>
      </c>
      <c r="L67" s="37">
        <v>27</v>
      </c>
      <c r="M67" s="37">
        <f t="shared" si="1"/>
        <v>540</v>
      </c>
      <c r="N67" s="37">
        <v>600</v>
      </c>
      <c r="O67" s="61" t="s">
        <v>642</v>
      </c>
      <c r="P67" s="38">
        <v>1.6000000000000001E-3</v>
      </c>
      <c r="Q67" s="38">
        <f>P67*N67</f>
        <v>0.96000000000000008</v>
      </c>
      <c r="R67" s="37"/>
      <c r="S67" s="59"/>
    </row>
    <row r="68" spans="1:19" ht="24" x14ac:dyDescent="0.25">
      <c r="A68" s="1"/>
      <c r="B68" s="47">
        <f t="shared" si="0"/>
        <v>59</v>
      </c>
      <c r="C68" s="54" t="s">
        <v>27</v>
      </c>
      <c r="D68" s="82" t="s">
        <v>94</v>
      </c>
      <c r="E68" s="51" t="s">
        <v>206</v>
      </c>
      <c r="F68" s="51" t="s">
        <v>295</v>
      </c>
      <c r="G68" s="51" t="s">
        <v>369</v>
      </c>
      <c r="H68" s="51" t="s">
        <v>419</v>
      </c>
      <c r="I68" s="37" t="s">
        <v>641</v>
      </c>
      <c r="J68" s="51" t="s">
        <v>523</v>
      </c>
      <c r="K68" s="51" t="s">
        <v>598</v>
      </c>
      <c r="L68" s="51">
        <v>8</v>
      </c>
      <c r="M68" s="37">
        <f t="shared" si="1"/>
        <v>160</v>
      </c>
      <c r="N68" s="51">
        <v>200</v>
      </c>
      <c r="O68" s="60" t="s">
        <v>642</v>
      </c>
      <c r="P68" s="52">
        <v>1.1000000000000001E-3</v>
      </c>
      <c r="Q68" s="52">
        <f t="shared" ref="Q68" si="30">P68*N68</f>
        <v>0.22</v>
      </c>
      <c r="R68" s="51"/>
      <c r="S68" s="59"/>
    </row>
    <row r="69" spans="1:19" x14ac:dyDescent="0.25">
      <c r="A69" s="1"/>
      <c r="B69" s="46">
        <f>ROW(B69) - ROW($B$9)</f>
        <v>60</v>
      </c>
      <c r="C69" s="53" t="s">
        <v>27</v>
      </c>
      <c r="D69" s="81" t="s">
        <v>95</v>
      </c>
      <c r="E69" s="37" t="s">
        <v>207</v>
      </c>
      <c r="F69" s="37" t="s">
        <v>295</v>
      </c>
      <c r="G69" s="37" t="s">
        <v>370</v>
      </c>
      <c r="H69" s="37" t="s">
        <v>419</v>
      </c>
      <c r="I69" s="51" t="s">
        <v>641</v>
      </c>
      <c r="J69" s="37" t="s">
        <v>524</v>
      </c>
      <c r="K69" s="37" t="s">
        <v>599</v>
      </c>
      <c r="L69" s="37">
        <v>1</v>
      </c>
      <c r="M69" s="37">
        <f t="shared" si="1"/>
        <v>20</v>
      </c>
      <c r="N69" s="37">
        <v>40</v>
      </c>
      <c r="O69" s="61" t="s">
        <v>642</v>
      </c>
      <c r="P69" s="38">
        <v>2.29E-2</v>
      </c>
      <c r="Q69" s="38">
        <f>P69*N69</f>
        <v>0.91600000000000004</v>
      </c>
      <c r="R69" s="37"/>
      <c r="S69" s="59"/>
    </row>
    <row r="70" spans="1:19" x14ac:dyDescent="0.25">
      <c r="A70" s="1"/>
      <c r="B70" s="47">
        <f t="shared" si="0"/>
        <v>61</v>
      </c>
      <c r="C70" s="54" t="s">
        <v>27</v>
      </c>
      <c r="D70" s="82" t="s">
        <v>96</v>
      </c>
      <c r="E70" s="51" t="s">
        <v>208</v>
      </c>
      <c r="F70" s="51" t="s">
        <v>295</v>
      </c>
      <c r="G70" s="51" t="s">
        <v>371</v>
      </c>
      <c r="H70" s="51" t="s">
        <v>419</v>
      </c>
      <c r="I70" s="37" t="s">
        <v>641</v>
      </c>
      <c r="J70" s="51" t="s">
        <v>525</v>
      </c>
      <c r="K70" s="51" t="s">
        <v>600</v>
      </c>
      <c r="L70" s="51">
        <v>4</v>
      </c>
      <c r="M70" s="37">
        <f t="shared" si="1"/>
        <v>80</v>
      </c>
      <c r="N70" s="51">
        <v>100</v>
      </c>
      <c r="O70" s="60" t="s">
        <v>642</v>
      </c>
      <c r="P70" s="52">
        <v>1.2999999999999999E-3</v>
      </c>
      <c r="Q70" s="52">
        <f t="shared" ref="Q70" si="31">P70*N70</f>
        <v>0.13</v>
      </c>
      <c r="R70" s="51"/>
      <c r="S70" s="59"/>
    </row>
    <row r="71" spans="1:19" x14ac:dyDescent="0.25">
      <c r="A71" s="1"/>
      <c r="B71" s="46">
        <f>ROW(B71) - ROW($B$9)</f>
        <v>62</v>
      </c>
      <c r="C71" s="53" t="s">
        <v>27</v>
      </c>
      <c r="D71" s="81" t="s">
        <v>97</v>
      </c>
      <c r="E71" s="37" t="s">
        <v>209</v>
      </c>
      <c r="F71" s="37" t="s">
        <v>295</v>
      </c>
      <c r="G71" s="37" t="s">
        <v>372</v>
      </c>
      <c r="H71" s="37" t="s">
        <v>419</v>
      </c>
      <c r="I71" s="51" t="s">
        <v>641</v>
      </c>
      <c r="J71" s="37" t="s">
        <v>526</v>
      </c>
      <c r="K71" s="37" t="s">
        <v>601</v>
      </c>
      <c r="L71" s="37">
        <v>4</v>
      </c>
      <c r="M71" s="37">
        <f t="shared" si="1"/>
        <v>80</v>
      </c>
      <c r="N71" s="37">
        <v>100</v>
      </c>
      <c r="O71" s="61" t="s">
        <v>642</v>
      </c>
      <c r="P71" s="38">
        <v>1.2999999999999999E-3</v>
      </c>
      <c r="Q71" s="38">
        <f>P71*N71</f>
        <v>0.13</v>
      </c>
      <c r="R71" s="37"/>
      <c r="S71" s="59"/>
    </row>
    <row r="72" spans="1:19" x14ac:dyDescent="0.25">
      <c r="A72" s="1"/>
      <c r="B72" s="47">
        <f t="shared" si="0"/>
        <v>63</v>
      </c>
      <c r="C72" s="53" t="s">
        <v>27</v>
      </c>
      <c r="D72" s="82" t="s">
        <v>98</v>
      </c>
      <c r="E72" s="51" t="s">
        <v>210</v>
      </c>
      <c r="F72" s="51" t="s">
        <v>295</v>
      </c>
      <c r="G72" s="51" t="s">
        <v>373</v>
      </c>
      <c r="H72" s="51" t="s">
        <v>419</v>
      </c>
      <c r="I72" s="37" t="s">
        <v>641</v>
      </c>
      <c r="J72" s="51" t="s">
        <v>527</v>
      </c>
      <c r="K72" s="51" t="s">
        <v>602</v>
      </c>
      <c r="L72" s="51">
        <v>2</v>
      </c>
      <c r="M72" s="37">
        <f t="shared" si="1"/>
        <v>40</v>
      </c>
      <c r="N72" s="51">
        <v>100</v>
      </c>
      <c r="O72" s="60" t="s">
        <v>642</v>
      </c>
      <c r="P72" s="52">
        <v>3.2000000000000002E-3</v>
      </c>
      <c r="Q72" s="52">
        <f t="shared" ref="Q72" si="32">P72*N72</f>
        <v>0.32</v>
      </c>
      <c r="R72" s="51"/>
      <c r="S72" s="59"/>
    </row>
    <row r="73" spans="1:19" x14ac:dyDescent="0.25">
      <c r="A73" s="1"/>
      <c r="B73" s="46">
        <f>ROW(B73) - ROW($B$9)</f>
        <v>64</v>
      </c>
      <c r="C73" s="53" t="s">
        <v>27</v>
      </c>
      <c r="D73" s="81" t="s">
        <v>99</v>
      </c>
      <c r="E73" s="37" t="s">
        <v>211</v>
      </c>
      <c r="F73" s="37" t="s">
        <v>295</v>
      </c>
      <c r="G73" s="37" t="s">
        <v>374</v>
      </c>
      <c r="H73" s="37" t="s">
        <v>419</v>
      </c>
      <c r="I73" s="37" t="s">
        <v>641</v>
      </c>
      <c r="J73" s="37" t="s">
        <v>528</v>
      </c>
      <c r="K73" s="37" t="s">
        <v>603</v>
      </c>
      <c r="L73" s="37">
        <v>4</v>
      </c>
      <c r="M73" s="37">
        <f t="shared" si="1"/>
        <v>80</v>
      </c>
      <c r="N73" s="37">
        <v>100</v>
      </c>
      <c r="O73" s="61" t="s">
        <v>642</v>
      </c>
      <c r="P73" s="38">
        <v>1.1999999999999999E-3</v>
      </c>
      <c r="Q73" s="38">
        <f>P73*N73</f>
        <v>0.12</v>
      </c>
      <c r="R73" s="37"/>
      <c r="S73" s="59"/>
    </row>
    <row r="74" spans="1:19" x14ac:dyDescent="0.25">
      <c r="A74" s="1"/>
      <c r="B74" s="47">
        <f t="shared" si="0"/>
        <v>65</v>
      </c>
      <c r="C74" s="54" t="s">
        <v>27</v>
      </c>
      <c r="D74" s="82" t="s">
        <v>100</v>
      </c>
      <c r="E74" s="51" t="s">
        <v>212</v>
      </c>
      <c r="F74" s="51" t="s">
        <v>295</v>
      </c>
      <c r="G74" s="51" t="s">
        <v>375</v>
      </c>
      <c r="H74" s="51" t="s">
        <v>419</v>
      </c>
      <c r="I74" s="37" t="s">
        <v>641</v>
      </c>
      <c r="J74" s="51" t="s">
        <v>529</v>
      </c>
      <c r="K74" s="51" t="s">
        <v>604</v>
      </c>
      <c r="L74" s="51">
        <v>2</v>
      </c>
      <c r="M74" s="37">
        <f t="shared" ref="M74:M122" si="33">L74*20</f>
        <v>40</v>
      </c>
      <c r="N74" s="51">
        <v>100</v>
      </c>
      <c r="O74" s="60" t="s">
        <v>642</v>
      </c>
      <c r="P74" s="52">
        <v>1.1000000000000001E-3</v>
      </c>
      <c r="Q74" s="52">
        <f t="shared" ref="Q74" si="34">P74*N74</f>
        <v>0.11</v>
      </c>
      <c r="R74" s="51"/>
      <c r="S74" s="59"/>
    </row>
    <row r="75" spans="1:19" x14ac:dyDescent="0.25">
      <c r="A75" s="1"/>
      <c r="B75" s="46">
        <f>ROW(B75) - ROW($B$9)</f>
        <v>66</v>
      </c>
      <c r="C75" s="54" t="s">
        <v>27</v>
      </c>
      <c r="D75" s="81" t="s">
        <v>101</v>
      </c>
      <c r="E75" s="37" t="s">
        <v>213</v>
      </c>
      <c r="F75" s="37" t="s">
        <v>295</v>
      </c>
      <c r="G75" s="37" t="s">
        <v>376</v>
      </c>
      <c r="H75" s="37" t="s">
        <v>419</v>
      </c>
      <c r="I75" s="37" t="s">
        <v>641</v>
      </c>
      <c r="J75" s="37" t="s">
        <v>530</v>
      </c>
      <c r="K75" s="37" t="s">
        <v>605</v>
      </c>
      <c r="L75" s="37">
        <v>4</v>
      </c>
      <c r="M75" s="37">
        <f t="shared" si="33"/>
        <v>80</v>
      </c>
      <c r="N75" s="37">
        <v>100</v>
      </c>
      <c r="O75" s="61" t="s">
        <v>642</v>
      </c>
      <c r="P75" s="38">
        <v>1.4E-3</v>
      </c>
      <c r="Q75" s="38">
        <f>P75*N75</f>
        <v>0.13999999999999999</v>
      </c>
      <c r="R75" s="37"/>
      <c r="S75" s="59"/>
    </row>
    <row r="76" spans="1:19" x14ac:dyDescent="0.25">
      <c r="A76" s="1"/>
      <c r="B76" s="47">
        <f t="shared" si="0"/>
        <v>67</v>
      </c>
      <c r="C76" s="54" t="s">
        <v>27</v>
      </c>
      <c r="D76" s="82" t="s">
        <v>102</v>
      </c>
      <c r="E76" s="51" t="s">
        <v>214</v>
      </c>
      <c r="F76" s="51" t="s">
        <v>295</v>
      </c>
      <c r="G76" s="51" t="s">
        <v>377</v>
      </c>
      <c r="H76" s="51" t="s">
        <v>419</v>
      </c>
      <c r="I76" s="37" t="s">
        <v>641</v>
      </c>
      <c r="J76" s="51" t="s">
        <v>531</v>
      </c>
      <c r="K76" s="51" t="s">
        <v>606</v>
      </c>
      <c r="L76" s="51">
        <v>1</v>
      </c>
      <c r="M76" s="37">
        <f t="shared" si="33"/>
        <v>20</v>
      </c>
      <c r="N76" s="51">
        <v>100</v>
      </c>
      <c r="O76" s="60" t="s">
        <v>642</v>
      </c>
      <c r="P76" s="52">
        <v>1.1999999999999999E-3</v>
      </c>
      <c r="Q76" s="52">
        <f t="shared" ref="Q76" si="35">P76*N76</f>
        <v>0.12</v>
      </c>
      <c r="R76" s="51"/>
      <c r="S76" s="59"/>
    </row>
    <row r="77" spans="1:19" x14ac:dyDescent="0.25">
      <c r="A77" s="1"/>
      <c r="B77" s="46">
        <f>ROW(B77) - ROW($B$9)</f>
        <v>68</v>
      </c>
      <c r="C77" s="54" t="s">
        <v>27</v>
      </c>
      <c r="D77" s="81" t="s">
        <v>103</v>
      </c>
      <c r="E77" s="37" t="s">
        <v>215</v>
      </c>
      <c r="F77" s="37" t="s">
        <v>295</v>
      </c>
      <c r="G77" s="37" t="s">
        <v>378</v>
      </c>
      <c r="H77" s="37" t="s">
        <v>419</v>
      </c>
      <c r="I77" s="37" t="s">
        <v>641</v>
      </c>
      <c r="J77" s="37" t="s">
        <v>532</v>
      </c>
      <c r="K77" s="37" t="s">
        <v>607</v>
      </c>
      <c r="L77" s="37">
        <v>2</v>
      </c>
      <c r="M77" s="37">
        <f t="shared" si="33"/>
        <v>40</v>
      </c>
      <c r="N77" s="37">
        <v>100</v>
      </c>
      <c r="O77" s="61" t="s">
        <v>642</v>
      </c>
      <c r="P77" s="38">
        <v>1.2999999999999999E-3</v>
      </c>
      <c r="Q77" s="38">
        <f>P77*N77</f>
        <v>0.13</v>
      </c>
      <c r="R77" s="37"/>
      <c r="S77" s="59"/>
    </row>
    <row r="78" spans="1:19" x14ac:dyDescent="0.25">
      <c r="A78" s="1"/>
      <c r="B78" s="47">
        <f t="shared" si="0"/>
        <v>69</v>
      </c>
      <c r="C78" s="54" t="s">
        <v>27</v>
      </c>
      <c r="D78" s="82" t="s">
        <v>104</v>
      </c>
      <c r="E78" s="51" t="s">
        <v>216</v>
      </c>
      <c r="F78" s="51" t="s">
        <v>295</v>
      </c>
      <c r="G78" s="51" t="s">
        <v>379</v>
      </c>
      <c r="H78" s="51" t="s">
        <v>419</v>
      </c>
      <c r="I78" s="51" t="s">
        <v>641</v>
      </c>
      <c r="J78" s="51" t="s">
        <v>533</v>
      </c>
      <c r="K78" s="51" t="s">
        <v>608</v>
      </c>
      <c r="L78" s="51">
        <v>6</v>
      </c>
      <c r="M78" s="37">
        <f t="shared" si="33"/>
        <v>120</v>
      </c>
      <c r="N78" s="51">
        <v>100</v>
      </c>
      <c r="O78" s="60" t="s">
        <v>642</v>
      </c>
      <c r="P78" s="52">
        <v>1.1999999999999999E-3</v>
      </c>
      <c r="Q78" s="52">
        <f t="shared" ref="Q78" si="36">P78*N78</f>
        <v>0.12</v>
      </c>
      <c r="R78" s="51"/>
      <c r="S78" s="59"/>
    </row>
    <row r="79" spans="1:19" x14ac:dyDescent="0.25">
      <c r="A79" s="1"/>
      <c r="B79" s="46">
        <f>ROW(B79) - ROW($B$9)</f>
        <v>70</v>
      </c>
      <c r="C79" s="53" t="s">
        <v>27</v>
      </c>
      <c r="D79" s="81" t="s">
        <v>105</v>
      </c>
      <c r="E79" s="37" t="s">
        <v>217</v>
      </c>
      <c r="F79" s="37" t="s">
        <v>295</v>
      </c>
      <c r="G79" s="37" t="s">
        <v>380</v>
      </c>
      <c r="H79" s="37" t="s">
        <v>419</v>
      </c>
      <c r="I79" s="37" t="s">
        <v>641</v>
      </c>
      <c r="J79" s="37" t="s">
        <v>534</v>
      </c>
      <c r="K79" s="37" t="s">
        <v>609</v>
      </c>
      <c r="L79" s="37">
        <v>2</v>
      </c>
      <c r="M79" s="37">
        <f t="shared" si="33"/>
        <v>40</v>
      </c>
      <c r="N79" s="37">
        <v>100</v>
      </c>
      <c r="O79" s="61" t="s">
        <v>642</v>
      </c>
      <c r="P79" s="38">
        <v>1.2999999999999999E-3</v>
      </c>
      <c r="Q79" s="38">
        <f>P79*N79</f>
        <v>0.13</v>
      </c>
      <c r="R79" s="37"/>
      <c r="S79" s="59"/>
    </row>
    <row r="80" spans="1:19" ht="24" x14ac:dyDescent="0.25">
      <c r="A80" s="1"/>
      <c r="B80" s="47">
        <f t="shared" si="0"/>
        <v>71</v>
      </c>
      <c r="C80" s="54" t="s">
        <v>27</v>
      </c>
      <c r="D80" s="82" t="s">
        <v>106</v>
      </c>
      <c r="E80" s="51" t="s">
        <v>218</v>
      </c>
      <c r="F80" s="51" t="s">
        <v>295</v>
      </c>
      <c r="G80" s="51" t="s">
        <v>381</v>
      </c>
      <c r="H80" s="51" t="s">
        <v>419</v>
      </c>
      <c r="I80" s="51" t="s">
        <v>641</v>
      </c>
      <c r="J80" s="51" t="s">
        <v>535</v>
      </c>
      <c r="K80" s="51" t="s">
        <v>610</v>
      </c>
      <c r="L80" s="51">
        <v>14</v>
      </c>
      <c r="M80" s="37">
        <f t="shared" si="33"/>
        <v>280</v>
      </c>
      <c r="N80" s="51">
        <v>100</v>
      </c>
      <c r="O80" s="60" t="s">
        <v>642</v>
      </c>
      <c r="P80" s="52">
        <v>1.1999999999999999E-3</v>
      </c>
      <c r="Q80" s="52">
        <f t="shared" ref="Q80" si="37">P80*N80</f>
        <v>0.12</v>
      </c>
      <c r="R80" s="51"/>
      <c r="S80" s="59"/>
    </row>
    <row r="81" spans="1:19" x14ac:dyDescent="0.25">
      <c r="A81" s="1"/>
      <c r="B81" s="46">
        <f>ROW(B81) - ROW($B$9)</f>
        <v>72</v>
      </c>
      <c r="C81" s="54" t="s">
        <v>27</v>
      </c>
      <c r="D81" s="81" t="s">
        <v>644</v>
      </c>
      <c r="E81" s="37" t="s">
        <v>219</v>
      </c>
      <c r="F81" s="37" t="s">
        <v>295</v>
      </c>
      <c r="G81" s="37" t="s">
        <v>382</v>
      </c>
      <c r="H81" s="37" t="s">
        <v>419</v>
      </c>
      <c r="I81" s="37" t="s">
        <v>641</v>
      </c>
      <c r="J81" s="37" t="s">
        <v>536</v>
      </c>
      <c r="K81" s="37" t="s">
        <v>611</v>
      </c>
      <c r="L81" s="37">
        <v>6</v>
      </c>
      <c r="M81" s="37">
        <f t="shared" si="33"/>
        <v>120</v>
      </c>
      <c r="N81" s="37">
        <v>200</v>
      </c>
      <c r="O81" s="61" t="s">
        <v>642</v>
      </c>
      <c r="P81" s="38">
        <v>1.1000000000000001E-3</v>
      </c>
      <c r="Q81" s="38">
        <f>P81*N81</f>
        <v>0.22</v>
      </c>
      <c r="R81" s="37"/>
      <c r="S81" s="59"/>
    </row>
    <row r="82" spans="1:19" ht="36" x14ac:dyDescent="0.25">
      <c r="A82" s="1"/>
      <c r="B82" s="46">
        <f>ROW(B82) - ROW($B$9)</f>
        <v>73</v>
      </c>
      <c r="C82" s="53" t="s">
        <v>27</v>
      </c>
      <c r="D82" s="81" t="s">
        <v>107</v>
      </c>
      <c r="E82" s="37" t="s">
        <v>220</v>
      </c>
      <c r="F82" s="37" t="s">
        <v>295</v>
      </c>
      <c r="G82" s="37" t="s">
        <v>383</v>
      </c>
      <c r="H82" s="37" t="s">
        <v>456</v>
      </c>
      <c r="I82" s="37" t="s">
        <v>641</v>
      </c>
      <c r="J82" s="37" t="s">
        <v>537</v>
      </c>
      <c r="K82" s="37" t="s">
        <v>612</v>
      </c>
      <c r="L82" s="37">
        <v>1</v>
      </c>
      <c r="M82" s="37">
        <f t="shared" si="33"/>
        <v>20</v>
      </c>
      <c r="N82" s="37">
        <v>100</v>
      </c>
      <c r="O82" s="61" t="s">
        <v>642</v>
      </c>
      <c r="P82" s="38">
        <v>1E-3</v>
      </c>
      <c r="Q82" s="38">
        <f>P82*N82</f>
        <v>0.1</v>
      </c>
      <c r="R82" s="37"/>
      <c r="S82" s="59"/>
    </row>
    <row r="83" spans="1:19" x14ac:dyDescent="0.25">
      <c r="A83" s="1"/>
      <c r="B83" s="47">
        <f t="shared" si="0"/>
        <v>74</v>
      </c>
      <c r="C83" s="54" t="s">
        <v>27</v>
      </c>
      <c r="D83" s="82" t="s">
        <v>108</v>
      </c>
      <c r="E83" s="51" t="s">
        <v>221</v>
      </c>
      <c r="F83" s="51" t="s">
        <v>295</v>
      </c>
      <c r="G83" s="51" t="s">
        <v>384</v>
      </c>
      <c r="H83" s="51" t="s">
        <v>419</v>
      </c>
      <c r="I83" s="37" t="s">
        <v>641</v>
      </c>
      <c r="J83" s="51" t="s">
        <v>538</v>
      </c>
      <c r="K83" s="51" t="s">
        <v>613</v>
      </c>
      <c r="L83" s="51">
        <v>1</v>
      </c>
      <c r="M83" s="37">
        <f t="shared" si="33"/>
        <v>20</v>
      </c>
      <c r="N83" s="51">
        <v>100</v>
      </c>
      <c r="O83" s="60" t="s">
        <v>642</v>
      </c>
      <c r="P83" s="52">
        <v>3.3999999999999998E-3</v>
      </c>
      <c r="Q83" s="52">
        <f t="shared" ref="Q83" si="38">P83*N83</f>
        <v>0.33999999999999997</v>
      </c>
      <c r="R83" s="51"/>
      <c r="S83" s="59"/>
    </row>
    <row r="84" spans="1:19" x14ac:dyDescent="0.25">
      <c r="A84" s="1"/>
      <c r="B84" s="46">
        <f>ROW(B84) - ROW($B$9)</f>
        <v>75</v>
      </c>
      <c r="C84" s="54" t="s">
        <v>27</v>
      </c>
      <c r="D84" s="81" t="s">
        <v>109</v>
      </c>
      <c r="E84" s="37" t="s">
        <v>222</v>
      </c>
      <c r="F84" s="37" t="s">
        <v>295</v>
      </c>
      <c r="G84" s="37" t="s">
        <v>385</v>
      </c>
      <c r="H84" s="37" t="s">
        <v>419</v>
      </c>
      <c r="I84" s="51" t="s">
        <v>641</v>
      </c>
      <c r="J84" s="37" t="s">
        <v>539</v>
      </c>
      <c r="K84" s="37" t="s">
        <v>614</v>
      </c>
      <c r="L84" s="37">
        <v>1</v>
      </c>
      <c r="M84" s="37">
        <f t="shared" si="33"/>
        <v>20</v>
      </c>
      <c r="N84" s="37">
        <v>100</v>
      </c>
      <c r="O84" s="61" t="s">
        <v>642</v>
      </c>
      <c r="P84" s="38">
        <v>1.1999999999999999E-3</v>
      </c>
      <c r="Q84" s="38">
        <f>P84*N84</f>
        <v>0.12</v>
      </c>
      <c r="R84" s="37"/>
      <c r="S84" s="59"/>
    </row>
    <row r="85" spans="1:19" ht="36" x14ac:dyDescent="0.25">
      <c r="A85" s="1"/>
      <c r="B85" s="47">
        <f t="shared" si="0"/>
        <v>76</v>
      </c>
      <c r="C85" s="54" t="s">
        <v>27</v>
      </c>
      <c r="D85" s="82" t="s">
        <v>110</v>
      </c>
      <c r="E85" s="51" t="s">
        <v>223</v>
      </c>
      <c r="F85" s="51" t="s">
        <v>296</v>
      </c>
      <c r="G85" s="51" t="s">
        <v>386</v>
      </c>
      <c r="H85" s="51" t="s">
        <v>457</v>
      </c>
      <c r="I85" s="37" t="s">
        <v>641</v>
      </c>
      <c r="J85" s="51" t="s">
        <v>540</v>
      </c>
      <c r="K85" s="51" t="s">
        <v>615</v>
      </c>
      <c r="L85" s="51">
        <v>1</v>
      </c>
      <c r="M85" s="37">
        <f t="shared" si="33"/>
        <v>20</v>
      </c>
      <c r="N85" s="51">
        <v>100</v>
      </c>
      <c r="O85" s="60" t="s">
        <v>642</v>
      </c>
      <c r="P85" s="52">
        <v>2.5000000000000001E-3</v>
      </c>
      <c r="Q85" s="52">
        <f t="shared" ref="Q85" si="39">P85*N85</f>
        <v>0.25</v>
      </c>
      <c r="R85" s="51"/>
      <c r="S85" s="59"/>
    </row>
    <row r="86" spans="1:19" x14ac:dyDescent="0.25">
      <c r="A86" s="1"/>
      <c r="B86" s="46">
        <f>ROW(B86) - ROW($B$9)</f>
        <v>77</v>
      </c>
      <c r="C86" s="53" t="s">
        <v>27</v>
      </c>
      <c r="D86" s="81" t="s">
        <v>111</v>
      </c>
      <c r="E86" s="37" t="s">
        <v>224</v>
      </c>
      <c r="F86" s="37" t="s">
        <v>295</v>
      </c>
      <c r="G86" s="37" t="s">
        <v>387</v>
      </c>
      <c r="H86" s="37" t="s">
        <v>419</v>
      </c>
      <c r="I86" s="51" t="s">
        <v>641</v>
      </c>
      <c r="J86" s="37" t="s">
        <v>541</v>
      </c>
      <c r="K86" s="37" t="s">
        <v>616</v>
      </c>
      <c r="L86" s="37">
        <v>1</v>
      </c>
      <c r="M86" s="37">
        <f t="shared" si="33"/>
        <v>20</v>
      </c>
      <c r="N86" s="37">
        <v>40</v>
      </c>
      <c r="O86" s="61" t="s">
        <v>642</v>
      </c>
      <c r="P86" s="38">
        <v>2.8400000000000002E-2</v>
      </c>
      <c r="Q86" s="38">
        <f>P86*N86</f>
        <v>1.1360000000000001</v>
      </c>
      <c r="R86" s="37"/>
      <c r="S86" s="59"/>
    </row>
    <row r="87" spans="1:19" x14ac:dyDescent="0.25">
      <c r="A87" s="1"/>
      <c r="B87" s="47">
        <f t="shared" si="0"/>
        <v>78</v>
      </c>
      <c r="C87" s="53" t="s">
        <v>27</v>
      </c>
      <c r="D87" s="82" t="s">
        <v>112</v>
      </c>
      <c r="E87" s="51" t="s">
        <v>225</v>
      </c>
      <c r="F87" s="51" t="s">
        <v>297</v>
      </c>
      <c r="G87" s="51" t="s">
        <v>388</v>
      </c>
      <c r="H87" s="51" t="s">
        <v>419</v>
      </c>
      <c r="I87" s="37" t="s">
        <v>641</v>
      </c>
      <c r="J87" s="51" t="s">
        <v>542</v>
      </c>
      <c r="K87" s="51" t="s">
        <v>617</v>
      </c>
      <c r="L87" s="51">
        <v>2</v>
      </c>
      <c r="M87" s="37">
        <f t="shared" si="33"/>
        <v>40</v>
      </c>
      <c r="N87" s="51">
        <v>100</v>
      </c>
      <c r="O87" s="60" t="s">
        <v>642</v>
      </c>
      <c r="P87" s="52">
        <v>6.9999999999999999E-4</v>
      </c>
      <c r="Q87" s="52">
        <f t="shared" ref="Q87" si="40">P87*N87</f>
        <v>6.9999999999999993E-2</v>
      </c>
      <c r="R87" s="51"/>
      <c r="S87" s="59"/>
    </row>
    <row r="88" spans="1:19" x14ac:dyDescent="0.25">
      <c r="A88" s="1"/>
      <c r="B88" s="46">
        <f>ROW(B88) - ROW($B$9)</f>
        <v>79</v>
      </c>
      <c r="C88" s="53" t="s">
        <v>27</v>
      </c>
      <c r="D88" s="81" t="s">
        <v>113</v>
      </c>
      <c r="E88" s="37" t="s">
        <v>226</v>
      </c>
      <c r="F88" s="37" t="s">
        <v>295</v>
      </c>
      <c r="G88" s="37" t="s">
        <v>389</v>
      </c>
      <c r="H88" s="37" t="s">
        <v>419</v>
      </c>
      <c r="I88" s="37" t="s">
        <v>641</v>
      </c>
      <c r="J88" s="37" t="s">
        <v>543</v>
      </c>
      <c r="K88" s="37" t="s">
        <v>618</v>
      </c>
      <c r="L88" s="37">
        <v>4</v>
      </c>
      <c r="M88" s="37">
        <f t="shared" si="33"/>
        <v>80</v>
      </c>
      <c r="N88" s="37">
        <v>100</v>
      </c>
      <c r="O88" s="61" t="s">
        <v>642</v>
      </c>
      <c r="P88" s="38">
        <v>1.1000000000000001E-3</v>
      </c>
      <c r="Q88" s="38">
        <f>P88*N88</f>
        <v>0.11</v>
      </c>
      <c r="R88" s="37"/>
      <c r="S88" s="59"/>
    </row>
    <row r="89" spans="1:19" x14ac:dyDescent="0.25">
      <c r="A89" s="1"/>
      <c r="B89" s="47">
        <f t="shared" si="0"/>
        <v>80</v>
      </c>
      <c r="C89" s="54" t="s">
        <v>27</v>
      </c>
      <c r="D89" s="82" t="s">
        <v>114</v>
      </c>
      <c r="E89" s="51" t="s">
        <v>227</v>
      </c>
      <c r="F89" s="51" t="s">
        <v>295</v>
      </c>
      <c r="G89" s="51" t="s">
        <v>390</v>
      </c>
      <c r="H89" s="51" t="s">
        <v>419</v>
      </c>
      <c r="I89" s="37" t="s">
        <v>641</v>
      </c>
      <c r="J89" s="51" t="s">
        <v>544</v>
      </c>
      <c r="K89" s="51" t="s">
        <v>619</v>
      </c>
      <c r="L89" s="51">
        <v>1</v>
      </c>
      <c r="M89" s="37">
        <f t="shared" si="33"/>
        <v>20</v>
      </c>
      <c r="N89" s="51">
        <v>100</v>
      </c>
      <c r="O89" s="60" t="s">
        <v>642</v>
      </c>
      <c r="P89" s="52">
        <v>1.1999999999999999E-3</v>
      </c>
      <c r="Q89" s="52">
        <f t="shared" ref="Q89" si="41">P89*N89</f>
        <v>0.12</v>
      </c>
      <c r="R89" s="51"/>
      <c r="S89" s="59"/>
    </row>
    <row r="90" spans="1:19" x14ac:dyDescent="0.25">
      <c r="A90" s="1"/>
      <c r="B90" s="46">
        <f>ROW(B90) - ROW($B$9)</f>
        <v>81</v>
      </c>
      <c r="C90" s="53" t="s">
        <v>27</v>
      </c>
      <c r="D90" s="81" t="s">
        <v>115</v>
      </c>
      <c r="E90" s="37" t="s">
        <v>228</v>
      </c>
      <c r="F90" s="37" t="s">
        <v>295</v>
      </c>
      <c r="G90" s="37" t="s">
        <v>391</v>
      </c>
      <c r="H90" s="37" t="s">
        <v>419</v>
      </c>
      <c r="I90" s="37" t="s">
        <v>641</v>
      </c>
      <c r="J90" s="37" t="s">
        <v>545</v>
      </c>
      <c r="K90" s="37" t="s">
        <v>599</v>
      </c>
      <c r="L90" s="37">
        <v>1</v>
      </c>
      <c r="M90" s="37">
        <f t="shared" si="33"/>
        <v>20</v>
      </c>
      <c r="N90" s="37">
        <v>100</v>
      </c>
      <c r="O90" s="61" t="s">
        <v>642</v>
      </c>
      <c r="P90" s="38">
        <v>1.1000000000000001E-3</v>
      </c>
      <c r="Q90" s="38">
        <f>P90*N90</f>
        <v>0.11</v>
      </c>
      <c r="R90" s="37"/>
      <c r="S90" s="59"/>
    </row>
    <row r="91" spans="1:19" x14ac:dyDescent="0.25">
      <c r="A91" s="1"/>
      <c r="B91" s="47">
        <f t="shared" si="0"/>
        <v>82</v>
      </c>
      <c r="C91" s="53" t="s">
        <v>27</v>
      </c>
      <c r="D91" s="82" t="s">
        <v>116</v>
      </c>
      <c r="E91" s="51" t="s">
        <v>229</v>
      </c>
      <c r="F91" s="51" t="s">
        <v>295</v>
      </c>
      <c r="G91" s="51" t="s">
        <v>392</v>
      </c>
      <c r="H91" s="51" t="s">
        <v>419</v>
      </c>
      <c r="I91" s="37" t="s">
        <v>641</v>
      </c>
      <c r="J91" s="51" t="s">
        <v>645</v>
      </c>
      <c r="K91" s="51" t="s">
        <v>620</v>
      </c>
      <c r="L91" s="51">
        <v>1</v>
      </c>
      <c r="M91" s="37">
        <f t="shared" si="33"/>
        <v>20</v>
      </c>
      <c r="N91" s="51">
        <v>40</v>
      </c>
      <c r="O91" s="60" t="s">
        <v>642</v>
      </c>
      <c r="P91" s="52">
        <v>2.69E-2</v>
      </c>
      <c r="Q91" s="52">
        <f t="shared" ref="Q91" si="42">P91*N91</f>
        <v>1.0760000000000001</v>
      </c>
      <c r="R91" s="51"/>
      <c r="S91" s="59"/>
    </row>
    <row r="92" spans="1:19" ht="24" x14ac:dyDescent="0.25">
      <c r="A92" s="1"/>
      <c r="B92" s="46">
        <f>ROW(B92) - ROW($B$9)</f>
        <v>83</v>
      </c>
      <c r="C92" s="53" t="s">
        <v>27</v>
      </c>
      <c r="D92" s="81" t="s">
        <v>117</v>
      </c>
      <c r="E92" s="37" t="s">
        <v>230</v>
      </c>
      <c r="F92" s="37" t="s">
        <v>295</v>
      </c>
      <c r="G92" s="37" t="s">
        <v>393</v>
      </c>
      <c r="H92" s="37" t="s">
        <v>419</v>
      </c>
      <c r="I92" s="37" t="s">
        <v>641</v>
      </c>
      <c r="J92" s="37" t="s">
        <v>546</v>
      </c>
      <c r="K92" s="37" t="s">
        <v>621</v>
      </c>
      <c r="L92" s="37">
        <v>8</v>
      </c>
      <c r="M92" s="37">
        <f t="shared" si="33"/>
        <v>160</v>
      </c>
      <c r="N92" s="37">
        <v>200</v>
      </c>
      <c r="O92" s="61" t="s">
        <v>642</v>
      </c>
      <c r="P92" s="38">
        <v>1.1999999999999999E-3</v>
      </c>
      <c r="Q92" s="38">
        <f>P92*N92</f>
        <v>0.24</v>
      </c>
      <c r="R92" s="37"/>
      <c r="S92" s="59"/>
    </row>
    <row r="93" spans="1:19" x14ac:dyDescent="0.25">
      <c r="A93" s="1"/>
      <c r="B93" s="47">
        <f t="shared" si="0"/>
        <v>84</v>
      </c>
      <c r="C93" s="53" t="s">
        <v>27</v>
      </c>
      <c r="D93" s="82" t="s">
        <v>118</v>
      </c>
      <c r="E93" s="51" t="s">
        <v>231</v>
      </c>
      <c r="F93" s="51" t="s">
        <v>295</v>
      </c>
      <c r="G93" s="62" t="s">
        <v>394</v>
      </c>
      <c r="H93" s="51" t="s">
        <v>420</v>
      </c>
      <c r="I93" s="51" t="s">
        <v>653</v>
      </c>
      <c r="J93" s="51" t="s">
        <v>652</v>
      </c>
      <c r="K93" s="51" t="s">
        <v>622</v>
      </c>
      <c r="L93" s="51">
        <v>1</v>
      </c>
      <c r="M93" s="37">
        <f t="shared" si="33"/>
        <v>20</v>
      </c>
      <c r="N93" s="51">
        <v>100</v>
      </c>
      <c r="O93" s="60" t="s">
        <v>642</v>
      </c>
      <c r="P93" s="52">
        <v>8.9999999999999998E-4</v>
      </c>
      <c r="Q93" s="52">
        <f t="shared" ref="Q93" si="43">P93*N93</f>
        <v>0.09</v>
      </c>
      <c r="R93" s="51"/>
      <c r="S93" s="59"/>
    </row>
    <row r="94" spans="1:19" x14ac:dyDescent="0.25">
      <c r="A94" s="1"/>
      <c r="B94" s="46">
        <f>ROW(B94) - ROW($B$9)</f>
        <v>85</v>
      </c>
      <c r="C94" s="53" t="s">
        <v>28</v>
      </c>
      <c r="D94" s="81" t="s">
        <v>119</v>
      </c>
      <c r="E94" s="37" t="s">
        <v>232</v>
      </c>
      <c r="F94" s="37" t="s">
        <v>639</v>
      </c>
      <c r="G94" s="37" t="s">
        <v>298</v>
      </c>
      <c r="H94" s="37" t="s">
        <v>458</v>
      </c>
      <c r="I94" s="37" t="s">
        <v>641</v>
      </c>
      <c r="J94" s="37" t="s">
        <v>547</v>
      </c>
      <c r="K94" s="37" t="s">
        <v>641</v>
      </c>
      <c r="L94" s="37">
        <v>1</v>
      </c>
      <c r="M94" s="37">
        <f t="shared" si="33"/>
        <v>20</v>
      </c>
      <c r="N94" s="37">
        <v>25</v>
      </c>
      <c r="O94" s="61" t="s">
        <v>642</v>
      </c>
      <c r="P94" s="38">
        <v>0.18260000000000001</v>
      </c>
      <c r="Q94" s="38">
        <f>P94*N94</f>
        <v>4.5650000000000004</v>
      </c>
      <c r="R94" s="37"/>
      <c r="S94" s="59"/>
    </row>
    <row r="95" spans="1:19" ht="36" x14ac:dyDescent="0.25">
      <c r="A95" s="1"/>
      <c r="B95" s="47">
        <f t="shared" si="0"/>
        <v>86</v>
      </c>
      <c r="C95" s="54" t="s">
        <v>27</v>
      </c>
      <c r="D95" s="82" t="s">
        <v>120</v>
      </c>
      <c r="E95" s="51" t="s">
        <v>233</v>
      </c>
      <c r="F95" s="51" t="s">
        <v>295</v>
      </c>
      <c r="G95" s="51" t="s">
        <v>395</v>
      </c>
      <c r="H95" s="51" t="s">
        <v>457</v>
      </c>
      <c r="I95" s="51" t="s">
        <v>641</v>
      </c>
      <c r="J95" s="51" t="s">
        <v>548</v>
      </c>
      <c r="K95" s="51" t="s">
        <v>623</v>
      </c>
      <c r="L95" s="51">
        <v>1</v>
      </c>
      <c r="M95" s="37">
        <f t="shared" si="33"/>
        <v>20</v>
      </c>
      <c r="N95" s="51">
        <v>100</v>
      </c>
      <c r="O95" s="60" t="s">
        <v>642</v>
      </c>
      <c r="P95" s="52">
        <v>1E-3</v>
      </c>
      <c r="Q95" s="52">
        <f t="shared" ref="Q95" si="44">P95*N95</f>
        <v>0.1</v>
      </c>
      <c r="R95" s="51"/>
      <c r="S95" s="59"/>
    </row>
    <row r="96" spans="1:19" x14ac:dyDescent="0.25">
      <c r="A96" s="1"/>
      <c r="B96" s="47">
        <f t="shared" si="0"/>
        <v>87</v>
      </c>
      <c r="C96" s="68" t="s">
        <v>29</v>
      </c>
      <c r="D96" s="84" t="s">
        <v>654</v>
      </c>
      <c r="E96" s="62" t="s">
        <v>234</v>
      </c>
      <c r="F96" s="63" t="s">
        <v>639</v>
      </c>
      <c r="G96" s="62" t="s">
        <v>29</v>
      </c>
      <c r="H96" s="63" t="s">
        <v>641</v>
      </c>
      <c r="I96" s="63" t="s">
        <v>641</v>
      </c>
      <c r="J96" s="63" t="s">
        <v>641</v>
      </c>
      <c r="K96" s="63" t="s">
        <v>641</v>
      </c>
      <c r="L96" s="62">
        <v>2</v>
      </c>
      <c r="M96" s="63">
        <f t="shared" si="33"/>
        <v>40</v>
      </c>
      <c r="N96" s="63" t="s">
        <v>641</v>
      </c>
      <c r="O96" s="63" t="s">
        <v>641</v>
      </c>
      <c r="P96" s="63" t="s">
        <v>641</v>
      </c>
      <c r="Q96" s="63" t="s">
        <v>641</v>
      </c>
      <c r="R96" s="70" t="s">
        <v>661</v>
      </c>
      <c r="S96" s="69"/>
    </row>
    <row r="97" spans="1:19" ht="36" x14ac:dyDescent="0.25">
      <c r="A97" s="1"/>
      <c r="B97" s="46">
        <f>ROW(B97) - ROW($B$9)</f>
        <v>88</v>
      </c>
      <c r="C97" s="53" t="s">
        <v>30</v>
      </c>
      <c r="D97" s="81" t="s">
        <v>121</v>
      </c>
      <c r="E97" s="37" t="s">
        <v>235</v>
      </c>
      <c r="F97" s="37" t="s">
        <v>639</v>
      </c>
      <c r="G97" s="37" t="s">
        <v>299</v>
      </c>
      <c r="H97" s="37" t="s">
        <v>459</v>
      </c>
      <c r="I97" s="37" t="s">
        <v>641</v>
      </c>
      <c r="J97" s="37" t="s">
        <v>549</v>
      </c>
      <c r="K97" s="37" t="s">
        <v>641</v>
      </c>
      <c r="L97" s="37">
        <v>3</v>
      </c>
      <c r="M97" s="37">
        <f t="shared" si="33"/>
        <v>60</v>
      </c>
      <c r="N97" s="37">
        <v>70</v>
      </c>
      <c r="O97" s="61" t="s">
        <v>642</v>
      </c>
      <c r="P97" s="38">
        <v>4.8300000000000003E-2</v>
      </c>
      <c r="Q97" s="38">
        <f>P97*N97</f>
        <v>3.3810000000000002</v>
      </c>
      <c r="R97" s="37"/>
      <c r="S97" s="59"/>
    </row>
    <row r="98" spans="1:19" x14ac:dyDescent="0.25">
      <c r="A98" s="1"/>
      <c r="B98" s="47">
        <f t="shared" si="0"/>
        <v>89</v>
      </c>
      <c r="C98" s="54" t="s">
        <v>31</v>
      </c>
      <c r="D98" s="82" t="s">
        <v>122</v>
      </c>
      <c r="E98" s="51" t="s">
        <v>236</v>
      </c>
      <c r="F98" s="51" t="s">
        <v>300</v>
      </c>
      <c r="G98" s="51" t="s">
        <v>396</v>
      </c>
      <c r="H98" s="51" t="s">
        <v>460</v>
      </c>
      <c r="I98" s="37" t="s">
        <v>641</v>
      </c>
      <c r="J98" s="51" t="s">
        <v>550</v>
      </c>
      <c r="K98" s="51" t="s">
        <v>641</v>
      </c>
      <c r="L98" s="51">
        <v>1</v>
      </c>
      <c r="M98" s="37">
        <f t="shared" si="33"/>
        <v>20</v>
      </c>
      <c r="N98" s="51">
        <v>21</v>
      </c>
      <c r="O98" s="60" t="s">
        <v>642</v>
      </c>
      <c r="P98" s="52">
        <v>0.54569999999999996</v>
      </c>
      <c r="Q98" s="52">
        <f t="shared" ref="Q98" si="45">P98*N98</f>
        <v>11.4597</v>
      </c>
      <c r="R98" s="51"/>
      <c r="S98" s="59"/>
    </row>
    <row r="99" spans="1:19" x14ac:dyDescent="0.25">
      <c r="A99" s="1"/>
      <c r="B99" s="46">
        <f>ROW(B99) - ROW($B$9)</f>
        <v>90</v>
      </c>
      <c r="C99" s="53" t="s">
        <v>31</v>
      </c>
      <c r="D99" s="81" t="s">
        <v>123</v>
      </c>
      <c r="E99" s="37" t="s">
        <v>237</v>
      </c>
      <c r="F99" s="37" t="s">
        <v>301</v>
      </c>
      <c r="G99" s="37" t="s">
        <v>397</v>
      </c>
      <c r="H99" s="37" t="s">
        <v>460</v>
      </c>
      <c r="I99" s="37" t="s">
        <v>641</v>
      </c>
      <c r="J99" s="37" t="s">
        <v>551</v>
      </c>
      <c r="K99" s="37" t="s">
        <v>641</v>
      </c>
      <c r="L99" s="37">
        <v>1</v>
      </c>
      <c r="M99" s="37">
        <f t="shared" si="33"/>
        <v>20</v>
      </c>
      <c r="N99" s="37">
        <v>21</v>
      </c>
      <c r="O99" s="61" t="s">
        <v>642</v>
      </c>
      <c r="P99" s="38">
        <v>0.83689999999999998</v>
      </c>
      <c r="Q99" s="38">
        <f>P99*N99</f>
        <v>17.5749</v>
      </c>
      <c r="R99" s="37"/>
      <c r="S99" s="59"/>
    </row>
    <row r="100" spans="1:19" ht="36" x14ac:dyDescent="0.25">
      <c r="A100" s="1"/>
      <c r="B100" s="47">
        <f t="shared" si="0"/>
        <v>91</v>
      </c>
      <c r="C100" s="54" t="s">
        <v>31</v>
      </c>
      <c r="D100" s="82" t="s">
        <v>124</v>
      </c>
      <c r="E100" s="51" t="s">
        <v>238</v>
      </c>
      <c r="F100" s="51" t="s">
        <v>302</v>
      </c>
      <c r="G100" s="51" t="s">
        <v>398</v>
      </c>
      <c r="H100" s="51" t="s">
        <v>461</v>
      </c>
      <c r="I100" s="37" t="s">
        <v>641</v>
      </c>
      <c r="J100" s="51" t="s">
        <v>552</v>
      </c>
      <c r="K100" s="51" t="s">
        <v>641</v>
      </c>
      <c r="L100" s="51">
        <v>1</v>
      </c>
      <c r="M100" s="37">
        <f t="shared" si="33"/>
        <v>20</v>
      </c>
      <c r="N100" s="51">
        <v>25</v>
      </c>
      <c r="O100" s="60" t="s">
        <v>642</v>
      </c>
      <c r="P100" s="52">
        <v>0.29039999999999999</v>
      </c>
      <c r="Q100" s="52">
        <f t="shared" ref="Q100" si="46">P100*N100</f>
        <v>7.26</v>
      </c>
      <c r="R100" s="51"/>
      <c r="S100" s="59"/>
    </row>
    <row r="101" spans="1:19" x14ac:dyDescent="0.25">
      <c r="A101" s="1"/>
      <c r="B101" s="46">
        <f>ROW(B101) - ROW($B$9)</f>
        <v>92</v>
      </c>
      <c r="C101" s="53" t="s">
        <v>32</v>
      </c>
      <c r="D101" s="81" t="s">
        <v>125</v>
      </c>
      <c r="E101" s="37" t="s">
        <v>239</v>
      </c>
      <c r="F101" s="37" t="s">
        <v>303</v>
      </c>
      <c r="G101" s="37" t="s">
        <v>399</v>
      </c>
      <c r="H101" s="37" t="s">
        <v>462</v>
      </c>
      <c r="I101" s="37" t="s">
        <v>641</v>
      </c>
      <c r="J101" s="37" t="s">
        <v>553</v>
      </c>
      <c r="K101" s="37" t="s">
        <v>641</v>
      </c>
      <c r="L101" s="37">
        <v>1</v>
      </c>
      <c r="M101" s="37">
        <f t="shared" si="33"/>
        <v>20</v>
      </c>
      <c r="N101" s="37">
        <v>21</v>
      </c>
      <c r="O101" s="61" t="s">
        <v>642</v>
      </c>
      <c r="P101" s="38">
        <v>3.3997999999999999</v>
      </c>
      <c r="Q101" s="38">
        <f>P101*N101</f>
        <v>71.395799999999994</v>
      </c>
      <c r="R101" s="37"/>
      <c r="S101" s="59"/>
    </row>
    <row r="102" spans="1:19" x14ac:dyDescent="0.25">
      <c r="A102" s="1"/>
      <c r="B102" s="47">
        <f t="shared" si="0"/>
        <v>93</v>
      </c>
      <c r="C102" s="54" t="s">
        <v>31</v>
      </c>
      <c r="D102" s="82" t="s">
        <v>126</v>
      </c>
      <c r="E102" s="51" t="s">
        <v>240</v>
      </c>
      <c r="F102" s="51" t="s">
        <v>304</v>
      </c>
      <c r="G102" s="51" t="s">
        <v>400</v>
      </c>
      <c r="H102" s="51" t="s">
        <v>463</v>
      </c>
      <c r="I102" s="51" t="s">
        <v>641</v>
      </c>
      <c r="J102" s="51" t="s">
        <v>554</v>
      </c>
      <c r="K102" s="51" t="s">
        <v>641</v>
      </c>
      <c r="L102" s="51">
        <v>1</v>
      </c>
      <c r="M102" s="37">
        <f t="shared" si="33"/>
        <v>20</v>
      </c>
      <c r="N102" s="51">
        <v>21</v>
      </c>
      <c r="O102" s="60" t="s">
        <v>642</v>
      </c>
      <c r="P102" s="52">
        <v>2.3260000000000001</v>
      </c>
      <c r="Q102" s="52">
        <f t="shared" ref="Q102" si="47">P102*N102</f>
        <v>48.846000000000004</v>
      </c>
      <c r="R102" s="51"/>
      <c r="S102" s="59"/>
    </row>
    <row r="103" spans="1:19" x14ac:dyDescent="0.25">
      <c r="A103" s="1"/>
      <c r="B103" s="46">
        <f>ROW(B103) - ROW($B$9)</f>
        <v>94</v>
      </c>
      <c r="C103" s="53" t="s">
        <v>33</v>
      </c>
      <c r="D103" s="81" t="s">
        <v>127</v>
      </c>
      <c r="E103" s="37" t="s">
        <v>241</v>
      </c>
      <c r="F103" s="37" t="s">
        <v>305</v>
      </c>
      <c r="G103" s="37" t="s">
        <v>401</v>
      </c>
      <c r="H103" s="37" t="s">
        <v>437</v>
      </c>
      <c r="I103" s="37"/>
      <c r="J103" s="37" t="s">
        <v>555</v>
      </c>
      <c r="K103" s="37"/>
      <c r="L103" s="37">
        <v>1</v>
      </c>
      <c r="M103" s="37">
        <f t="shared" si="33"/>
        <v>20</v>
      </c>
      <c r="N103" s="37">
        <v>21</v>
      </c>
      <c r="O103" s="61" t="s">
        <v>642</v>
      </c>
      <c r="P103" s="38">
        <v>0.4773</v>
      </c>
      <c r="Q103" s="38">
        <f>P103*N103</f>
        <v>10.023300000000001</v>
      </c>
      <c r="R103" s="37"/>
      <c r="S103" s="59"/>
    </row>
    <row r="104" spans="1:19" ht="24" x14ac:dyDescent="0.25">
      <c r="A104" s="1"/>
      <c r="B104" s="47">
        <f t="shared" si="0"/>
        <v>95</v>
      </c>
      <c r="C104" s="54" t="s">
        <v>31</v>
      </c>
      <c r="D104" s="82" t="s">
        <v>128</v>
      </c>
      <c r="E104" s="51" t="s">
        <v>242</v>
      </c>
      <c r="F104" s="51" t="s">
        <v>639</v>
      </c>
      <c r="G104" s="51" t="s">
        <v>306</v>
      </c>
      <c r="H104" s="51" t="s">
        <v>464</v>
      </c>
      <c r="I104" s="51" t="s">
        <v>641</v>
      </c>
      <c r="J104" s="51" t="s">
        <v>556</v>
      </c>
      <c r="K104" s="51"/>
      <c r="L104" s="51">
        <v>1</v>
      </c>
      <c r="M104" s="37">
        <f t="shared" si="33"/>
        <v>20</v>
      </c>
      <c r="N104" s="51">
        <v>21</v>
      </c>
      <c r="O104" s="60" t="s">
        <v>642</v>
      </c>
      <c r="P104" s="52">
        <v>24.449100000000001</v>
      </c>
      <c r="Q104" s="52">
        <f t="shared" ref="Q104" si="48">P104*N104</f>
        <v>513.43110000000001</v>
      </c>
      <c r="R104" s="64" t="s">
        <v>658</v>
      </c>
      <c r="S104" s="59"/>
    </row>
    <row r="105" spans="1:19" ht="24" x14ac:dyDescent="0.25">
      <c r="A105" s="1"/>
      <c r="B105" s="46">
        <f>ROW(B105) - ROW($B$9)</f>
        <v>96</v>
      </c>
      <c r="C105" s="53" t="s">
        <v>34</v>
      </c>
      <c r="D105" s="81" t="s">
        <v>129</v>
      </c>
      <c r="E105" s="37" t="s">
        <v>243</v>
      </c>
      <c r="F105" s="37" t="s">
        <v>307</v>
      </c>
      <c r="G105" s="37" t="s">
        <v>402</v>
      </c>
      <c r="H105" s="37" t="s">
        <v>465</v>
      </c>
      <c r="I105" s="37"/>
      <c r="J105" s="37" t="s">
        <v>557</v>
      </c>
      <c r="K105" s="37" t="s">
        <v>641</v>
      </c>
      <c r="L105" s="37">
        <v>1</v>
      </c>
      <c r="M105" s="37">
        <f t="shared" si="33"/>
        <v>20</v>
      </c>
      <c r="N105" s="37">
        <v>30</v>
      </c>
      <c r="O105" s="61" t="s">
        <v>642</v>
      </c>
      <c r="P105" s="38">
        <v>3.04E-2</v>
      </c>
      <c r="Q105" s="38">
        <f>P105*N105</f>
        <v>0.91200000000000003</v>
      </c>
      <c r="R105" s="37"/>
      <c r="S105" s="59"/>
    </row>
    <row r="106" spans="1:19" x14ac:dyDescent="0.25">
      <c r="A106" s="1"/>
      <c r="B106" s="47">
        <f t="shared" si="0"/>
        <v>97</v>
      </c>
      <c r="C106" s="54" t="s">
        <v>31</v>
      </c>
      <c r="D106" s="82" t="s">
        <v>130</v>
      </c>
      <c r="E106" s="51" t="s">
        <v>244</v>
      </c>
      <c r="F106" s="51" t="s">
        <v>308</v>
      </c>
      <c r="G106" s="51" t="s">
        <v>403</v>
      </c>
      <c r="H106" s="51" t="s">
        <v>466</v>
      </c>
      <c r="I106" s="51"/>
      <c r="J106" s="51" t="s">
        <v>558</v>
      </c>
      <c r="K106" s="51" t="s">
        <v>641</v>
      </c>
      <c r="L106" s="51">
        <v>1</v>
      </c>
      <c r="M106" s="37">
        <f t="shared" si="33"/>
        <v>20</v>
      </c>
      <c r="N106" s="51">
        <v>21</v>
      </c>
      <c r="O106" s="60" t="s">
        <v>642</v>
      </c>
      <c r="P106" s="52">
        <v>1.1773</v>
      </c>
      <c r="Q106" s="52">
        <f t="shared" ref="Q106" si="49">P106*N106</f>
        <v>24.723300000000002</v>
      </c>
      <c r="R106" s="51"/>
      <c r="S106" s="59"/>
    </row>
    <row r="107" spans="1:19" x14ac:dyDescent="0.25">
      <c r="A107" s="1"/>
      <c r="B107" s="46">
        <f>ROW(B107) - ROW($B$9)</f>
        <v>98</v>
      </c>
      <c r="C107" s="54" t="s">
        <v>31</v>
      </c>
      <c r="D107" s="81" t="s">
        <v>131</v>
      </c>
      <c r="E107" s="37" t="s">
        <v>245</v>
      </c>
      <c r="F107" s="37" t="s">
        <v>309</v>
      </c>
      <c r="G107" s="37" t="s">
        <v>404</v>
      </c>
      <c r="H107" s="37" t="s">
        <v>467</v>
      </c>
      <c r="I107" s="37"/>
      <c r="J107" s="37"/>
      <c r="K107" s="37"/>
      <c r="L107" s="37">
        <v>1</v>
      </c>
      <c r="M107" s="37">
        <f t="shared" si="33"/>
        <v>20</v>
      </c>
      <c r="N107" s="37"/>
      <c r="O107" s="37"/>
      <c r="P107" s="38"/>
      <c r="Q107" s="38">
        <f>P107*N107</f>
        <v>0</v>
      </c>
      <c r="R107" s="37"/>
      <c r="S107" s="59"/>
    </row>
    <row r="108" spans="1:19" ht="24" x14ac:dyDescent="0.25">
      <c r="A108" s="1"/>
      <c r="B108" s="47">
        <f t="shared" si="0"/>
        <v>99</v>
      </c>
      <c r="C108" s="54" t="s">
        <v>31</v>
      </c>
      <c r="D108" s="82" t="s">
        <v>132</v>
      </c>
      <c r="E108" s="51" t="s">
        <v>246</v>
      </c>
      <c r="F108" s="51" t="s">
        <v>310</v>
      </c>
      <c r="G108" s="51" t="s">
        <v>405</v>
      </c>
      <c r="H108" s="51" t="s">
        <v>432</v>
      </c>
      <c r="I108" s="51"/>
      <c r="J108" s="51" t="s">
        <v>559</v>
      </c>
      <c r="K108" s="51" t="s">
        <v>641</v>
      </c>
      <c r="L108" s="51">
        <v>1</v>
      </c>
      <c r="M108" s="37">
        <f t="shared" si="33"/>
        <v>20</v>
      </c>
      <c r="N108" s="51">
        <v>21</v>
      </c>
      <c r="O108" s="60" t="s">
        <v>642</v>
      </c>
      <c r="P108" s="52">
        <v>0.52980000000000005</v>
      </c>
      <c r="Q108" s="52">
        <f t="shared" ref="Q108" si="50">P108*N108</f>
        <v>11.125800000000002</v>
      </c>
      <c r="R108" s="51"/>
      <c r="S108" s="59"/>
    </row>
    <row r="109" spans="1:19" x14ac:dyDescent="0.25">
      <c r="A109" s="1"/>
      <c r="B109" s="46">
        <f>ROW(B109) - ROW($B$9)</f>
        <v>100</v>
      </c>
      <c r="C109" s="53" t="s">
        <v>31</v>
      </c>
      <c r="D109" s="81" t="s">
        <v>133</v>
      </c>
      <c r="E109" s="37" t="s">
        <v>247</v>
      </c>
      <c r="F109" s="37" t="s">
        <v>311</v>
      </c>
      <c r="G109" s="37" t="s">
        <v>406</v>
      </c>
      <c r="H109" s="37" t="s">
        <v>468</v>
      </c>
      <c r="I109" s="37" t="s">
        <v>641</v>
      </c>
      <c r="J109" s="37" t="s">
        <v>560</v>
      </c>
      <c r="K109" s="37" t="s">
        <v>641</v>
      </c>
      <c r="L109" s="37">
        <v>1</v>
      </c>
      <c r="M109" s="37">
        <f t="shared" si="33"/>
        <v>20</v>
      </c>
      <c r="N109" s="37">
        <v>21</v>
      </c>
      <c r="O109" s="61" t="s">
        <v>642</v>
      </c>
      <c r="P109" s="38">
        <v>3.2280000000000002</v>
      </c>
      <c r="Q109" s="38">
        <f>P109*N109</f>
        <v>67.788000000000011</v>
      </c>
      <c r="R109" s="37"/>
      <c r="S109" s="59"/>
    </row>
    <row r="110" spans="1:19" x14ac:dyDescent="0.25">
      <c r="A110" s="1"/>
      <c r="B110" s="47">
        <f t="shared" si="0"/>
        <v>101</v>
      </c>
      <c r="C110" s="54" t="s">
        <v>31</v>
      </c>
      <c r="D110" s="82" t="s">
        <v>134</v>
      </c>
      <c r="E110" s="51" t="s">
        <v>248</v>
      </c>
      <c r="F110" s="51" t="s">
        <v>312</v>
      </c>
      <c r="G110" s="51" t="s">
        <v>407</v>
      </c>
      <c r="H110" s="51" t="s">
        <v>460</v>
      </c>
      <c r="I110" s="51" t="s">
        <v>641</v>
      </c>
      <c r="J110" s="51" t="s">
        <v>561</v>
      </c>
      <c r="K110" s="51" t="s">
        <v>641</v>
      </c>
      <c r="L110" s="51">
        <v>1</v>
      </c>
      <c r="M110" s="37">
        <f t="shared" si="33"/>
        <v>20</v>
      </c>
      <c r="N110" s="51">
        <v>21</v>
      </c>
      <c r="O110" s="60" t="s">
        <v>642</v>
      </c>
      <c r="P110" s="52">
        <v>0.43280000000000002</v>
      </c>
      <c r="Q110" s="52">
        <f t="shared" ref="Q110" si="51">P110*N110</f>
        <v>9.0888000000000009</v>
      </c>
      <c r="R110" s="51"/>
      <c r="S110" s="59"/>
    </row>
    <row r="111" spans="1:19" ht="24" x14ac:dyDescent="0.25">
      <c r="A111" s="1"/>
      <c r="B111" s="46">
        <f>ROW(B111) - ROW($B$9)</f>
        <v>102</v>
      </c>
      <c r="C111" s="53" t="s">
        <v>31</v>
      </c>
      <c r="D111" s="81" t="s">
        <v>135</v>
      </c>
      <c r="E111" s="37" t="s">
        <v>249</v>
      </c>
      <c r="F111" s="37" t="s">
        <v>313</v>
      </c>
      <c r="G111" s="37" t="s">
        <v>408</v>
      </c>
      <c r="H111" s="37" t="s">
        <v>469</v>
      </c>
      <c r="I111" s="37"/>
      <c r="J111" s="37" t="s">
        <v>562</v>
      </c>
      <c r="K111" s="37" t="s">
        <v>641</v>
      </c>
      <c r="L111" s="37">
        <v>4</v>
      </c>
      <c r="M111" s="37">
        <f t="shared" si="33"/>
        <v>80</v>
      </c>
      <c r="N111" s="37">
        <v>90</v>
      </c>
      <c r="O111" s="61" t="s">
        <v>642</v>
      </c>
      <c r="P111" s="38">
        <v>5.8999999999999997E-2</v>
      </c>
      <c r="Q111" s="38">
        <f>P111*N111</f>
        <v>5.31</v>
      </c>
      <c r="R111" s="37"/>
      <c r="S111" s="59"/>
    </row>
    <row r="112" spans="1:19" x14ac:dyDescent="0.25">
      <c r="A112" s="1"/>
      <c r="B112" s="47">
        <f t="shared" si="0"/>
        <v>103</v>
      </c>
      <c r="C112" s="54" t="s">
        <v>31</v>
      </c>
      <c r="D112" s="82" t="s">
        <v>136</v>
      </c>
      <c r="E112" s="51" t="s">
        <v>250</v>
      </c>
      <c r="F112" s="51" t="s">
        <v>314</v>
      </c>
      <c r="G112" s="51" t="s">
        <v>409</v>
      </c>
      <c r="H112" s="51" t="s">
        <v>466</v>
      </c>
      <c r="I112" s="51" t="s">
        <v>641</v>
      </c>
      <c r="J112" s="51" t="s">
        <v>563</v>
      </c>
      <c r="K112" s="51" t="s">
        <v>641</v>
      </c>
      <c r="L112" s="51">
        <v>1</v>
      </c>
      <c r="M112" s="37">
        <f t="shared" si="33"/>
        <v>20</v>
      </c>
      <c r="N112" s="51">
        <v>21</v>
      </c>
      <c r="O112" s="60" t="s">
        <v>642</v>
      </c>
      <c r="P112" s="52">
        <v>1.7437</v>
      </c>
      <c r="Q112" s="52">
        <f t="shared" ref="Q112" si="52">P112*N112</f>
        <v>36.617699999999999</v>
      </c>
      <c r="R112" s="51"/>
      <c r="S112" s="59"/>
    </row>
    <row r="113" spans="1:19" ht="36" x14ac:dyDescent="0.25">
      <c r="A113" s="1"/>
      <c r="B113" s="46">
        <f>ROW(B113) - ROW($B$9)</f>
        <v>104</v>
      </c>
      <c r="C113" s="54" t="s">
        <v>31</v>
      </c>
      <c r="D113" s="81" t="s">
        <v>137</v>
      </c>
      <c r="E113" s="37" t="s">
        <v>251</v>
      </c>
      <c r="F113" s="37" t="s">
        <v>640</v>
      </c>
      <c r="G113" s="37" t="s">
        <v>315</v>
      </c>
      <c r="H113" s="37" t="s">
        <v>656</v>
      </c>
      <c r="I113" s="37" t="s">
        <v>641</v>
      </c>
      <c r="J113" s="37" t="s">
        <v>655</v>
      </c>
      <c r="K113" s="37" t="s">
        <v>641</v>
      </c>
      <c r="L113" s="37">
        <v>8</v>
      </c>
      <c r="M113" s="37">
        <f t="shared" si="33"/>
        <v>160</v>
      </c>
      <c r="N113" s="37">
        <v>165</v>
      </c>
      <c r="O113" s="61" t="s">
        <v>642</v>
      </c>
      <c r="P113" s="38">
        <v>0.27789999999999998</v>
      </c>
      <c r="Q113" s="38">
        <f>P113*N113</f>
        <v>45.853499999999997</v>
      </c>
      <c r="R113" s="37"/>
      <c r="S113" s="59"/>
    </row>
    <row r="114" spans="1:19" ht="60" x14ac:dyDescent="0.25">
      <c r="A114" s="1"/>
      <c r="B114" s="47">
        <f t="shared" si="0"/>
        <v>105</v>
      </c>
      <c r="C114" s="54" t="s">
        <v>31</v>
      </c>
      <c r="D114" s="82" t="s">
        <v>138</v>
      </c>
      <c r="E114" s="51" t="s">
        <v>252</v>
      </c>
      <c r="F114" s="51" t="s">
        <v>316</v>
      </c>
      <c r="G114" s="51" t="s">
        <v>410</v>
      </c>
      <c r="H114" s="51" t="s">
        <v>470</v>
      </c>
      <c r="I114" s="51" t="s">
        <v>641</v>
      </c>
      <c r="J114" s="51" t="s">
        <v>564</v>
      </c>
      <c r="K114" s="51" t="s">
        <v>641</v>
      </c>
      <c r="L114" s="51">
        <v>1</v>
      </c>
      <c r="M114" s="37">
        <f t="shared" si="33"/>
        <v>20</v>
      </c>
      <c r="N114" s="51">
        <v>25</v>
      </c>
      <c r="O114" s="60" t="s">
        <v>642</v>
      </c>
      <c r="P114" s="52">
        <v>7.85E-2</v>
      </c>
      <c r="Q114" s="52">
        <f t="shared" ref="Q114" si="53">P114*N114</f>
        <v>1.9624999999999999</v>
      </c>
      <c r="R114" s="51"/>
      <c r="S114" s="59"/>
    </row>
    <row r="115" spans="1:19" x14ac:dyDescent="0.25">
      <c r="A115" s="1"/>
      <c r="B115" s="46">
        <f>ROW(B115) - ROW($B$9)</f>
        <v>106</v>
      </c>
      <c r="C115" s="53" t="s">
        <v>31</v>
      </c>
      <c r="D115" s="81" t="s">
        <v>139</v>
      </c>
      <c r="E115" s="37" t="s">
        <v>253</v>
      </c>
      <c r="F115" s="37" t="s">
        <v>317</v>
      </c>
      <c r="G115" s="37" t="s">
        <v>411</v>
      </c>
      <c r="H115" s="37" t="s">
        <v>461</v>
      </c>
      <c r="I115" s="51" t="s">
        <v>641</v>
      </c>
      <c r="J115" s="37" t="s">
        <v>565</v>
      </c>
      <c r="K115" s="37"/>
      <c r="L115" s="37">
        <v>1</v>
      </c>
      <c r="M115" s="37">
        <f t="shared" si="33"/>
        <v>20</v>
      </c>
      <c r="N115" s="37">
        <v>21</v>
      </c>
      <c r="O115" s="61" t="s">
        <v>642</v>
      </c>
      <c r="P115" s="38">
        <v>0.38200000000000001</v>
      </c>
      <c r="Q115" s="38">
        <f>P115*N115</f>
        <v>8.0220000000000002</v>
      </c>
      <c r="R115" s="37"/>
      <c r="S115" s="59"/>
    </row>
    <row r="116" spans="1:19" x14ac:dyDescent="0.25">
      <c r="A116" s="1"/>
      <c r="B116" s="47">
        <f t="shared" si="0"/>
        <v>107</v>
      </c>
      <c r="C116" s="54" t="s">
        <v>31</v>
      </c>
      <c r="D116" s="82" t="s">
        <v>140</v>
      </c>
      <c r="E116" s="51" t="s">
        <v>254</v>
      </c>
      <c r="F116" s="51" t="s">
        <v>318</v>
      </c>
      <c r="G116" s="51" t="s">
        <v>412</v>
      </c>
      <c r="H116" s="51" t="s">
        <v>460</v>
      </c>
      <c r="I116" s="51" t="s">
        <v>641</v>
      </c>
      <c r="J116" s="51" t="s">
        <v>566</v>
      </c>
      <c r="K116" s="51"/>
      <c r="L116" s="51">
        <v>1</v>
      </c>
      <c r="M116" s="37">
        <f t="shared" si="33"/>
        <v>20</v>
      </c>
      <c r="N116" s="51">
        <v>21</v>
      </c>
      <c r="O116" s="60" t="s">
        <v>642</v>
      </c>
      <c r="P116" s="52">
        <v>0.55530000000000002</v>
      </c>
      <c r="Q116" s="52">
        <f t="shared" ref="Q116" si="54">P116*N116</f>
        <v>11.661300000000001</v>
      </c>
      <c r="R116" s="51"/>
      <c r="S116" s="59"/>
    </row>
    <row r="117" spans="1:19" x14ac:dyDescent="0.25">
      <c r="A117" s="1"/>
      <c r="B117" s="46">
        <f>ROW(B117) - ROW($B$9)</f>
        <v>108</v>
      </c>
      <c r="C117" s="53" t="s">
        <v>31</v>
      </c>
      <c r="D117" s="81" t="s">
        <v>141</v>
      </c>
      <c r="E117" s="37" t="s">
        <v>255</v>
      </c>
      <c r="F117" s="37" t="s">
        <v>319</v>
      </c>
      <c r="G117" s="37" t="s">
        <v>413</v>
      </c>
      <c r="H117" s="37" t="s">
        <v>466</v>
      </c>
      <c r="I117" s="51" t="s">
        <v>641</v>
      </c>
      <c r="J117" s="37" t="s">
        <v>567</v>
      </c>
      <c r="K117" s="37"/>
      <c r="L117" s="37">
        <v>1</v>
      </c>
      <c r="M117" s="37">
        <f t="shared" si="33"/>
        <v>20</v>
      </c>
      <c r="N117" s="37">
        <v>21</v>
      </c>
      <c r="O117" s="61" t="s">
        <v>642</v>
      </c>
      <c r="P117" s="38">
        <v>1.8057000000000001</v>
      </c>
      <c r="Q117" s="38">
        <f>P117*N117</f>
        <v>37.919699999999999</v>
      </c>
      <c r="R117" s="37"/>
      <c r="S117" s="59"/>
    </row>
    <row r="118" spans="1:19" x14ac:dyDescent="0.25">
      <c r="A118" s="1"/>
      <c r="B118" s="47">
        <f t="shared" si="0"/>
        <v>109</v>
      </c>
      <c r="C118" s="54" t="s">
        <v>31</v>
      </c>
      <c r="D118" s="82" t="s">
        <v>142</v>
      </c>
      <c r="E118" s="51" t="s">
        <v>256</v>
      </c>
      <c r="F118" s="51" t="s">
        <v>319</v>
      </c>
      <c r="G118" s="51" t="s">
        <v>414</v>
      </c>
      <c r="H118" s="51" t="s">
        <v>471</v>
      </c>
      <c r="I118" s="51" t="s">
        <v>641</v>
      </c>
      <c r="J118" s="51" t="s">
        <v>568</v>
      </c>
      <c r="K118" s="51"/>
      <c r="L118" s="51">
        <v>1</v>
      </c>
      <c r="M118" s="37">
        <f t="shared" si="33"/>
        <v>20</v>
      </c>
      <c r="N118" s="51">
        <v>21</v>
      </c>
      <c r="O118" s="60" t="s">
        <v>642</v>
      </c>
      <c r="P118" s="52">
        <v>1.0644</v>
      </c>
      <c r="Q118" s="52">
        <f t="shared" ref="Q118" si="55">P118*N118</f>
        <v>22.352399999999999</v>
      </c>
      <c r="R118" s="51"/>
      <c r="S118" s="59"/>
    </row>
    <row r="119" spans="1:19" x14ac:dyDescent="0.25">
      <c r="A119" s="1"/>
      <c r="B119" s="46">
        <f>ROW(B119) - ROW($B$9)</f>
        <v>110</v>
      </c>
      <c r="C119" s="53" t="s">
        <v>31</v>
      </c>
      <c r="D119" s="81" t="s">
        <v>143</v>
      </c>
      <c r="E119" s="37" t="s">
        <v>256</v>
      </c>
      <c r="F119" s="37" t="s">
        <v>319</v>
      </c>
      <c r="G119" s="37" t="s">
        <v>415</v>
      </c>
      <c r="H119" s="37" t="s">
        <v>471</v>
      </c>
      <c r="I119" s="51" t="s">
        <v>641</v>
      </c>
      <c r="J119" s="37" t="s">
        <v>569</v>
      </c>
      <c r="K119" s="37"/>
      <c r="L119" s="37">
        <v>1</v>
      </c>
      <c r="M119" s="37">
        <f t="shared" si="33"/>
        <v>20</v>
      </c>
      <c r="N119" s="37">
        <v>21</v>
      </c>
      <c r="O119" s="61" t="s">
        <v>642</v>
      </c>
      <c r="P119" s="38">
        <v>1.1279999999999999</v>
      </c>
      <c r="Q119" s="38">
        <f>P119*N119</f>
        <v>23.687999999999999</v>
      </c>
      <c r="R119" s="37"/>
      <c r="S119" s="59"/>
    </row>
    <row r="120" spans="1:19" x14ac:dyDescent="0.25">
      <c r="A120" s="1"/>
      <c r="B120" s="47">
        <f t="shared" si="0"/>
        <v>111</v>
      </c>
      <c r="C120" s="54" t="s">
        <v>31</v>
      </c>
      <c r="D120" s="82" t="s">
        <v>144</v>
      </c>
      <c r="E120" s="51" t="s">
        <v>257</v>
      </c>
      <c r="F120" s="51"/>
      <c r="G120" s="51" t="s">
        <v>416</v>
      </c>
      <c r="H120" s="51" t="s">
        <v>472</v>
      </c>
      <c r="I120" s="51" t="s">
        <v>641</v>
      </c>
      <c r="J120" s="51" t="s">
        <v>570</v>
      </c>
      <c r="K120" s="51"/>
      <c r="L120" s="51">
        <v>1</v>
      </c>
      <c r="M120" s="37">
        <f t="shared" si="33"/>
        <v>20</v>
      </c>
      <c r="N120" s="51">
        <v>21</v>
      </c>
      <c r="O120" s="60" t="s">
        <v>642</v>
      </c>
      <c r="P120" s="52">
        <v>4.0282</v>
      </c>
      <c r="Q120" s="52">
        <f t="shared" ref="Q120" si="56">P120*N120</f>
        <v>84.592200000000005</v>
      </c>
      <c r="R120" s="51"/>
      <c r="S120" s="59"/>
    </row>
    <row r="121" spans="1:19" x14ac:dyDescent="0.25">
      <c r="A121" s="1"/>
      <c r="B121" s="46">
        <f>ROW(B121) - ROW($B$9)</f>
        <v>112</v>
      </c>
      <c r="C121" s="53" t="s">
        <v>35</v>
      </c>
      <c r="D121" s="81" t="s">
        <v>145</v>
      </c>
      <c r="E121" s="37" t="s">
        <v>258</v>
      </c>
      <c r="F121" s="37" t="s">
        <v>639</v>
      </c>
      <c r="G121" s="37" t="s">
        <v>320</v>
      </c>
      <c r="H121" s="37" t="s">
        <v>473</v>
      </c>
      <c r="I121" s="51" t="s">
        <v>641</v>
      </c>
      <c r="J121" s="37" t="s">
        <v>571</v>
      </c>
      <c r="K121" s="37" t="s">
        <v>624</v>
      </c>
      <c r="L121" s="37">
        <v>1</v>
      </c>
      <c r="M121" s="37">
        <f t="shared" si="33"/>
        <v>20</v>
      </c>
      <c r="N121" s="37">
        <v>21</v>
      </c>
      <c r="O121" s="61" t="s">
        <v>642</v>
      </c>
      <c r="P121" s="38">
        <v>0.21290000000000001</v>
      </c>
      <c r="Q121" s="38">
        <f>P121*N121</f>
        <v>4.4709000000000003</v>
      </c>
      <c r="R121" s="37"/>
      <c r="S121" s="59"/>
    </row>
    <row r="122" spans="1:19" ht="24.75" thickBot="1" x14ac:dyDescent="0.3">
      <c r="A122" s="1"/>
      <c r="B122" s="47">
        <f t="shared" si="0"/>
        <v>113</v>
      </c>
      <c r="C122" s="54" t="s">
        <v>35</v>
      </c>
      <c r="D122" s="82" t="s">
        <v>146</v>
      </c>
      <c r="E122" s="51" t="s">
        <v>259</v>
      </c>
      <c r="F122" s="51" t="s">
        <v>639</v>
      </c>
      <c r="G122" s="51" t="s">
        <v>321</v>
      </c>
      <c r="H122" s="51" t="s">
        <v>474</v>
      </c>
      <c r="I122" s="51" t="s">
        <v>641</v>
      </c>
      <c r="J122" s="51" t="s">
        <v>572</v>
      </c>
      <c r="K122" s="51" t="s">
        <v>625</v>
      </c>
      <c r="L122" s="51">
        <v>1</v>
      </c>
      <c r="M122" s="37">
        <f t="shared" si="33"/>
        <v>20</v>
      </c>
      <c r="N122" s="51">
        <v>25</v>
      </c>
      <c r="O122" s="60" t="s">
        <v>642</v>
      </c>
      <c r="P122" s="52">
        <v>8.0699999999999994E-2</v>
      </c>
      <c r="Q122" s="52">
        <f t="shared" ref="Q122" si="57">P122*N122</f>
        <v>2.0175000000000001</v>
      </c>
      <c r="R122" s="51"/>
      <c r="S122" s="39"/>
    </row>
    <row r="123" spans="1:19" ht="19.5" thickBot="1" x14ac:dyDescent="0.3">
      <c r="A123" s="1"/>
      <c r="B123" s="40"/>
      <c r="C123" s="41"/>
      <c r="D123" s="42"/>
      <c r="E123" s="43"/>
      <c r="F123" s="44"/>
      <c r="G123" s="45"/>
      <c r="H123" s="44"/>
      <c r="I123" s="45"/>
      <c r="J123" s="44"/>
      <c r="K123" s="45"/>
      <c r="L123" s="45"/>
      <c r="M123" s="45"/>
      <c r="N123" s="79" t="s">
        <v>5</v>
      </c>
      <c r="O123" s="80"/>
      <c r="P123" s="80"/>
      <c r="Q123" s="48">
        <f>SUM(Q10:Q122)</f>
        <v>1601.6447000000001</v>
      </c>
      <c r="R123" s="75"/>
      <c r="S123" s="76"/>
    </row>
    <row r="124" spans="1:19" ht="19.5" thickBot="1" x14ac:dyDescent="0.3">
      <c r="A124" s="1"/>
      <c r="B124" s="25"/>
      <c r="C124" s="36"/>
      <c r="D124" s="9"/>
      <c r="E124" s="10"/>
      <c r="F124" s="10"/>
      <c r="G124" s="10"/>
      <c r="H124" s="10"/>
      <c r="I124" s="10"/>
      <c r="J124" s="10"/>
      <c r="K124" s="10"/>
      <c r="L124" s="10"/>
      <c r="M124" s="10"/>
      <c r="N124" s="79" t="s">
        <v>6</v>
      </c>
      <c r="O124" s="80"/>
      <c r="P124" s="80"/>
      <c r="Q124" s="49">
        <f>Q123/20</f>
        <v>80.082234999999997</v>
      </c>
      <c r="R124" s="77"/>
      <c r="S124" s="78"/>
    </row>
  </sheetData>
  <mergeCells count="5">
    <mergeCell ref="K1:S1"/>
    <mergeCell ref="S3:S8"/>
    <mergeCell ref="R123:S124"/>
    <mergeCell ref="N123:P123"/>
    <mergeCell ref="N124:P124"/>
  </mergeCells>
  <hyperlinks>
    <hyperlink ref="O13" r:id="rId1"/>
    <hyperlink ref="O14" r:id="rId2"/>
    <hyperlink ref="O15" r:id="rId3"/>
    <hyperlink ref="O16" r:id="rId4"/>
    <hyperlink ref="O17" r:id="rId5"/>
    <hyperlink ref="O19" r:id="rId6"/>
    <hyperlink ref="O20" r:id="rId7"/>
    <hyperlink ref="O21" r:id="rId8"/>
    <hyperlink ref="O23" r:id="rId9"/>
    <hyperlink ref="O24" r:id="rId10"/>
    <hyperlink ref="O28" r:id="rId11"/>
    <hyperlink ref="O29" r:id="rId12"/>
    <hyperlink ref="O30" r:id="rId13"/>
    <hyperlink ref="O31" r:id="rId14"/>
    <hyperlink ref="O32" r:id="rId15"/>
    <hyperlink ref="O33" r:id="rId16"/>
    <hyperlink ref="O34" r:id="rId17"/>
    <hyperlink ref="O35" r:id="rId18"/>
    <hyperlink ref="O36" r:id="rId19"/>
    <hyperlink ref="O37" r:id="rId20"/>
    <hyperlink ref="O38" r:id="rId21"/>
    <hyperlink ref="O39" r:id="rId22"/>
    <hyperlink ref="O40" r:id="rId23"/>
    <hyperlink ref="O41" r:id="rId24"/>
    <hyperlink ref="O42" r:id="rId25"/>
    <hyperlink ref="O43" r:id="rId26"/>
    <hyperlink ref="O44" r:id="rId27"/>
    <hyperlink ref="O45" r:id="rId28"/>
    <hyperlink ref="O46" r:id="rId29"/>
    <hyperlink ref="O47" r:id="rId30"/>
    <hyperlink ref="O48" r:id="rId31"/>
    <hyperlink ref="O51" r:id="rId32"/>
    <hyperlink ref="O52" r:id="rId33"/>
    <hyperlink ref="O53" r:id="rId34"/>
    <hyperlink ref="O49" r:id="rId35"/>
    <hyperlink ref="O54" r:id="rId36"/>
    <hyperlink ref="O55" r:id="rId37"/>
    <hyperlink ref="O56" r:id="rId38"/>
    <hyperlink ref="O57" r:id="rId39"/>
    <hyperlink ref="O58" r:id="rId40"/>
    <hyperlink ref="O59" r:id="rId41"/>
    <hyperlink ref="O60" r:id="rId42"/>
    <hyperlink ref="O61" r:id="rId43"/>
    <hyperlink ref="O62" r:id="rId44"/>
    <hyperlink ref="O63" r:id="rId45"/>
    <hyperlink ref="O64" r:id="rId46"/>
    <hyperlink ref="O65" r:id="rId47"/>
    <hyperlink ref="O66" r:id="rId48"/>
    <hyperlink ref="O67" r:id="rId49"/>
    <hyperlink ref="O68" r:id="rId50"/>
    <hyperlink ref="O69" r:id="rId51"/>
    <hyperlink ref="O70" r:id="rId52"/>
    <hyperlink ref="O71" r:id="rId53"/>
    <hyperlink ref="O72" r:id="rId54"/>
    <hyperlink ref="O73" r:id="rId55"/>
    <hyperlink ref="O74" r:id="rId56"/>
    <hyperlink ref="O75" r:id="rId57"/>
    <hyperlink ref="O76" r:id="rId58"/>
    <hyperlink ref="O77" r:id="rId59"/>
    <hyperlink ref="O78" r:id="rId60"/>
    <hyperlink ref="O79" r:id="rId61"/>
    <hyperlink ref="O80" r:id="rId62"/>
    <hyperlink ref="O81" r:id="rId63"/>
    <hyperlink ref="O82" r:id="rId64"/>
    <hyperlink ref="O83" r:id="rId65"/>
    <hyperlink ref="O84" r:id="rId66"/>
    <hyperlink ref="O85" r:id="rId67"/>
    <hyperlink ref="O86" r:id="rId68"/>
    <hyperlink ref="O87" r:id="rId69"/>
    <hyperlink ref="O88" r:id="rId70"/>
    <hyperlink ref="O89" r:id="rId71"/>
    <hyperlink ref="O90" r:id="rId72"/>
    <hyperlink ref="O92" r:id="rId73"/>
    <hyperlink ref="O91" r:id="rId74"/>
    <hyperlink ref="O94" r:id="rId75"/>
    <hyperlink ref="O95" r:id="rId76"/>
    <hyperlink ref="O97" r:id="rId77"/>
    <hyperlink ref="O98" r:id="rId78"/>
    <hyperlink ref="O99" r:id="rId79"/>
    <hyperlink ref="O100" r:id="rId80"/>
    <hyperlink ref="O101" r:id="rId81"/>
    <hyperlink ref="O102" r:id="rId82"/>
    <hyperlink ref="O103" r:id="rId83"/>
    <hyperlink ref="O105" r:id="rId84"/>
    <hyperlink ref="O106" r:id="rId85"/>
    <hyperlink ref="O108" r:id="rId86"/>
    <hyperlink ref="O109" r:id="rId87"/>
    <hyperlink ref="O110" r:id="rId88"/>
    <hyperlink ref="O111" r:id="rId89"/>
    <hyperlink ref="O112" r:id="rId90"/>
    <hyperlink ref="O114" r:id="rId91"/>
    <hyperlink ref="O115" r:id="rId92"/>
    <hyperlink ref="O116" r:id="rId93"/>
    <hyperlink ref="O117" r:id="rId94"/>
    <hyperlink ref="O118" r:id="rId95"/>
    <hyperlink ref="O119" r:id="rId96"/>
    <hyperlink ref="O120" r:id="rId97"/>
    <hyperlink ref="O121" r:id="rId98"/>
    <hyperlink ref="O122" r:id="rId99"/>
    <hyperlink ref="O11" r:id="rId100"/>
    <hyperlink ref="O12" r:id="rId101"/>
    <hyperlink ref="O22" r:id="rId102"/>
    <hyperlink ref="O26" r:id="rId103"/>
    <hyperlink ref="O93" r:id="rId104"/>
    <hyperlink ref="O113" r:id="rId105"/>
    <hyperlink ref="O27" r:id="rId106"/>
    <hyperlink ref="O10" r:id="rId107"/>
    <hyperlink ref="O25" r:id="rId108"/>
    <hyperlink ref="O18" r:id="rId109"/>
    <hyperlink ref="O104" r:id="rId110"/>
  </hyperlinks>
  <pageMargins left="0.7" right="0.7" top="0.75" bottom="0.75" header="0.3" footer="0.3"/>
  <pageSetup paperSize="9" orientation="portrait" r:id="rId111"/>
  <drawing r:id="rId1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2023-05-09T15:26:42Z</dcterms:modified>
</cp:coreProperties>
</file>