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TE-Module-v2.0\BOM\"/>
    </mc:Choice>
  </mc:AlternateContent>
  <bookViews>
    <workbookView xWindow="28680" yWindow="-120" windowWidth="29040" windowHeight="15840"/>
  </bookViews>
  <sheets>
    <sheet name="5 Boards" sheetId="1" r:id="rId1"/>
    <sheet name="20 Boards" sheetId="2" r:id="rId2"/>
    <sheet name="50 Boards" sheetId="3" r:id="rId3"/>
    <sheet name="100 Boards" sheetId="4" r:id="rId4"/>
    <sheet name="500 Boards" sheetId="5" r:id="rId5"/>
    <sheet name="1000 Boards" sheetId="6" r:id="rId6"/>
  </sheets>
  <calcPr calcId="162913"/>
</workbook>
</file>

<file path=xl/calcChain.xml><?xml version="1.0" encoding="utf-8"?>
<calcChain xmlns="http://schemas.openxmlformats.org/spreadsheetml/2006/main">
  <c r="M11" i="6" l="1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10" i="6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10" i="5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10" i="4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10" i="2"/>
  <c r="Q41" i="6" l="1"/>
  <c r="B41" i="6"/>
  <c r="Q40" i="6"/>
  <c r="B40" i="6"/>
  <c r="Q39" i="6"/>
  <c r="B39" i="6"/>
  <c r="Q38" i="6"/>
  <c r="B38" i="6"/>
  <c r="Q37" i="6"/>
  <c r="B37" i="6"/>
  <c r="Q36" i="6"/>
  <c r="B36" i="6"/>
  <c r="Q35" i="6"/>
  <c r="B35" i="6"/>
  <c r="Q34" i="6"/>
  <c r="B34" i="6"/>
  <c r="Q33" i="6"/>
  <c r="B33" i="6"/>
  <c r="Q32" i="6"/>
  <c r="B32" i="6"/>
  <c r="Q31" i="6"/>
  <c r="B31" i="6"/>
  <c r="Q30" i="6"/>
  <c r="B30" i="6"/>
  <c r="Q29" i="6"/>
  <c r="B29" i="6"/>
  <c r="Q28" i="6"/>
  <c r="B28" i="6"/>
  <c r="Q27" i="6"/>
  <c r="B27" i="6"/>
  <c r="Q26" i="6"/>
  <c r="B26" i="6"/>
  <c r="B25" i="6"/>
  <c r="B24" i="6"/>
  <c r="Q23" i="6"/>
  <c r="B23" i="6"/>
  <c r="Q22" i="6"/>
  <c r="B22" i="6"/>
  <c r="Q21" i="6"/>
  <c r="B21" i="6"/>
  <c r="Q20" i="6"/>
  <c r="B20" i="6"/>
  <c r="Q19" i="6"/>
  <c r="B19" i="6"/>
  <c r="Q18" i="6"/>
  <c r="B18" i="6"/>
  <c r="Q17" i="6"/>
  <c r="B17" i="6"/>
  <c r="Q16" i="6"/>
  <c r="B16" i="6"/>
  <c r="Q15" i="6"/>
  <c r="B15" i="6"/>
  <c r="Q14" i="6"/>
  <c r="B14" i="6"/>
  <c r="Q13" i="6"/>
  <c r="B13" i="6"/>
  <c r="Q12" i="6"/>
  <c r="B12" i="6"/>
  <c r="Q11" i="6"/>
  <c r="B11" i="6"/>
  <c r="Q10" i="6"/>
  <c r="B10" i="6"/>
  <c r="Q41" i="5"/>
  <c r="B41" i="5"/>
  <c r="Q40" i="5"/>
  <c r="B40" i="5"/>
  <c r="Q39" i="5"/>
  <c r="B39" i="5"/>
  <c r="Q38" i="5"/>
  <c r="B38" i="5"/>
  <c r="Q37" i="5"/>
  <c r="B37" i="5"/>
  <c r="Q36" i="5"/>
  <c r="B36" i="5"/>
  <c r="Q35" i="5"/>
  <c r="B35" i="5"/>
  <c r="Q34" i="5"/>
  <c r="B34" i="5"/>
  <c r="Q33" i="5"/>
  <c r="B33" i="5"/>
  <c r="Q32" i="5"/>
  <c r="B32" i="5"/>
  <c r="Q31" i="5"/>
  <c r="B31" i="5"/>
  <c r="Q30" i="5"/>
  <c r="B30" i="5"/>
  <c r="Q29" i="5"/>
  <c r="B29" i="5"/>
  <c r="Q28" i="5"/>
  <c r="B28" i="5"/>
  <c r="Q27" i="5"/>
  <c r="B27" i="5"/>
  <c r="Q26" i="5"/>
  <c r="B26" i="5"/>
  <c r="B25" i="5"/>
  <c r="B24" i="5"/>
  <c r="Q23" i="5"/>
  <c r="B23" i="5"/>
  <c r="Q22" i="5"/>
  <c r="B22" i="5"/>
  <c r="Q21" i="5"/>
  <c r="B21" i="5"/>
  <c r="Q20" i="5"/>
  <c r="B20" i="5"/>
  <c r="Q19" i="5"/>
  <c r="B19" i="5"/>
  <c r="Q18" i="5"/>
  <c r="B18" i="5"/>
  <c r="Q17" i="5"/>
  <c r="B17" i="5"/>
  <c r="Q16" i="5"/>
  <c r="B16" i="5"/>
  <c r="Q15" i="5"/>
  <c r="B15" i="5"/>
  <c r="Q14" i="5"/>
  <c r="B14" i="5"/>
  <c r="Q13" i="5"/>
  <c r="B13" i="5"/>
  <c r="Q12" i="5"/>
  <c r="B12" i="5"/>
  <c r="Q11" i="5"/>
  <c r="B11" i="5"/>
  <c r="Q10" i="5"/>
  <c r="B10" i="5"/>
  <c r="Q41" i="4"/>
  <c r="B41" i="4"/>
  <c r="Q40" i="4"/>
  <c r="B40" i="4"/>
  <c r="Q39" i="4"/>
  <c r="B39" i="4"/>
  <c r="Q38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Q31" i="4"/>
  <c r="B31" i="4"/>
  <c r="Q30" i="4"/>
  <c r="B30" i="4"/>
  <c r="Q29" i="4"/>
  <c r="B29" i="4"/>
  <c r="Q28" i="4"/>
  <c r="B28" i="4"/>
  <c r="Q27" i="4"/>
  <c r="B27" i="4"/>
  <c r="Q26" i="4"/>
  <c r="B26" i="4"/>
  <c r="B25" i="4"/>
  <c r="B24" i="4"/>
  <c r="Q23" i="4"/>
  <c r="B23" i="4"/>
  <c r="Q22" i="4"/>
  <c r="B22" i="4"/>
  <c r="Q21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41" i="3"/>
  <c r="B41" i="3"/>
  <c r="Q40" i="3"/>
  <c r="B40" i="3"/>
  <c r="Q39" i="3"/>
  <c r="B39" i="3"/>
  <c r="Q38" i="3"/>
  <c r="B38" i="3"/>
  <c r="Q37" i="3"/>
  <c r="B37" i="3"/>
  <c r="Q36" i="3"/>
  <c r="B36" i="3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B25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B25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42" i="4" l="1"/>
  <c r="Q43" i="4" s="1"/>
  <c r="Q42" i="2"/>
  <c r="Q43" i="2" s="1"/>
  <c r="Q42" i="6"/>
  <c r="Q43" i="6" s="1"/>
  <c r="Q42" i="5"/>
  <c r="Q43" i="5" s="1"/>
  <c r="Q42" i="3"/>
  <c r="Q43" i="3" s="1"/>
  <c r="Q23" i="1"/>
  <c r="M23" i="1"/>
  <c r="Q41" i="1" l="1"/>
  <c r="M41" i="1"/>
  <c r="B41" i="1"/>
  <c r="M25" i="1" l="1"/>
  <c r="Q40" i="1" l="1"/>
  <c r="M40" i="1" l="1"/>
  <c r="B40" i="1"/>
  <c r="Q39" i="1" l="1"/>
  <c r="M39" i="1"/>
  <c r="B39" i="1"/>
  <c r="Q38" i="1"/>
  <c r="M38" i="1"/>
  <c r="B38" i="1"/>
  <c r="Q37" i="1"/>
  <c r="M37" i="1"/>
  <c r="B37" i="1"/>
  <c r="Q36" i="1"/>
  <c r="M36" i="1"/>
  <c r="B36" i="1"/>
  <c r="Q30" i="1"/>
  <c r="M30" i="1"/>
  <c r="B30" i="1"/>
  <c r="Q35" i="1"/>
  <c r="M35" i="1"/>
  <c r="B35" i="1"/>
  <c r="Q34" i="1"/>
  <c r="M34" i="1"/>
  <c r="B34" i="1"/>
  <c r="Q33" i="1"/>
  <c r="M33" i="1"/>
  <c r="B33" i="1"/>
  <c r="Q31" i="1"/>
  <c r="M31" i="1"/>
  <c r="B31" i="1"/>
  <c r="Q32" i="1"/>
  <c r="M32" i="1"/>
  <c r="B32" i="1"/>
  <c r="Q29" i="1"/>
  <c r="M29" i="1"/>
  <c r="B29" i="1"/>
  <c r="Q28" i="1"/>
  <c r="M28" i="1"/>
  <c r="B28" i="1"/>
  <c r="Q27" i="1"/>
  <c r="M27" i="1"/>
  <c r="B27" i="1"/>
  <c r="Q26" i="1"/>
  <c r="M26" i="1"/>
  <c r="B26" i="1"/>
  <c r="B25" i="1"/>
  <c r="M24" i="1"/>
  <c r="B24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M11" i="1"/>
  <c r="M10" i="1"/>
  <c r="B11" i="1"/>
  <c r="B10" i="1"/>
  <c r="Q42" i="1" l="1"/>
  <c r="Q43" i="1" s="1"/>
</calcChain>
</file>

<file path=xl/sharedStrings.xml><?xml version="1.0" encoding="utf-8"?>
<sst xmlns="http://schemas.openxmlformats.org/spreadsheetml/2006/main" count="2123" uniqueCount="240">
  <si>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</si>
  <si>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</si>
  <si>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</si>
  <si>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</si>
  <si>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</si>
  <si>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</si>
  <si>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</si>
  <si>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</si>
  <si>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</si>
  <si>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</si>
  <si>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</si>
  <si>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</si>
  <si>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Pogo Connector</t>
  </si>
  <si>
    <t>SIM Card Connectors</t>
  </si>
  <si>
    <t>LED</t>
  </si>
  <si>
    <t>Resistor</t>
  </si>
  <si>
    <t>IC</t>
  </si>
  <si>
    <t>ESD Diode</t>
  </si>
  <si>
    <t>Designator</t>
  </si>
  <si>
    <t>C1</t>
  </si>
  <si>
    <t>C2</t>
  </si>
  <si>
    <t>C6</t>
  </si>
  <si>
    <t>C7</t>
  </si>
  <si>
    <t>C8, C9, C10</t>
  </si>
  <si>
    <t>C12, C14</t>
  </si>
  <si>
    <t>D1</t>
  </si>
  <si>
    <t>D2, D3</t>
  </si>
  <si>
    <t>D4</t>
  </si>
  <si>
    <t>D5</t>
  </si>
  <si>
    <t>F1</t>
  </si>
  <si>
    <t>J1</t>
  </si>
  <si>
    <t>J2</t>
  </si>
  <si>
    <t>J3</t>
  </si>
  <si>
    <t>LED1</t>
  </si>
  <si>
    <t>LED2</t>
  </si>
  <si>
    <t>Q1, Q2, Q3, Q4</t>
  </si>
  <si>
    <t>R3, R5</t>
  </si>
  <si>
    <t>R6, R9</t>
  </si>
  <si>
    <t>R7, R10, R13, R17</t>
  </si>
  <si>
    <t>R8, R11, R14, R18</t>
  </si>
  <si>
    <t>U1</t>
  </si>
  <si>
    <t>U2</t>
  </si>
  <si>
    <t>U5</t>
  </si>
  <si>
    <t>Description</t>
  </si>
  <si>
    <t>CAP CER 33PF 25V C0G/NP0 0402</t>
  </si>
  <si>
    <t>CAP CER 0.1UF 50V X5R 0603</t>
  </si>
  <si>
    <t>CAP CER 1UF 25V X5R 0603</t>
  </si>
  <si>
    <t>CAP CER 22PF 50V C0G/NPO 0402</t>
  </si>
  <si>
    <t>CAP CER 0.1UF 50V X7R 0402</t>
  </si>
  <si>
    <t>DIODE ZENER 5.1V 500MW SOD123</t>
  </si>
  <si>
    <t>35A@8/20us 15V 4.5V@Max Unidirectional DFN1006 TVS ROHS</t>
  </si>
  <si>
    <t>TVS DIODE 5VWM 6.3VC DSN0603-2</t>
  </si>
  <si>
    <t>16A 20V 7V 5V@Max Unidirectional SOT-23 TVS ROHS</t>
  </si>
  <si>
    <t>6V 500mA 40A 1A 0603 Resettable Fuses ROHS</t>
  </si>
  <si>
    <t>PCI Express Mini Card (Mini PCIe)</t>
  </si>
  <si>
    <t>Pogo Pad 2.5mm 4 Pin</t>
  </si>
  <si>
    <t>Copper Alloy Self bomb Gold plating 1.25mm Deck -40℃~+85℃ 260℃ NanoSIM SMD SIM Card Connectors ROHS</t>
  </si>
  <si>
    <t>Yellow-Green 572nm LED Indication - Discrete 2.05V 0603 (1608 Metric)</t>
  </si>
  <si>
    <t>Red 632nm LED Indication - Discrete 2.05V 0603 (1608 Metric)</t>
  </si>
  <si>
    <t>40V 100mW 100@10mA,1V 200mA 300MHz 300mV@50mA,5mA NPN -55℃~+150℃@(Tj) SOT-723 Bipolar Transistors - BJT ROHS</t>
  </si>
  <si>
    <t>RES SMD 0R, 1%, 0.1W, 0603</t>
  </si>
  <si>
    <t>RES 22 OHM 1% 1/10W 0603</t>
  </si>
  <si>
    <t>RES 180 OHM 1% 1/10W 0603</t>
  </si>
  <si>
    <t>RES SMD 4.7K OHM 5% 1/10W 0603</t>
  </si>
  <si>
    <t>RES 47K OHM 5% 1/10W 0603</t>
  </si>
  <si>
    <t>RES SMD 10K OHM 5% 1/10W 0603</t>
  </si>
  <si>
    <t>SMD,30x30mm 2G/3G/4G/5G Modules ROHS</t>
  </si>
  <si>
    <t>IC SWITCH 4PDT 16MLP</t>
  </si>
  <si>
    <t>15V 5 Unidirectional 5V SOT-363 ESD Protection Devices ROHS</t>
  </si>
  <si>
    <t>IC TRNSLTR BIDIRECTIONAL US8</t>
  </si>
  <si>
    <t>Footprint</t>
  </si>
  <si>
    <t>Cap-0603</t>
  </si>
  <si>
    <t>Cap-0402</t>
  </si>
  <si>
    <t>cap-0402</t>
  </si>
  <si>
    <t>SOD-123</t>
  </si>
  <si>
    <t>DFN1006-2L_</t>
  </si>
  <si>
    <t>DSN0603-2</t>
  </si>
  <si>
    <t>Sot-23</t>
  </si>
  <si>
    <t>Fuse-0603</t>
  </si>
  <si>
    <t>XKNANO-113</t>
  </si>
  <si>
    <t>LED-0603</t>
  </si>
  <si>
    <t>SOT-723</t>
  </si>
  <si>
    <t>Res-0603</t>
  </si>
  <si>
    <t>SIM7500E</t>
  </si>
  <si>
    <t>16-MLP (3x3)</t>
  </si>
  <si>
    <t>SOT-363</t>
  </si>
  <si>
    <t>VSSOP-8(2x2.3x0.5)</t>
  </si>
  <si>
    <t>Manufacturer Part Number</t>
  </si>
  <si>
    <t>GRM1555C1E330JA01D</t>
  </si>
  <si>
    <t>CC0603KRX5R9BB104</t>
  </si>
  <si>
    <t>CC0603KRX5R8BB105</t>
  </si>
  <si>
    <t>CC0402JRNPO9BN220</t>
  </si>
  <si>
    <t>C1005X7R1H104KT000F</t>
  </si>
  <si>
    <t>MMSZ5231BT1G</t>
  </si>
  <si>
    <t>ESD5651N-2/TR</t>
  </si>
  <si>
    <t>PESD5V0H1BSFYL</t>
  </si>
  <si>
    <t>ESD5302F-3/TR</t>
  </si>
  <si>
    <t>SMD0603-050</t>
  </si>
  <si>
    <t>POGO Connector 4 Pin</t>
  </si>
  <si>
    <t>19-21/G6C-FM1N2B/3T</t>
  </si>
  <si>
    <t>19-21/R7C-AK1L2BY/3T</t>
  </si>
  <si>
    <t>MMBT3904M</t>
  </si>
  <si>
    <t>RC0603FR-070RL</t>
  </si>
  <si>
    <t>RC0603FR-0722RL</t>
  </si>
  <si>
    <t>RC0603FR-07180RL</t>
  </si>
  <si>
    <t>RC0603JR-074K7L</t>
  </si>
  <si>
    <t>RC0603JR-0747KL</t>
  </si>
  <si>
    <t>AC0603JR-0710KL</t>
  </si>
  <si>
    <t>FSA2567MPX</t>
  </si>
  <si>
    <t>SMF05CT1G-ES</t>
  </si>
  <si>
    <t>TXB0102DCUT</t>
  </si>
  <si>
    <t>Manufacturer</t>
  </si>
  <si>
    <t>Murata</t>
  </si>
  <si>
    <t>Yageo</t>
  </si>
  <si>
    <t>TDK</t>
  </si>
  <si>
    <t>ON Semiconductor</t>
  </si>
  <si>
    <t>WILLSEMI(Will Semicon)</t>
  </si>
  <si>
    <t>Nexperia</t>
  </si>
  <si>
    <t>WILLSEMI</t>
  </si>
  <si>
    <t>TECHFUSE</t>
  </si>
  <si>
    <t>XKB Connectivity</t>
  </si>
  <si>
    <t>Everlight Elec</t>
  </si>
  <si>
    <t>TECH PUBLIC</t>
  </si>
  <si>
    <t>SIMCom</t>
  </si>
  <si>
    <t>ON Semiconductor / Fairchild</t>
  </si>
  <si>
    <t>ElecSuper</t>
  </si>
  <si>
    <t>Texas Instruments</t>
  </si>
  <si>
    <t>LCSC Part Number</t>
  </si>
  <si>
    <t>C14664</t>
  </si>
  <si>
    <t>C106203</t>
  </si>
  <si>
    <t>C361198</t>
  </si>
  <si>
    <t>C239784</t>
  </si>
  <si>
    <t>C477989</t>
  </si>
  <si>
    <t>C239643</t>
  </si>
  <si>
    <t>C69679</t>
  </si>
  <si>
    <t>C381071</t>
  </si>
  <si>
    <t>C93689</t>
  </si>
  <si>
    <t>C1322287</t>
  </si>
  <si>
    <t>C2923360</t>
  </si>
  <si>
    <t>C100044</t>
  </si>
  <si>
    <t>C107701</t>
  </si>
  <si>
    <t>C137786</t>
  </si>
  <si>
    <t>C105428</t>
  </si>
  <si>
    <t>C127447</t>
  </si>
  <si>
    <t>C140867</t>
  </si>
  <si>
    <t>C126259</t>
  </si>
  <si>
    <t>C512961</t>
  </si>
  <si>
    <t>C5180312</t>
  </si>
  <si>
    <t>C2677366</t>
  </si>
  <si>
    <t>33pF</t>
  </si>
  <si>
    <t>0.1uF</t>
  </si>
  <si>
    <t>220uF</t>
  </si>
  <si>
    <t>1uF</t>
  </si>
  <si>
    <t>22PF</t>
  </si>
  <si>
    <t>100nF</t>
  </si>
  <si>
    <t>0R</t>
  </si>
  <si>
    <t>22R</t>
  </si>
  <si>
    <t>180R</t>
  </si>
  <si>
    <t>4.7K</t>
  </si>
  <si>
    <t>47K</t>
  </si>
  <si>
    <t>10K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</si>
  <si>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</si>
  <si>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</si>
  <si>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</si>
  <si>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</si>
  <si>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</si>
  <si>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</si>
  <si>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</si>
  <si>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</si>
  <si>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</si>
  <si>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</si>
  <si>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Custom</t>
  </si>
  <si>
    <t>-</t>
  </si>
  <si>
    <t>LCSC</t>
  </si>
  <si>
    <t>0402N330J250CT</t>
  </si>
  <si>
    <t>C458864</t>
  </si>
  <si>
    <t>CC0603KRX7R9BB104</t>
  </si>
  <si>
    <t>C14663</t>
  </si>
  <si>
    <t>SZMMSZ5231BT1G</t>
  </si>
  <si>
    <t>C231290</t>
  </si>
  <si>
    <t>PCIE SMD PAD</t>
  </si>
  <si>
    <t xml:space="preserve">Not Available in LCSC </t>
  </si>
  <si>
    <t>Peripheral</t>
  </si>
  <si>
    <t>LTE_MODULE_v2.0</t>
  </si>
  <si>
    <t>HJ Tech</t>
  </si>
  <si>
    <t>CAP TANT 220UF 20% 6.3V SMD</t>
  </si>
  <si>
    <t>Case-B</t>
  </si>
  <si>
    <t>TLJB227M006R0500</t>
  </si>
  <si>
    <t>Kyocera AVX</t>
  </si>
  <si>
    <t>C30242</t>
  </si>
  <si>
    <t>Bill of Materials for Project [LTE_MODULE_v2.0.]</t>
  </si>
  <si>
    <t>C5, C11, C13, C15, C16, C17</t>
  </si>
  <si>
    <t>Antenna</t>
  </si>
  <si>
    <t>ANT1</t>
  </si>
  <si>
    <t>RF ANT 1.575GHZ CHIP SOLDER SMD</t>
  </si>
  <si>
    <t>W3011</t>
  </si>
  <si>
    <t>Pulse</t>
  </si>
  <si>
    <t>CAP CER 2.2PF 50V C0G/NPO 0603</t>
  </si>
  <si>
    <t>CC0603CRNPO9BN2R2</t>
  </si>
  <si>
    <t>C282246</t>
  </si>
  <si>
    <t>2.2pF</t>
  </si>
  <si>
    <t>J4, J5</t>
  </si>
  <si>
    <t>U3,U4</t>
  </si>
  <si>
    <t>Transistor</t>
  </si>
  <si>
    <t>Digikey</t>
  </si>
  <si>
    <t>R1, R2, R12</t>
  </si>
  <si>
    <t>R4, R19</t>
  </si>
  <si>
    <t>2 5dBi 4GAntenna Vertical 2.4GHz 10W - Antennas ROHS</t>
  </si>
  <si>
    <t>801-4G</t>
  </si>
  <si>
    <t xml:space="preserve">DreamLNK </t>
  </si>
  <si>
    <t>C779858</t>
  </si>
  <si>
    <t>BWGSMJWX105-7KJ</t>
  </si>
  <si>
    <t>BAT WIRELESS</t>
  </si>
  <si>
    <t>1.8 3dBi Vertical 50W - Antennas ROHS</t>
  </si>
  <si>
    <t>C497021</t>
  </si>
  <si>
    <t>SMA Connector</t>
  </si>
  <si>
    <t>1 Inner bore SMA Board Edge Bend 11mm 5.35mm Plugin RF Connectors / Coaxial Connectors ROHS</t>
  </si>
  <si>
    <t>HJ-SMA175</t>
  </si>
  <si>
    <t>C1509213</t>
  </si>
  <si>
    <t>Quantity (20 Boards)</t>
  </si>
  <si>
    <t>MOQ (20 Boards)</t>
  </si>
  <si>
    <t>Unit Cost (20 Boards)</t>
  </si>
  <si>
    <t>Total Cost (20 Boards)</t>
  </si>
  <si>
    <t>Quantity (50 Boards)</t>
  </si>
  <si>
    <t>MOQ (50 Boards)</t>
  </si>
  <si>
    <t>Unit Cost (50 Boards)</t>
  </si>
  <si>
    <t>Total Cost (50 Boards)</t>
  </si>
  <si>
    <t>Quantity (100 Boards)</t>
  </si>
  <si>
    <t>MOQ (100 Boards)</t>
  </si>
  <si>
    <t>Unit Cost (100 Boards)</t>
  </si>
  <si>
    <t>Total Cost (100 Boards)</t>
  </si>
  <si>
    <t>Quantity (500 Boards)</t>
  </si>
  <si>
    <t>MOQ (500 Boards)</t>
  </si>
  <si>
    <t>Unit Cost (500 Boards)</t>
  </si>
  <si>
    <t>Total Cost (500 Boards)</t>
  </si>
  <si>
    <t>Quantity (1000 Boards)</t>
  </si>
  <si>
    <t>MOQ (1000 Boards)</t>
  </si>
  <si>
    <t>Unit Cost (1000 Boards)</t>
  </si>
  <si>
    <t>Total Cost (1000 Boards)</t>
  </si>
  <si>
    <t>Chipsmall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</si>
</sst>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4" borderId="17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597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597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597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597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597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IM-Card-Connectors_XKB-Connectivity-XKNANO-113_C381071.html" TargetMode="External"/><Relationship Id="rId13" Type="http://schemas.openxmlformats.org/officeDocument/2006/relationships/hyperlink" Target="https://www.lcsc.com/product-detail/Chip-Resistor-Surface-Mount_YAGEO-RC0603FR-0722RL_C107701.html" TargetMode="External"/><Relationship Id="rId18" Type="http://schemas.openxmlformats.org/officeDocument/2006/relationships/hyperlink" Target="https://www.lcsc.com/product-detail/Analog-Switches-Multiplexers_onsemi-FSA2567MPX_C512961.html" TargetMode="External"/><Relationship Id="rId26" Type="http://schemas.openxmlformats.org/officeDocument/2006/relationships/hyperlink" Target="https://www.lcsc.com/product-detail/Multilayer-Ceramic-Capacitors-MLCC-SMD-SMT_YAGEO-CC0603CRNPO9BN2R2_C282246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21" Type="http://schemas.openxmlformats.org/officeDocument/2006/relationships/hyperlink" Target="https://www.lcsc.com/product-detail/Multilayer-Ceramic-Capacitors-MLCC-SMD-SMT_Walsin-Tech-Corp-0402N330J250CT_C458864.html" TargetMode="External"/><Relationship Id="rId7" Type="http://schemas.openxmlformats.org/officeDocument/2006/relationships/hyperlink" Target="https://www.lcsc.com/product-detail/Resettable-Fuses_TECHFUSE-SMD0603-050_C69679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AC0603JR-0710KL_C140867.html" TargetMode="External"/><Relationship Id="rId25" Type="http://schemas.openxmlformats.org/officeDocument/2006/relationships/hyperlink" Target="https://www.digikey.com/en/products/detail/pulse-electronics/W3011/3025804" TargetMode="External"/><Relationship Id="rId2" Type="http://schemas.openxmlformats.org/officeDocument/2006/relationships/hyperlink" Target="https://www.lcsc.com/product-detail/Multilayer-Ceramic-Capacitors-MLCC-SMD-SMT_YAGEO-CC0402JRNPO9BN220_C106203.html" TargetMode="External"/><Relationship Id="rId16" Type="http://schemas.openxmlformats.org/officeDocument/2006/relationships/hyperlink" Target="https://www.lcsc.com/product-detail/Chip-Resistor-Surface-Mount_YAGEO-RC0603JR-0747KL_C127447.html" TargetMode="External"/><Relationship Id="rId20" Type="http://schemas.openxmlformats.org/officeDocument/2006/relationships/hyperlink" Target="https://www.lcsc.com/product-detail/Translators-Level-Shifters_Texas-Instruments-TXB0102DCUT_C2677366.html" TargetMode="External"/><Relationship Id="rId29" Type="http://schemas.openxmlformats.org/officeDocument/2006/relationships/hyperlink" Target="https://www.lcsc.com/product-detail/RF-Connectors-Coaxial-Connectors_HJ-Tech-HJ-SMA175_C150921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TVS_WILLSEMI-Will-Semicon-ESD5302F-3-TR_C239643.html" TargetMode="External"/><Relationship Id="rId11" Type="http://schemas.openxmlformats.org/officeDocument/2006/relationships/hyperlink" Target="https://www.lcsc.com/product-detail/Bipolar-Transistors-BJT_TECH-PUBLIC-MMBT3904M_C2923360.html" TargetMode="External"/><Relationship Id="rId24" Type="http://schemas.openxmlformats.org/officeDocument/2006/relationships/hyperlink" Target="https://www.lcsc.com/product-detail/Tantalum-Capacitors_Kyocera-AVX-TLJB227M006R0500_C30242.html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www.lcsc.com/product-detail/ESD-Protection-Devices_Nexperia-PESD5V0H1BSF_C477989.html" TargetMode="External"/><Relationship Id="rId15" Type="http://schemas.openxmlformats.org/officeDocument/2006/relationships/hyperlink" Target="https://www.lcsc.com/product-detail/Chip-Resistor-Surface-Mount_YAGEO-RC0603JR-074K7L_C105428.html" TargetMode="External"/><Relationship Id="rId23" Type="http://schemas.openxmlformats.org/officeDocument/2006/relationships/hyperlink" Target="https://www.lcsc.com/product-detail/Zener-Diodes_onsemi-SZMMSZ5231BT1G_C231290.html" TargetMode="External"/><Relationship Id="rId28" Type="http://schemas.openxmlformats.org/officeDocument/2006/relationships/hyperlink" Target="https://www.lcsc.com/product-detail/Antennas_BAT-WIRELESS-BWGSMJWX105-7KJ_C497021.html" TargetMode="External"/><Relationship Id="rId10" Type="http://schemas.openxmlformats.org/officeDocument/2006/relationships/hyperlink" Target="https://www.lcsc.com/product-detail/Light-Emitting-Diodes-LED_Everlight-Elec-19-21-R7C-AK1L2BY-3T_C1322287.html" TargetMode="External"/><Relationship Id="rId19" Type="http://schemas.openxmlformats.org/officeDocument/2006/relationships/hyperlink" Target="https://www.lcsc.com/product-detail/ESD-Protection-Devices_ElecSuper-SMF05CT1G-ES_C5180312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TVS_WILLSEMI-Will-Semicon-ESD5651N-2-TR_C239784.html" TargetMode="External"/><Relationship Id="rId9" Type="http://schemas.openxmlformats.org/officeDocument/2006/relationships/hyperlink" Target="https://www.lcsc.com/product-detail/Light-Emitting-Diodes-LED_Everlight-Elec-19-21-G6C-FM1N2B-3T_C93689.html" TargetMode="External"/><Relationship Id="rId14" Type="http://schemas.openxmlformats.org/officeDocument/2006/relationships/hyperlink" Target="https://www.lcsc.com/product-detail/Chip-Resistor-Surface-Mount_YAGEO-RC0603FR-07180RL_C137786.html" TargetMode="External"/><Relationship Id="rId22" Type="http://schemas.openxmlformats.org/officeDocument/2006/relationships/hyperlink" Target="https://www.lcsc.com/product-detail/Multilayer-Ceramic-Capacitors-MLCC-SMD-SMT_YAGEO-CC0603KRX7R9BB104_C14663.html" TargetMode="External"/><Relationship Id="rId27" Type="http://schemas.openxmlformats.org/officeDocument/2006/relationships/hyperlink" Target="https://www.lcsc.com/product-detail/Antennas_DreamLNK-801-4G_C779858.html" TargetMode="External"/><Relationship Id="rId30" Type="http://schemas.openxmlformats.org/officeDocument/2006/relationships/hyperlink" Target="https://www.chipsmall.com/Products/SIM7500E_SIMCom-Wireless-Solutions_20290450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IM-Card-Connectors_XKB-Connectivity-XKNANO-113_C381071.html" TargetMode="External"/><Relationship Id="rId13" Type="http://schemas.openxmlformats.org/officeDocument/2006/relationships/hyperlink" Target="https://www.lcsc.com/product-detail/Chip-Resistor-Surface-Mount_YAGEO-RC0603FR-0722RL_C107701.html" TargetMode="External"/><Relationship Id="rId18" Type="http://schemas.openxmlformats.org/officeDocument/2006/relationships/hyperlink" Target="https://www.lcsc.com/product-detail/Analog-Switches-Multiplexers_onsemi-FSA2567MPX_C512961.html" TargetMode="External"/><Relationship Id="rId26" Type="http://schemas.openxmlformats.org/officeDocument/2006/relationships/hyperlink" Target="https://www.lcsc.com/product-detail/Multilayer-Ceramic-Capacitors-MLCC-SMD-SMT_YAGEO-CC0603CRNPO9BN2R2_C282246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21" Type="http://schemas.openxmlformats.org/officeDocument/2006/relationships/hyperlink" Target="https://www.lcsc.com/product-detail/Multilayer-Ceramic-Capacitors-MLCC-SMD-SMT_Walsin-Tech-Corp-0402N330J250CT_C458864.html" TargetMode="External"/><Relationship Id="rId7" Type="http://schemas.openxmlformats.org/officeDocument/2006/relationships/hyperlink" Target="https://www.lcsc.com/product-detail/Resettable-Fuses_TECHFUSE-SMD0603-050_C69679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AC0603JR-0710KL_C140867.html" TargetMode="External"/><Relationship Id="rId25" Type="http://schemas.openxmlformats.org/officeDocument/2006/relationships/hyperlink" Target="https://www.digikey.com/en/products/detail/pulse-electronics/W3011/3025804" TargetMode="External"/><Relationship Id="rId2" Type="http://schemas.openxmlformats.org/officeDocument/2006/relationships/hyperlink" Target="https://www.lcsc.com/product-detail/Multilayer-Ceramic-Capacitors-MLCC-SMD-SMT_YAGEO-CC0402JRNPO9BN220_C106203.html" TargetMode="External"/><Relationship Id="rId16" Type="http://schemas.openxmlformats.org/officeDocument/2006/relationships/hyperlink" Target="https://www.lcsc.com/product-detail/Chip-Resistor-Surface-Mount_YAGEO-RC0603JR-0747KL_C127447.html" TargetMode="External"/><Relationship Id="rId20" Type="http://schemas.openxmlformats.org/officeDocument/2006/relationships/hyperlink" Target="https://www.lcsc.com/product-detail/Translators-Level-Shifters_Texas-Instruments-TXB0102DCUT_C2677366.html" TargetMode="External"/><Relationship Id="rId29" Type="http://schemas.openxmlformats.org/officeDocument/2006/relationships/hyperlink" Target="https://www.lcsc.com/product-detail/RF-Connectors-Coaxial-Connectors_HJ-Tech-HJ-SMA175_C150921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TVS_WILLSEMI-Will-Semicon-ESD5302F-3-TR_C239643.html" TargetMode="External"/><Relationship Id="rId11" Type="http://schemas.openxmlformats.org/officeDocument/2006/relationships/hyperlink" Target="https://www.lcsc.com/product-detail/Bipolar-Transistors-BJT_TECH-PUBLIC-MMBT3904M_C2923360.html" TargetMode="External"/><Relationship Id="rId24" Type="http://schemas.openxmlformats.org/officeDocument/2006/relationships/hyperlink" Target="https://www.lcsc.com/product-detail/Tantalum-Capacitors_Kyocera-AVX-TLJB227M006R0500_C30242.html" TargetMode="External"/><Relationship Id="rId5" Type="http://schemas.openxmlformats.org/officeDocument/2006/relationships/hyperlink" Target="https://www.lcsc.com/product-detail/ESD-Protection-Devices_Nexperia-PESD5V0H1BSF_C477989.html" TargetMode="External"/><Relationship Id="rId15" Type="http://schemas.openxmlformats.org/officeDocument/2006/relationships/hyperlink" Target="https://www.lcsc.com/product-detail/Chip-Resistor-Surface-Mount_YAGEO-RC0603JR-074K7L_C105428.html" TargetMode="External"/><Relationship Id="rId23" Type="http://schemas.openxmlformats.org/officeDocument/2006/relationships/hyperlink" Target="https://www.lcsc.com/product-detail/Zener-Diodes_onsemi-SZMMSZ5231BT1G_C231290.html" TargetMode="External"/><Relationship Id="rId28" Type="http://schemas.openxmlformats.org/officeDocument/2006/relationships/hyperlink" Target="https://www.lcsc.com/product-detail/Antennas_BAT-WIRELESS-BWGSMJWX105-7KJ_C497021.html" TargetMode="External"/><Relationship Id="rId10" Type="http://schemas.openxmlformats.org/officeDocument/2006/relationships/hyperlink" Target="https://www.lcsc.com/product-detail/Light-Emitting-Diodes-LED_Everlight-Elec-19-21-R7C-AK1L2BY-3T_C1322287.html" TargetMode="External"/><Relationship Id="rId19" Type="http://schemas.openxmlformats.org/officeDocument/2006/relationships/hyperlink" Target="https://www.lcsc.com/product-detail/ESD-Protection-Devices_ElecSuper-SMF05CT1G-ES_C5180312.html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https://www.lcsc.com/product-detail/TVS_WILLSEMI-Will-Semicon-ESD5651N-2-TR_C239784.html" TargetMode="External"/><Relationship Id="rId9" Type="http://schemas.openxmlformats.org/officeDocument/2006/relationships/hyperlink" Target="https://www.lcsc.com/product-detail/Light-Emitting-Diodes-LED_Everlight-Elec-19-21-G6C-FM1N2B-3T_C93689.html" TargetMode="External"/><Relationship Id="rId14" Type="http://schemas.openxmlformats.org/officeDocument/2006/relationships/hyperlink" Target="https://www.lcsc.com/product-detail/Chip-Resistor-Surface-Mount_YAGEO-RC0603FR-07180RL_C137786.html" TargetMode="External"/><Relationship Id="rId22" Type="http://schemas.openxmlformats.org/officeDocument/2006/relationships/hyperlink" Target="https://www.lcsc.com/product-detail/Multilayer-Ceramic-Capacitors-MLCC-SMD-SMT_YAGEO-CC0603KRX7R9BB104_C14663.html" TargetMode="External"/><Relationship Id="rId27" Type="http://schemas.openxmlformats.org/officeDocument/2006/relationships/hyperlink" Target="https://www.lcsc.com/product-detail/Antennas_DreamLNK-801-4G_C779858.html" TargetMode="External"/><Relationship Id="rId30" Type="http://schemas.openxmlformats.org/officeDocument/2006/relationships/hyperlink" Target="https://www.chipsmall.com/Products/SIM7500E_SIMCom-Wireless-Solutions_20290450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IM-Card-Connectors_XKB-Connectivity-XKNANO-113_C381071.html" TargetMode="External"/><Relationship Id="rId13" Type="http://schemas.openxmlformats.org/officeDocument/2006/relationships/hyperlink" Target="https://www.lcsc.com/product-detail/Chip-Resistor-Surface-Mount_YAGEO-RC0603FR-0722RL_C107701.html" TargetMode="External"/><Relationship Id="rId18" Type="http://schemas.openxmlformats.org/officeDocument/2006/relationships/hyperlink" Target="https://www.lcsc.com/product-detail/Analog-Switches-Multiplexers_onsemi-FSA2567MPX_C512961.html" TargetMode="External"/><Relationship Id="rId26" Type="http://schemas.openxmlformats.org/officeDocument/2006/relationships/hyperlink" Target="https://www.lcsc.com/product-detail/Multilayer-Ceramic-Capacitors-MLCC-SMD-SMT_YAGEO-CC0603CRNPO9BN2R2_C282246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21" Type="http://schemas.openxmlformats.org/officeDocument/2006/relationships/hyperlink" Target="https://www.lcsc.com/product-detail/Multilayer-Ceramic-Capacitors-MLCC-SMD-SMT_Walsin-Tech-Corp-0402N330J250CT_C458864.html" TargetMode="External"/><Relationship Id="rId7" Type="http://schemas.openxmlformats.org/officeDocument/2006/relationships/hyperlink" Target="https://www.lcsc.com/product-detail/Resettable-Fuses_TECHFUSE-SMD0603-050_C69679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AC0603JR-0710KL_C140867.html" TargetMode="External"/><Relationship Id="rId25" Type="http://schemas.openxmlformats.org/officeDocument/2006/relationships/hyperlink" Target="https://www.digikey.com/en/products/detail/pulse-electronics/W3011/3025804" TargetMode="External"/><Relationship Id="rId2" Type="http://schemas.openxmlformats.org/officeDocument/2006/relationships/hyperlink" Target="https://www.lcsc.com/product-detail/Multilayer-Ceramic-Capacitors-MLCC-SMD-SMT_YAGEO-CC0402JRNPO9BN220_C106203.html" TargetMode="External"/><Relationship Id="rId16" Type="http://schemas.openxmlformats.org/officeDocument/2006/relationships/hyperlink" Target="https://www.lcsc.com/product-detail/Chip-Resistor-Surface-Mount_YAGEO-RC0603JR-0747KL_C127447.html" TargetMode="External"/><Relationship Id="rId20" Type="http://schemas.openxmlformats.org/officeDocument/2006/relationships/hyperlink" Target="https://www.lcsc.com/product-detail/Translators-Level-Shifters_Texas-Instruments-TXB0102DCUT_C2677366.html" TargetMode="External"/><Relationship Id="rId29" Type="http://schemas.openxmlformats.org/officeDocument/2006/relationships/hyperlink" Target="https://www.lcsc.com/product-detail/RF-Connectors-Coaxial-Connectors_HJ-Tech-HJ-SMA175_C150921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TVS_WILLSEMI-Will-Semicon-ESD5302F-3-TR_C239643.html" TargetMode="External"/><Relationship Id="rId11" Type="http://schemas.openxmlformats.org/officeDocument/2006/relationships/hyperlink" Target="https://www.lcsc.com/product-detail/Bipolar-Transistors-BJT_TECH-PUBLIC-MMBT3904M_C2923360.html" TargetMode="External"/><Relationship Id="rId24" Type="http://schemas.openxmlformats.org/officeDocument/2006/relationships/hyperlink" Target="https://www.lcsc.com/product-detail/Tantalum-Capacitors_Kyocera-AVX-TLJB227M006R0500_C30242.html" TargetMode="External"/><Relationship Id="rId5" Type="http://schemas.openxmlformats.org/officeDocument/2006/relationships/hyperlink" Target="https://www.lcsc.com/product-detail/ESD-Protection-Devices_Nexperia-PESD5V0H1BSF_C477989.html" TargetMode="External"/><Relationship Id="rId15" Type="http://schemas.openxmlformats.org/officeDocument/2006/relationships/hyperlink" Target="https://www.lcsc.com/product-detail/Chip-Resistor-Surface-Mount_YAGEO-RC0603JR-074K7L_C105428.html" TargetMode="External"/><Relationship Id="rId23" Type="http://schemas.openxmlformats.org/officeDocument/2006/relationships/hyperlink" Target="https://www.lcsc.com/product-detail/Zener-Diodes_onsemi-SZMMSZ5231BT1G_C231290.html" TargetMode="External"/><Relationship Id="rId28" Type="http://schemas.openxmlformats.org/officeDocument/2006/relationships/hyperlink" Target="https://www.lcsc.com/product-detail/Antennas_BAT-WIRELESS-BWGSMJWX105-7KJ_C497021.html" TargetMode="External"/><Relationship Id="rId10" Type="http://schemas.openxmlformats.org/officeDocument/2006/relationships/hyperlink" Target="https://www.lcsc.com/product-detail/Light-Emitting-Diodes-LED_Everlight-Elec-19-21-R7C-AK1L2BY-3T_C1322287.html" TargetMode="External"/><Relationship Id="rId19" Type="http://schemas.openxmlformats.org/officeDocument/2006/relationships/hyperlink" Target="https://www.lcsc.com/product-detail/ESD-Protection-Devices_ElecSuper-SMF05CT1G-ES_C5180312.html" TargetMode="External"/><Relationship Id="rId31" Type="http://schemas.openxmlformats.org/officeDocument/2006/relationships/drawing" Target="../drawings/drawing3.xml"/><Relationship Id="rId4" Type="http://schemas.openxmlformats.org/officeDocument/2006/relationships/hyperlink" Target="https://www.lcsc.com/product-detail/TVS_WILLSEMI-Will-Semicon-ESD5651N-2-TR_C239784.html" TargetMode="External"/><Relationship Id="rId9" Type="http://schemas.openxmlformats.org/officeDocument/2006/relationships/hyperlink" Target="https://www.lcsc.com/product-detail/Light-Emitting-Diodes-LED_Everlight-Elec-19-21-G6C-FM1N2B-3T_C93689.html" TargetMode="External"/><Relationship Id="rId14" Type="http://schemas.openxmlformats.org/officeDocument/2006/relationships/hyperlink" Target="https://www.lcsc.com/product-detail/Chip-Resistor-Surface-Mount_YAGEO-RC0603FR-07180RL_C137786.html" TargetMode="External"/><Relationship Id="rId22" Type="http://schemas.openxmlformats.org/officeDocument/2006/relationships/hyperlink" Target="https://www.lcsc.com/product-detail/Multilayer-Ceramic-Capacitors-MLCC-SMD-SMT_YAGEO-CC0603KRX7R9BB104_C14663.html" TargetMode="External"/><Relationship Id="rId27" Type="http://schemas.openxmlformats.org/officeDocument/2006/relationships/hyperlink" Target="https://www.lcsc.com/product-detail/Antennas_DreamLNK-801-4G_C779858.html" TargetMode="External"/><Relationship Id="rId30" Type="http://schemas.openxmlformats.org/officeDocument/2006/relationships/hyperlink" Target="https://www.chipsmall.com/Products/SIM7500E_SIMCom-Wireless-Solutions_20290450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IM-Card-Connectors_XKB-Connectivity-XKNANO-113_C381071.html" TargetMode="External"/><Relationship Id="rId13" Type="http://schemas.openxmlformats.org/officeDocument/2006/relationships/hyperlink" Target="https://www.lcsc.com/product-detail/Chip-Resistor-Surface-Mount_YAGEO-RC0603FR-0722RL_C107701.html" TargetMode="External"/><Relationship Id="rId18" Type="http://schemas.openxmlformats.org/officeDocument/2006/relationships/hyperlink" Target="https://www.lcsc.com/product-detail/Analog-Switches-Multiplexers_onsemi-FSA2567MPX_C512961.html" TargetMode="External"/><Relationship Id="rId26" Type="http://schemas.openxmlformats.org/officeDocument/2006/relationships/hyperlink" Target="https://www.lcsc.com/product-detail/Multilayer-Ceramic-Capacitors-MLCC-SMD-SMT_YAGEO-CC0603CRNPO9BN2R2_C282246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21" Type="http://schemas.openxmlformats.org/officeDocument/2006/relationships/hyperlink" Target="https://www.lcsc.com/product-detail/Multilayer-Ceramic-Capacitors-MLCC-SMD-SMT_Walsin-Tech-Corp-0402N330J250CT_C458864.html" TargetMode="External"/><Relationship Id="rId7" Type="http://schemas.openxmlformats.org/officeDocument/2006/relationships/hyperlink" Target="https://www.lcsc.com/product-detail/Resettable-Fuses_TECHFUSE-SMD0603-050_C69679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AC0603JR-0710KL_C140867.html" TargetMode="External"/><Relationship Id="rId25" Type="http://schemas.openxmlformats.org/officeDocument/2006/relationships/hyperlink" Target="https://www.digikey.com/en/products/detail/pulse-electronics/W3011/3025804" TargetMode="External"/><Relationship Id="rId2" Type="http://schemas.openxmlformats.org/officeDocument/2006/relationships/hyperlink" Target="https://www.lcsc.com/product-detail/Multilayer-Ceramic-Capacitors-MLCC-SMD-SMT_YAGEO-CC0402JRNPO9BN220_C106203.html" TargetMode="External"/><Relationship Id="rId16" Type="http://schemas.openxmlformats.org/officeDocument/2006/relationships/hyperlink" Target="https://www.lcsc.com/product-detail/Chip-Resistor-Surface-Mount_YAGEO-RC0603JR-0747KL_C127447.html" TargetMode="External"/><Relationship Id="rId20" Type="http://schemas.openxmlformats.org/officeDocument/2006/relationships/hyperlink" Target="https://www.lcsc.com/product-detail/Translators-Level-Shifters_Texas-Instruments-TXB0102DCUT_C2677366.html" TargetMode="External"/><Relationship Id="rId29" Type="http://schemas.openxmlformats.org/officeDocument/2006/relationships/hyperlink" Target="https://www.lcsc.com/product-detail/RF-Connectors-Coaxial-Connectors_HJ-Tech-HJ-SMA175_C150921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TVS_WILLSEMI-Will-Semicon-ESD5302F-3-TR_C239643.html" TargetMode="External"/><Relationship Id="rId11" Type="http://schemas.openxmlformats.org/officeDocument/2006/relationships/hyperlink" Target="https://www.lcsc.com/product-detail/Bipolar-Transistors-BJT_TECH-PUBLIC-MMBT3904M_C2923360.html" TargetMode="External"/><Relationship Id="rId24" Type="http://schemas.openxmlformats.org/officeDocument/2006/relationships/hyperlink" Target="https://www.lcsc.com/product-detail/Tantalum-Capacitors_Kyocera-AVX-TLJB227M006R0500_C30242.html" TargetMode="External"/><Relationship Id="rId5" Type="http://schemas.openxmlformats.org/officeDocument/2006/relationships/hyperlink" Target="https://www.lcsc.com/product-detail/ESD-Protection-Devices_Nexperia-PESD5V0H1BSF_C477989.html" TargetMode="External"/><Relationship Id="rId15" Type="http://schemas.openxmlformats.org/officeDocument/2006/relationships/hyperlink" Target="https://www.lcsc.com/product-detail/Chip-Resistor-Surface-Mount_YAGEO-RC0603JR-074K7L_C105428.html" TargetMode="External"/><Relationship Id="rId23" Type="http://schemas.openxmlformats.org/officeDocument/2006/relationships/hyperlink" Target="https://www.lcsc.com/product-detail/Zener-Diodes_onsemi-SZMMSZ5231BT1G_C231290.html" TargetMode="External"/><Relationship Id="rId28" Type="http://schemas.openxmlformats.org/officeDocument/2006/relationships/hyperlink" Target="https://www.lcsc.com/product-detail/Antennas_BAT-WIRELESS-BWGSMJWX105-7KJ_C497021.html" TargetMode="External"/><Relationship Id="rId10" Type="http://schemas.openxmlformats.org/officeDocument/2006/relationships/hyperlink" Target="https://www.lcsc.com/product-detail/Light-Emitting-Diodes-LED_Everlight-Elec-19-21-R7C-AK1L2BY-3T_C1322287.html" TargetMode="External"/><Relationship Id="rId19" Type="http://schemas.openxmlformats.org/officeDocument/2006/relationships/hyperlink" Target="https://www.lcsc.com/product-detail/ESD-Protection-Devices_ElecSuper-SMF05CT1G-ES_C5180312.html" TargetMode="External"/><Relationship Id="rId31" Type="http://schemas.openxmlformats.org/officeDocument/2006/relationships/drawing" Target="../drawings/drawing4.xml"/><Relationship Id="rId4" Type="http://schemas.openxmlformats.org/officeDocument/2006/relationships/hyperlink" Target="https://www.lcsc.com/product-detail/TVS_WILLSEMI-Will-Semicon-ESD5651N-2-TR_C239784.html" TargetMode="External"/><Relationship Id="rId9" Type="http://schemas.openxmlformats.org/officeDocument/2006/relationships/hyperlink" Target="https://www.lcsc.com/product-detail/Light-Emitting-Diodes-LED_Everlight-Elec-19-21-G6C-FM1N2B-3T_C93689.html" TargetMode="External"/><Relationship Id="rId14" Type="http://schemas.openxmlformats.org/officeDocument/2006/relationships/hyperlink" Target="https://www.lcsc.com/product-detail/Chip-Resistor-Surface-Mount_YAGEO-RC0603FR-07180RL_C137786.html" TargetMode="External"/><Relationship Id="rId22" Type="http://schemas.openxmlformats.org/officeDocument/2006/relationships/hyperlink" Target="https://www.lcsc.com/product-detail/Multilayer-Ceramic-Capacitors-MLCC-SMD-SMT_YAGEO-CC0603KRX7R9BB104_C14663.html" TargetMode="External"/><Relationship Id="rId27" Type="http://schemas.openxmlformats.org/officeDocument/2006/relationships/hyperlink" Target="https://www.lcsc.com/product-detail/Antennas_DreamLNK-801-4G_C779858.html" TargetMode="External"/><Relationship Id="rId30" Type="http://schemas.openxmlformats.org/officeDocument/2006/relationships/hyperlink" Target="https://www.chipsmall.com/Products/SIM7500E_SIMCom-Wireless-Solutions_20290450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IM-Card-Connectors_XKB-Connectivity-XKNANO-113_C381071.html" TargetMode="External"/><Relationship Id="rId13" Type="http://schemas.openxmlformats.org/officeDocument/2006/relationships/hyperlink" Target="https://www.lcsc.com/product-detail/Chip-Resistor-Surface-Mount_YAGEO-RC0603FR-0722RL_C107701.html" TargetMode="External"/><Relationship Id="rId18" Type="http://schemas.openxmlformats.org/officeDocument/2006/relationships/hyperlink" Target="https://www.lcsc.com/product-detail/Analog-Switches-Multiplexers_onsemi-FSA2567MPX_C512961.html" TargetMode="External"/><Relationship Id="rId26" Type="http://schemas.openxmlformats.org/officeDocument/2006/relationships/hyperlink" Target="https://www.lcsc.com/product-detail/Multilayer-Ceramic-Capacitors-MLCC-SMD-SMT_YAGEO-CC0603CRNPO9BN2R2_C282246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21" Type="http://schemas.openxmlformats.org/officeDocument/2006/relationships/hyperlink" Target="https://www.lcsc.com/product-detail/Multilayer-Ceramic-Capacitors-MLCC-SMD-SMT_Walsin-Tech-Corp-0402N330J250CT_C458864.html" TargetMode="External"/><Relationship Id="rId7" Type="http://schemas.openxmlformats.org/officeDocument/2006/relationships/hyperlink" Target="https://www.lcsc.com/product-detail/Resettable-Fuses_TECHFUSE-SMD0603-050_C69679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AC0603JR-0710KL_C140867.html" TargetMode="External"/><Relationship Id="rId25" Type="http://schemas.openxmlformats.org/officeDocument/2006/relationships/hyperlink" Target="https://www.digikey.com/en/products/detail/pulse-electronics/W3011/3025804" TargetMode="External"/><Relationship Id="rId2" Type="http://schemas.openxmlformats.org/officeDocument/2006/relationships/hyperlink" Target="https://www.lcsc.com/product-detail/Multilayer-Ceramic-Capacitors-MLCC-SMD-SMT_YAGEO-CC0402JRNPO9BN220_C106203.html" TargetMode="External"/><Relationship Id="rId16" Type="http://schemas.openxmlformats.org/officeDocument/2006/relationships/hyperlink" Target="https://www.lcsc.com/product-detail/Chip-Resistor-Surface-Mount_YAGEO-RC0603JR-0747KL_C127447.html" TargetMode="External"/><Relationship Id="rId20" Type="http://schemas.openxmlformats.org/officeDocument/2006/relationships/hyperlink" Target="https://www.lcsc.com/product-detail/Translators-Level-Shifters_Texas-Instruments-TXB0102DCUT_C2677366.html" TargetMode="External"/><Relationship Id="rId29" Type="http://schemas.openxmlformats.org/officeDocument/2006/relationships/hyperlink" Target="https://www.lcsc.com/product-detail/RF-Connectors-Coaxial-Connectors_HJ-Tech-HJ-SMA175_C150921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TVS_WILLSEMI-Will-Semicon-ESD5302F-3-TR_C239643.html" TargetMode="External"/><Relationship Id="rId11" Type="http://schemas.openxmlformats.org/officeDocument/2006/relationships/hyperlink" Target="https://www.lcsc.com/product-detail/Bipolar-Transistors-BJT_TECH-PUBLIC-MMBT3904M_C2923360.html" TargetMode="External"/><Relationship Id="rId24" Type="http://schemas.openxmlformats.org/officeDocument/2006/relationships/hyperlink" Target="https://www.lcsc.com/product-detail/Tantalum-Capacitors_Kyocera-AVX-TLJB227M006R0500_C30242.html" TargetMode="External"/><Relationship Id="rId5" Type="http://schemas.openxmlformats.org/officeDocument/2006/relationships/hyperlink" Target="https://www.lcsc.com/product-detail/ESD-Protection-Devices_Nexperia-PESD5V0H1BSF_C477989.html" TargetMode="External"/><Relationship Id="rId15" Type="http://schemas.openxmlformats.org/officeDocument/2006/relationships/hyperlink" Target="https://www.lcsc.com/product-detail/Chip-Resistor-Surface-Mount_YAGEO-RC0603JR-074K7L_C105428.html" TargetMode="External"/><Relationship Id="rId23" Type="http://schemas.openxmlformats.org/officeDocument/2006/relationships/hyperlink" Target="https://www.lcsc.com/product-detail/Zener-Diodes_onsemi-SZMMSZ5231BT1G_C231290.html" TargetMode="External"/><Relationship Id="rId28" Type="http://schemas.openxmlformats.org/officeDocument/2006/relationships/hyperlink" Target="https://www.lcsc.com/product-detail/Antennas_BAT-WIRELESS-BWGSMJWX105-7KJ_C497021.html" TargetMode="External"/><Relationship Id="rId10" Type="http://schemas.openxmlformats.org/officeDocument/2006/relationships/hyperlink" Target="https://www.lcsc.com/product-detail/Light-Emitting-Diodes-LED_Everlight-Elec-19-21-R7C-AK1L2BY-3T_C1322287.html" TargetMode="External"/><Relationship Id="rId19" Type="http://schemas.openxmlformats.org/officeDocument/2006/relationships/hyperlink" Target="https://www.lcsc.com/product-detail/ESD-Protection-Devices_ElecSuper-SMF05CT1G-ES_C5180312.html" TargetMode="External"/><Relationship Id="rId31" Type="http://schemas.openxmlformats.org/officeDocument/2006/relationships/drawing" Target="../drawings/drawing5.xml"/><Relationship Id="rId4" Type="http://schemas.openxmlformats.org/officeDocument/2006/relationships/hyperlink" Target="https://www.lcsc.com/product-detail/TVS_WILLSEMI-Will-Semicon-ESD5651N-2-TR_C239784.html" TargetMode="External"/><Relationship Id="rId9" Type="http://schemas.openxmlformats.org/officeDocument/2006/relationships/hyperlink" Target="https://www.lcsc.com/product-detail/Light-Emitting-Diodes-LED_Everlight-Elec-19-21-G6C-FM1N2B-3T_C93689.html" TargetMode="External"/><Relationship Id="rId14" Type="http://schemas.openxmlformats.org/officeDocument/2006/relationships/hyperlink" Target="https://www.lcsc.com/product-detail/Chip-Resistor-Surface-Mount_YAGEO-RC0603FR-07180RL_C137786.html" TargetMode="External"/><Relationship Id="rId22" Type="http://schemas.openxmlformats.org/officeDocument/2006/relationships/hyperlink" Target="https://www.lcsc.com/product-detail/Multilayer-Ceramic-Capacitors-MLCC-SMD-SMT_YAGEO-CC0603KRX7R9BB104_C14663.html" TargetMode="External"/><Relationship Id="rId27" Type="http://schemas.openxmlformats.org/officeDocument/2006/relationships/hyperlink" Target="https://www.lcsc.com/product-detail/Antennas_DreamLNK-801-4G_C779858.html" TargetMode="External"/><Relationship Id="rId30" Type="http://schemas.openxmlformats.org/officeDocument/2006/relationships/hyperlink" Target="https://www.chipsmall.com/Products/SIM7500E_SIMCom-Wireless-Solutions_20290450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IM-Card-Connectors_XKB-Connectivity-XKNANO-113_C381071.html" TargetMode="External"/><Relationship Id="rId13" Type="http://schemas.openxmlformats.org/officeDocument/2006/relationships/hyperlink" Target="https://www.lcsc.com/product-detail/Chip-Resistor-Surface-Mount_YAGEO-RC0603FR-0722RL_C107701.html" TargetMode="External"/><Relationship Id="rId18" Type="http://schemas.openxmlformats.org/officeDocument/2006/relationships/hyperlink" Target="https://www.lcsc.com/product-detail/Analog-Switches-Multiplexers_onsemi-FSA2567MPX_C512961.html" TargetMode="External"/><Relationship Id="rId26" Type="http://schemas.openxmlformats.org/officeDocument/2006/relationships/hyperlink" Target="https://www.lcsc.com/product-detail/Multilayer-Ceramic-Capacitors-MLCC-SMD-SMT_YAGEO-CC0603CRNPO9BN2R2_C282246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21" Type="http://schemas.openxmlformats.org/officeDocument/2006/relationships/hyperlink" Target="https://www.lcsc.com/product-detail/Multilayer-Ceramic-Capacitors-MLCC-SMD-SMT_Walsin-Tech-Corp-0402N330J250CT_C458864.html" TargetMode="External"/><Relationship Id="rId7" Type="http://schemas.openxmlformats.org/officeDocument/2006/relationships/hyperlink" Target="https://www.lcsc.com/product-detail/Resettable-Fuses_TECHFUSE-SMD0603-050_C69679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AC0603JR-0710KL_C140867.html" TargetMode="External"/><Relationship Id="rId25" Type="http://schemas.openxmlformats.org/officeDocument/2006/relationships/hyperlink" Target="https://www.digikey.com/en/products/detail/pulse-electronics/W3011/3025804" TargetMode="External"/><Relationship Id="rId2" Type="http://schemas.openxmlformats.org/officeDocument/2006/relationships/hyperlink" Target="https://www.lcsc.com/product-detail/Multilayer-Ceramic-Capacitors-MLCC-SMD-SMT_YAGEO-CC0402JRNPO9BN220_C106203.html" TargetMode="External"/><Relationship Id="rId16" Type="http://schemas.openxmlformats.org/officeDocument/2006/relationships/hyperlink" Target="https://www.lcsc.com/product-detail/Chip-Resistor-Surface-Mount_YAGEO-RC0603JR-0747KL_C127447.html" TargetMode="External"/><Relationship Id="rId20" Type="http://schemas.openxmlformats.org/officeDocument/2006/relationships/hyperlink" Target="https://www.lcsc.com/product-detail/Translators-Level-Shifters_Texas-Instruments-TXB0102DCUT_C2677366.html" TargetMode="External"/><Relationship Id="rId29" Type="http://schemas.openxmlformats.org/officeDocument/2006/relationships/hyperlink" Target="https://www.lcsc.com/product-detail/RF-Connectors-Coaxial-Connectors_HJ-Tech-HJ-SMA175_C150921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TVS_WILLSEMI-Will-Semicon-ESD5302F-3-TR_C239643.html" TargetMode="External"/><Relationship Id="rId11" Type="http://schemas.openxmlformats.org/officeDocument/2006/relationships/hyperlink" Target="https://www.lcsc.com/product-detail/Bipolar-Transistors-BJT_TECH-PUBLIC-MMBT3904M_C2923360.html" TargetMode="External"/><Relationship Id="rId24" Type="http://schemas.openxmlformats.org/officeDocument/2006/relationships/hyperlink" Target="https://www.lcsc.com/product-detail/Tantalum-Capacitors_Kyocera-AVX-TLJB227M006R0500_C30242.html" TargetMode="External"/><Relationship Id="rId5" Type="http://schemas.openxmlformats.org/officeDocument/2006/relationships/hyperlink" Target="https://www.lcsc.com/product-detail/ESD-Protection-Devices_Nexperia-PESD5V0H1BSF_C477989.html" TargetMode="External"/><Relationship Id="rId15" Type="http://schemas.openxmlformats.org/officeDocument/2006/relationships/hyperlink" Target="https://www.lcsc.com/product-detail/Chip-Resistor-Surface-Mount_YAGEO-RC0603JR-074K7L_C105428.html" TargetMode="External"/><Relationship Id="rId23" Type="http://schemas.openxmlformats.org/officeDocument/2006/relationships/hyperlink" Target="https://www.lcsc.com/product-detail/Zener-Diodes_onsemi-SZMMSZ5231BT1G_C231290.html" TargetMode="External"/><Relationship Id="rId28" Type="http://schemas.openxmlformats.org/officeDocument/2006/relationships/hyperlink" Target="https://www.lcsc.com/product-detail/Antennas_BAT-WIRELESS-BWGSMJWX105-7KJ_C497021.html" TargetMode="External"/><Relationship Id="rId10" Type="http://schemas.openxmlformats.org/officeDocument/2006/relationships/hyperlink" Target="https://www.lcsc.com/product-detail/Light-Emitting-Diodes-LED_Everlight-Elec-19-21-R7C-AK1L2BY-3T_C1322287.html" TargetMode="External"/><Relationship Id="rId19" Type="http://schemas.openxmlformats.org/officeDocument/2006/relationships/hyperlink" Target="https://www.lcsc.com/product-detail/ESD-Protection-Devices_ElecSuper-SMF05CT1G-ES_C5180312.html" TargetMode="External"/><Relationship Id="rId31" Type="http://schemas.openxmlformats.org/officeDocument/2006/relationships/drawing" Target="../drawings/drawing6.xml"/><Relationship Id="rId4" Type="http://schemas.openxmlformats.org/officeDocument/2006/relationships/hyperlink" Target="https://www.lcsc.com/product-detail/TVS_WILLSEMI-Will-Semicon-ESD5651N-2-TR_C239784.html" TargetMode="External"/><Relationship Id="rId9" Type="http://schemas.openxmlformats.org/officeDocument/2006/relationships/hyperlink" Target="https://www.lcsc.com/product-detail/Light-Emitting-Diodes-LED_Everlight-Elec-19-21-G6C-FM1N2B-3T_C93689.html" TargetMode="External"/><Relationship Id="rId14" Type="http://schemas.openxmlformats.org/officeDocument/2006/relationships/hyperlink" Target="https://www.lcsc.com/product-detail/Chip-Resistor-Surface-Mount_YAGEO-RC0603FR-07180RL_C137786.html" TargetMode="External"/><Relationship Id="rId22" Type="http://schemas.openxmlformats.org/officeDocument/2006/relationships/hyperlink" Target="https://www.lcsc.com/product-detail/Multilayer-Ceramic-Capacitors-MLCC-SMD-SMT_YAGEO-CC0603KRX7R9BB104_C14663.html" TargetMode="External"/><Relationship Id="rId27" Type="http://schemas.openxmlformats.org/officeDocument/2006/relationships/hyperlink" Target="https://www.lcsc.com/product-detail/Antennas_DreamLNK-801-4G_C779858.html" TargetMode="External"/><Relationship Id="rId30" Type="http://schemas.openxmlformats.org/officeDocument/2006/relationships/hyperlink" Target="https://www.chipsmall.com/Products/SIM7500E_SIMCom-Wireless-Solutions_2029045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3"/>
  <sheetViews>
    <sheetView tabSelected="1" workbookViewId="0">
      <selection activeCell="E58" sqref="E58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5703125" bestFit="1" customWidth="1"/>
    <col min="16" max="16" width="18.7109375" bestFit="1" customWidth="1"/>
    <col min="17" max="17" width="19.28515625" bestFit="1" customWidth="1"/>
    <col min="18" max="18" width="14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190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32"/>
      <c r="D4" s="13" t="s">
        <v>2</v>
      </c>
      <c r="E4" s="13"/>
      <c r="F4" s="57" t="s">
        <v>183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43</v>
      </c>
      <c r="F9" s="30" t="s">
        <v>70</v>
      </c>
      <c r="G9" s="30" t="s">
        <v>87</v>
      </c>
      <c r="H9" s="30" t="s">
        <v>111</v>
      </c>
      <c r="I9" s="30" t="s">
        <v>162</v>
      </c>
      <c r="J9" s="30" t="s">
        <v>127</v>
      </c>
      <c r="K9" s="30" t="s">
        <v>163</v>
      </c>
      <c r="L9" s="30" t="s">
        <v>161</v>
      </c>
      <c r="M9" s="30" t="s">
        <v>164</v>
      </c>
      <c r="N9" s="30" t="s">
        <v>165</v>
      </c>
      <c r="O9" s="30" t="s">
        <v>166</v>
      </c>
      <c r="P9" s="30" t="s">
        <v>167</v>
      </c>
      <c r="Q9" s="30" t="s">
        <v>168</v>
      </c>
      <c r="R9" s="30" t="s">
        <v>169</v>
      </c>
      <c r="S9" s="30" t="s">
        <v>170</v>
      </c>
    </row>
    <row r="10" spans="1:19" ht="24" x14ac:dyDescent="0.25">
      <c r="A10" s="1"/>
      <c r="B10" s="46">
        <f>ROW(B10) - ROW($B$9)</f>
        <v>1</v>
      </c>
      <c r="C10" s="53" t="s">
        <v>192</v>
      </c>
      <c r="D10" s="37" t="s">
        <v>193</v>
      </c>
      <c r="E10" s="37" t="s">
        <v>194</v>
      </c>
      <c r="F10" s="37" t="s">
        <v>171</v>
      </c>
      <c r="G10" s="37" t="s">
        <v>195</v>
      </c>
      <c r="H10" s="37" t="s">
        <v>196</v>
      </c>
      <c r="I10" s="37" t="s">
        <v>172</v>
      </c>
      <c r="J10" s="37" t="s">
        <v>172</v>
      </c>
      <c r="K10" s="37" t="s">
        <v>172</v>
      </c>
      <c r="L10" s="37">
        <v>1</v>
      </c>
      <c r="M10" s="37">
        <f>L10*5</f>
        <v>5</v>
      </c>
      <c r="N10" s="37">
        <v>6</v>
      </c>
      <c r="O10" s="61" t="s">
        <v>204</v>
      </c>
      <c r="P10" s="38">
        <v>1.59</v>
      </c>
      <c r="Q10" s="38">
        <f>P10*N10</f>
        <v>9.5400000000000009</v>
      </c>
      <c r="R10" s="63" t="s">
        <v>181</v>
      </c>
      <c r="S10" s="50"/>
    </row>
    <row r="11" spans="1:19" x14ac:dyDescent="0.25">
      <c r="A11" s="1"/>
      <c r="B11" s="47">
        <f t="shared" ref="B11:B41" si="0">ROW(B11) - ROW($B$9)</f>
        <v>2</v>
      </c>
      <c r="C11" s="54" t="s">
        <v>9</v>
      </c>
      <c r="D11" s="51" t="s">
        <v>19</v>
      </c>
      <c r="E11" s="51" t="s">
        <v>197</v>
      </c>
      <c r="F11" s="51" t="s">
        <v>71</v>
      </c>
      <c r="G11" s="51" t="s">
        <v>198</v>
      </c>
      <c r="H11" s="51" t="s">
        <v>113</v>
      </c>
      <c r="I11" s="51" t="s">
        <v>172</v>
      </c>
      <c r="J11" s="51" t="s">
        <v>199</v>
      </c>
      <c r="K11" s="51" t="s">
        <v>200</v>
      </c>
      <c r="L11" s="51">
        <v>1</v>
      </c>
      <c r="M11" s="51">
        <f t="shared" ref="M11" si="1">L11*5</f>
        <v>5</v>
      </c>
      <c r="N11" s="51">
        <v>100</v>
      </c>
      <c r="O11" s="60" t="s">
        <v>173</v>
      </c>
      <c r="P11" s="52">
        <v>4.0000000000000001E-3</v>
      </c>
      <c r="Q11" s="52">
        <f t="shared" ref="Q11" si="2">P11*N11</f>
        <v>0.4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20</v>
      </c>
      <c r="E12" s="37" t="s">
        <v>44</v>
      </c>
      <c r="F12" s="37" t="s">
        <v>72</v>
      </c>
      <c r="G12" s="62" t="s">
        <v>88</v>
      </c>
      <c r="H12" s="37" t="s">
        <v>112</v>
      </c>
      <c r="I12" s="37" t="s">
        <v>174</v>
      </c>
      <c r="J12" s="37" t="s">
        <v>175</v>
      </c>
      <c r="K12" s="37" t="s">
        <v>149</v>
      </c>
      <c r="L12" s="37">
        <v>1</v>
      </c>
      <c r="M12" s="37">
        <f>L12*5</f>
        <v>5</v>
      </c>
      <c r="N12" s="37">
        <v>100</v>
      </c>
      <c r="O12" s="61" t="s">
        <v>173</v>
      </c>
      <c r="P12" s="38">
        <v>1.6000000000000001E-3</v>
      </c>
      <c r="Q12" s="38">
        <f>P12*N12</f>
        <v>0.16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191</v>
      </c>
      <c r="E13" s="51" t="s">
        <v>45</v>
      </c>
      <c r="F13" s="51" t="s">
        <v>71</v>
      </c>
      <c r="G13" s="62" t="s">
        <v>89</v>
      </c>
      <c r="H13" s="51" t="s">
        <v>113</v>
      </c>
      <c r="I13" s="51" t="s">
        <v>176</v>
      </c>
      <c r="J13" s="51" t="s">
        <v>177</v>
      </c>
      <c r="K13" s="51" t="s">
        <v>150</v>
      </c>
      <c r="L13" s="51">
        <v>6</v>
      </c>
      <c r="M13" s="51">
        <f t="shared" ref="M13" si="3">L13*5</f>
        <v>30</v>
      </c>
      <c r="N13" s="51">
        <v>100</v>
      </c>
      <c r="O13" s="60" t="s">
        <v>173</v>
      </c>
      <c r="P13" s="52">
        <v>2.3999999999999998E-3</v>
      </c>
      <c r="Q13" s="52">
        <f t="shared" ref="Q13" si="4">P13*N13</f>
        <v>0.24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21</v>
      </c>
      <c r="E14" s="37" t="s">
        <v>185</v>
      </c>
      <c r="F14" s="37" t="s">
        <v>186</v>
      </c>
      <c r="G14" s="37" t="s">
        <v>187</v>
      </c>
      <c r="H14" s="37" t="s">
        <v>188</v>
      </c>
      <c r="I14" s="37" t="s">
        <v>172</v>
      </c>
      <c r="J14" s="37" t="s">
        <v>189</v>
      </c>
      <c r="K14" s="37" t="s">
        <v>151</v>
      </c>
      <c r="L14" s="37">
        <v>1</v>
      </c>
      <c r="M14" s="37">
        <f>L14*5</f>
        <v>5</v>
      </c>
      <c r="N14" s="37">
        <v>10</v>
      </c>
      <c r="O14" s="61" t="s">
        <v>173</v>
      </c>
      <c r="P14" s="38">
        <v>0.21779999999999999</v>
      </c>
      <c r="Q14" s="38">
        <f>P14*N14</f>
        <v>2.1779999999999999</v>
      </c>
      <c r="R14" s="37"/>
      <c r="S14" s="59"/>
    </row>
    <row r="15" spans="1:19" x14ac:dyDescent="0.25">
      <c r="A15" s="1"/>
      <c r="B15" s="47">
        <f t="shared" si="0"/>
        <v>6</v>
      </c>
      <c r="C15" s="53" t="s">
        <v>9</v>
      </c>
      <c r="D15" s="51" t="s">
        <v>22</v>
      </c>
      <c r="E15" s="51" t="s">
        <v>46</v>
      </c>
      <c r="F15" s="51" t="s">
        <v>71</v>
      </c>
      <c r="G15" s="51" t="s">
        <v>90</v>
      </c>
      <c r="H15" s="51" t="s">
        <v>113</v>
      </c>
      <c r="I15" s="51" t="s">
        <v>172</v>
      </c>
      <c r="J15" s="51" t="s">
        <v>128</v>
      </c>
      <c r="K15" s="51" t="s">
        <v>152</v>
      </c>
      <c r="L15" s="51">
        <v>1</v>
      </c>
      <c r="M15" s="51">
        <f t="shared" ref="M15" si="5">L15*5</f>
        <v>5</v>
      </c>
      <c r="N15" s="51">
        <v>100</v>
      </c>
      <c r="O15" s="60" t="s">
        <v>173</v>
      </c>
      <c r="P15" s="52">
        <v>5.1999999999999998E-3</v>
      </c>
      <c r="Q15" s="52">
        <f t="shared" ref="Q15" si="6">P15*N15</f>
        <v>0.52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23</v>
      </c>
      <c r="E16" s="37" t="s">
        <v>47</v>
      </c>
      <c r="F16" s="37" t="s">
        <v>72</v>
      </c>
      <c r="G16" s="37" t="s">
        <v>91</v>
      </c>
      <c r="H16" s="37" t="s">
        <v>113</v>
      </c>
      <c r="I16" s="37" t="s">
        <v>172</v>
      </c>
      <c r="J16" s="37" t="s">
        <v>129</v>
      </c>
      <c r="K16" s="37" t="s">
        <v>153</v>
      </c>
      <c r="L16" s="37">
        <v>3</v>
      </c>
      <c r="M16" s="37">
        <f>L16*5</f>
        <v>15</v>
      </c>
      <c r="N16" s="37">
        <v>100</v>
      </c>
      <c r="O16" s="61" t="s">
        <v>173</v>
      </c>
      <c r="P16" s="38">
        <v>1E-3</v>
      </c>
      <c r="Q16" s="38">
        <f>P16*N16</f>
        <v>0.1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24</v>
      </c>
      <c r="E17" s="51" t="s">
        <v>48</v>
      </c>
      <c r="F17" s="51" t="s">
        <v>73</v>
      </c>
      <c r="G17" s="51" t="s">
        <v>92</v>
      </c>
      <c r="H17" s="51" t="s">
        <v>114</v>
      </c>
      <c r="I17" s="51" t="s">
        <v>172</v>
      </c>
      <c r="J17" s="51" t="s">
        <v>130</v>
      </c>
      <c r="K17" s="51" t="s">
        <v>154</v>
      </c>
      <c r="L17" s="51">
        <v>2</v>
      </c>
      <c r="M17" s="51">
        <f t="shared" ref="M17" si="7">L17*5</f>
        <v>10</v>
      </c>
      <c r="N17" s="51">
        <v>50</v>
      </c>
      <c r="O17" s="61" t="s">
        <v>173</v>
      </c>
      <c r="P17" s="52">
        <v>1.41E-2</v>
      </c>
      <c r="Q17" s="52">
        <f t="shared" ref="Q17" si="8">P17*N17</f>
        <v>0.70499999999999996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10</v>
      </c>
      <c r="D18" s="37" t="s">
        <v>25</v>
      </c>
      <c r="E18" s="37" t="s">
        <v>49</v>
      </c>
      <c r="F18" s="37" t="s">
        <v>74</v>
      </c>
      <c r="G18" s="62" t="s">
        <v>93</v>
      </c>
      <c r="H18" s="37" t="s">
        <v>115</v>
      </c>
      <c r="I18" s="37" t="s">
        <v>178</v>
      </c>
      <c r="J18" s="37" t="s">
        <v>179</v>
      </c>
      <c r="K18" s="37" t="s">
        <v>172</v>
      </c>
      <c r="L18" s="37">
        <v>1</v>
      </c>
      <c r="M18" s="37">
        <f>L18*5</f>
        <v>5</v>
      </c>
      <c r="N18" s="37">
        <v>10</v>
      </c>
      <c r="O18" s="61" t="s">
        <v>173</v>
      </c>
      <c r="P18" s="38">
        <v>0.1037</v>
      </c>
      <c r="Q18" s="38">
        <f>P18*N18</f>
        <v>1.0369999999999999</v>
      </c>
      <c r="R18" s="37"/>
      <c r="S18" s="59"/>
    </row>
    <row r="19" spans="1:19" ht="24" x14ac:dyDescent="0.25">
      <c r="A19" s="1"/>
      <c r="B19" s="47">
        <f t="shared" si="0"/>
        <v>10</v>
      </c>
      <c r="C19" s="54" t="s">
        <v>10</v>
      </c>
      <c r="D19" s="51" t="s">
        <v>26</v>
      </c>
      <c r="E19" s="51" t="s">
        <v>50</v>
      </c>
      <c r="F19" s="51" t="s">
        <v>75</v>
      </c>
      <c r="G19" s="51" t="s">
        <v>94</v>
      </c>
      <c r="H19" s="51" t="s">
        <v>116</v>
      </c>
      <c r="I19" s="51" t="s">
        <v>172</v>
      </c>
      <c r="J19" s="51" t="s">
        <v>131</v>
      </c>
      <c r="K19" s="51" t="s">
        <v>172</v>
      </c>
      <c r="L19" s="51">
        <v>2</v>
      </c>
      <c r="M19" s="51">
        <f t="shared" ref="M19" si="9">L19*5</f>
        <v>10</v>
      </c>
      <c r="N19" s="51">
        <v>20</v>
      </c>
      <c r="O19" s="61" t="s">
        <v>173</v>
      </c>
      <c r="P19" s="52">
        <v>3.1699999999999999E-2</v>
      </c>
      <c r="Q19" s="52">
        <f t="shared" ref="Q19" si="10">P19*N19</f>
        <v>0.63400000000000001</v>
      </c>
      <c r="R19" s="51"/>
      <c r="S19" s="59"/>
    </row>
    <row r="20" spans="1:19" x14ac:dyDescent="0.25">
      <c r="A20" s="1"/>
      <c r="B20" s="46">
        <f>ROW(B20) - ROW($B$9)</f>
        <v>11</v>
      </c>
      <c r="C20" s="53" t="s">
        <v>10</v>
      </c>
      <c r="D20" s="37" t="s">
        <v>27</v>
      </c>
      <c r="E20" s="37" t="s">
        <v>51</v>
      </c>
      <c r="F20" s="37" t="s">
        <v>76</v>
      </c>
      <c r="G20" s="37" t="s">
        <v>95</v>
      </c>
      <c r="H20" s="37" t="s">
        <v>117</v>
      </c>
      <c r="I20" s="37" t="s">
        <v>172</v>
      </c>
      <c r="J20" s="37" t="s">
        <v>132</v>
      </c>
      <c r="K20" s="37" t="s">
        <v>172</v>
      </c>
      <c r="L20" s="37">
        <v>1</v>
      </c>
      <c r="M20" s="37">
        <f>L20*5</f>
        <v>5</v>
      </c>
      <c r="N20" s="37">
        <v>10</v>
      </c>
      <c r="O20" s="61" t="s">
        <v>173</v>
      </c>
      <c r="P20" s="38">
        <v>5.5599999999999997E-2</v>
      </c>
      <c r="Q20" s="38">
        <f>P20*N20</f>
        <v>0.55599999999999994</v>
      </c>
      <c r="R20" s="37"/>
      <c r="S20" s="59"/>
    </row>
    <row r="21" spans="1:19" ht="24" x14ac:dyDescent="0.25">
      <c r="A21" s="1"/>
      <c r="B21" s="47">
        <f t="shared" si="0"/>
        <v>12</v>
      </c>
      <c r="C21" s="54" t="s">
        <v>10</v>
      </c>
      <c r="D21" s="51" t="s">
        <v>28</v>
      </c>
      <c r="E21" s="51" t="s">
        <v>52</v>
      </c>
      <c r="F21" s="51" t="s">
        <v>77</v>
      </c>
      <c r="G21" s="51" t="s">
        <v>96</v>
      </c>
      <c r="H21" s="51" t="s">
        <v>118</v>
      </c>
      <c r="I21" s="51" t="s">
        <v>172</v>
      </c>
      <c r="J21" s="51" t="s">
        <v>133</v>
      </c>
      <c r="K21" s="51" t="s">
        <v>172</v>
      </c>
      <c r="L21" s="51">
        <v>1</v>
      </c>
      <c r="M21" s="51">
        <f t="shared" ref="M21" si="11">L21*5</f>
        <v>5</v>
      </c>
      <c r="N21" s="51">
        <v>10</v>
      </c>
      <c r="O21" s="61" t="s">
        <v>173</v>
      </c>
      <c r="P21" s="52">
        <v>8.6400000000000005E-2</v>
      </c>
      <c r="Q21" s="52">
        <f t="shared" ref="Q21" si="12">P21*N21</f>
        <v>0.8640000000000001</v>
      </c>
      <c r="R21" s="51"/>
      <c r="S21" s="59"/>
    </row>
    <row r="22" spans="1:19" ht="24" x14ac:dyDescent="0.25">
      <c r="A22" s="1"/>
      <c r="B22" s="46">
        <f>ROW(B22) - ROW($B$9)</f>
        <v>13</v>
      </c>
      <c r="C22" s="53" t="s">
        <v>11</v>
      </c>
      <c r="D22" s="37" t="s">
        <v>29</v>
      </c>
      <c r="E22" s="37" t="s">
        <v>53</v>
      </c>
      <c r="F22" s="37" t="s">
        <v>78</v>
      </c>
      <c r="G22" s="37" t="s">
        <v>97</v>
      </c>
      <c r="H22" s="37" t="s">
        <v>119</v>
      </c>
      <c r="I22" s="37" t="s">
        <v>172</v>
      </c>
      <c r="J22" s="37" t="s">
        <v>134</v>
      </c>
      <c r="K22" s="37" t="s">
        <v>172</v>
      </c>
      <c r="L22" s="37">
        <v>1</v>
      </c>
      <c r="M22" s="37">
        <f>L22*5</f>
        <v>5</v>
      </c>
      <c r="N22" s="37">
        <v>10</v>
      </c>
      <c r="O22" s="61" t="s">
        <v>173</v>
      </c>
      <c r="P22" s="38">
        <v>4.3200000000000002E-2</v>
      </c>
      <c r="Q22" s="38">
        <f>P22*N22</f>
        <v>0.43200000000000005</v>
      </c>
      <c r="R22" s="37"/>
      <c r="S22" s="59"/>
    </row>
    <row r="23" spans="1:19" ht="36" x14ac:dyDescent="0.25">
      <c r="A23" s="1"/>
      <c r="B23" s="47">
        <f t="shared" si="0"/>
        <v>14</v>
      </c>
      <c r="C23" s="54" t="s">
        <v>215</v>
      </c>
      <c r="D23" s="51" t="s">
        <v>30</v>
      </c>
      <c r="E23" s="51" t="s">
        <v>216</v>
      </c>
      <c r="F23" s="51" t="s">
        <v>171</v>
      </c>
      <c r="G23" s="51" t="s">
        <v>217</v>
      </c>
      <c r="H23" s="51" t="s">
        <v>184</v>
      </c>
      <c r="I23" s="51" t="s">
        <v>172</v>
      </c>
      <c r="J23" s="51" t="s">
        <v>218</v>
      </c>
      <c r="K23" s="51" t="s">
        <v>172</v>
      </c>
      <c r="L23" s="51">
        <v>1</v>
      </c>
      <c r="M23" s="51">
        <f t="shared" ref="M23" si="13">L23*5</f>
        <v>5</v>
      </c>
      <c r="N23" s="37">
        <v>6</v>
      </c>
      <c r="O23" s="60" t="s">
        <v>173</v>
      </c>
      <c r="P23" s="52">
        <v>0.81620000000000004</v>
      </c>
      <c r="Q23" s="52">
        <f t="shared" ref="Q23" si="14">P23*N23</f>
        <v>4.8971999999999998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180</v>
      </c>
      <c r="D24" s="62" t="s">
        <v>31</v>
      </c>
      <c r="E24" s="62" t="s">
        <v>54</v>
      </c>
      <c r="F24" s="62" t="s">
        <v>171</v>
      </c>
      <c r="G24" s="62" t="s">
        <v>172</v>
      </c>
      <c r="H24" s="62" t="s">
        <v>172</v>
      </c>
      <c r="I24" s="62" t="s">
        <v>172</v>
      </c>
      <c r="J24" s="62" t="s">
        <v>172</v>
      </c>
      <c r="K24" s="62" t="s">
        <v>172</v>
      </c>
      <c r="L24" s="62">
        <v>1</v>
      </c>
      <c r="M24" s="62">
        <f>L24*5</f>
        <v>5</v>
      </c>
      <c r="N24" s="62" t="s">
        <v>172</v>
      </c>
      <c r="O24" s="62" t="s">
        <v>172</v>
      </c>
      <c r="P24" s="62" t="s">
        <v>172</v>
      </c>
      <c r="Q24" s="62" t="s">
        <v>172</v>
      </c>
      <c r="R24" s="62"/>
      <c r="S24" s="59"/>
    </row>
    <row r="25" spans="1:19" x14ac:dyDescent="0.25">
      <c r="A25" s="1"/>
      <c r="B25" s="47">
        <f t="shared" si="0"/>
        <v>16</v>
      </c>
      <c r="C25" s="54" t="s">
        <v>12</v>
      </c>
      <c r="D25" s="64" t="s">
        <v>32</v>
      </c>
      <c r="E25" s="64" t="s">
        <v>55</v>
      </c>
      <c r="F25" s="64" t="s">
        <v>171</v>
      </c>
      <c r="G25" s="64" t="s">
        <v>98</v>
      </c>
      <c r="H25" s="62" t="s">
        <v>172</v>
      </c>
      <c r="I25" s="62" t="s">
        <v>172</v>
      </c>
      <c r="J25" s="62" t="s">
        <v>172</v>
      </c>
      <c r="K25" s="62" t="s">
        <v>172</v>
      </c>
      <c r="L25" s="64">
        <v>1</v>
      </c>
      <c r="M25" s="64">
        <f t="shared" ref="M25" si="15">L25*5</f>
        <v>5</v>
      </c>
      <c r="N25" s="62" t="s">
        <v>172</v>
      </c>
      <c r="O25" s="62" t="s">
        <v>172</v>
      </c>
      <c r="P25" s="62" t="s">
        <v>172</v>
      </c>
      <c r="Q25" s="62" t="s">
        <v>172</v>
      </c>
      <c r="R25" s="51"/>
      <c r="S25" s="59"/>
    </row>
    <row r="26" spans="1:19" ht="48" x14ac:dyDescent="0.25">
      <c r="A26" s="1"/>
      <c r="B26" s="46">
        <f>ROW(B26) - ROW($B$9)</f>
        <v>17</v>
      </c>
      <c r="C26" s="53" t="s">
        <v>13</v>
      </c>
      <c r="D26" s="37" t="s">
        <v>201</v>
      </c>
      <c r="E26" s="37" t="s">
        <v>56</v>
      </c>
      <c r="F26" s="37" t="s">
        <v>171</v>
      </c>
      <c r="G26" s="37" t="s">
        <v>79</v>
      </c>
      <c r="H26" s="37" t="s">
        <v>120</v>
      </c>
      <c r="I26" s="37" t="s">
        <v>172</v>
      </c>
      <c r="J26" s="37" t="s">
        <v>135</v>
      </c>
      <c r="K26" s="37" t="s">
        <v>172</v>
      </c>
      <c r="L26" s="37">
        <v>2</v>
      </c>
      <c r="M26" s="37">
        <f>L26*5</f>
        <v>10</v>
      </c>
      <c r="N26" s="37">
        <v>11</v>
      </c>
      <c r="O26" s="61" t="s">
        <v>173</v>
      </c>
      <c r="P26" s="38">
        <v>0.6714</v>
      </c>
      <c r="Q26" s="38">
        <f>P26*N26</f>
        <v>7.3853999999999997</v>
      </c>
      <c r="R26" s="37"/>
      <c r="S26" s="59"/>
    </row>
    <row r="27" spans="1:19" ht="24" x14ac:dyDescent="0.25">
      <c r="A27" s="1"/>
      <c r="B27" s="46">
        <f>ROW(B27) - ROW($B$9)</f>
        <v>18</v>
      </c>
      <c r="C27" s="53" t="s">
        <v>14</v>
      </c>
      <c r="D27" s="37" t="s">
        <v>33</v>
      </c>
      <c r="E27" s="37" t="s">
        <v>57</v>
      </c>
      <c r="F27" s="37" t="s">
        <v>80</v>
      </c>
      <c r="G27" s="37" t="s">
        <v>99</v>
      </c>
      <c r="H27" s="37" t="s">
        <v>121</v>
      </c>
      <c r="I27" s="37" t="s">
        <v>172</v>
      </c>
      <c r="J27" s="37" t="s">
        <v>136</v>
      </c>
      <c r="K27" s="37" t="s">
        <v>172</v>
      </c>
      <c r="L27" s="37">
        <v>1</v>
      </c>
      <c r="M27" s="37">
        <f>L27*5</f>
        <v>5</v>
      </c>
      <c r="N27" s="37">
        <v>20</v>
      </c>
      <c r="O27" s="61" t="s">
        <v>173</v>
      </c>
      <c r="P27" s="38">
        <v>3.4799999999999998E-2</v>
      </c>
      <c r="Q27" s="38">
        <f>P27*N27</f>
        <v>0.69599999999999995</v>
      </c>
      <c r="R27" s="37"/>
      <c r="S27" s="59"/>
    </row>
    <row r="28" spans="1:19" ht="24" x14ac:dyDescent="0.25">
      <c r="A28" s="1"/>
      <c r="B28" s="47">
        <f t="shared" si="0"/>
        <v>19</v>
      </c>
      <c r="C28" s="54" t="s">
        <v>14</v>
      </c>
      <c r="D28" s="51" t="s">
        <v>34</v>
      </c>
      <c r="E28" s="51" t="s">
        <v>58</v>
      </c>
      <c r="F28" s="51" t="s">
        <v>80</v>
      </c>
      <c r="G28" s="51" t="s">
        <v>100</v>
      </c>
      <c r="H28" s="51" t="s">
        <v>121</v>
      </c>
      <c r="I28" s="51" t="s">
        <v>172</v>
      </c>
      <c r="J28" s="51" t="s">
        <v>137</v>
      </c>
      <c r="K28" s="51" t="s">
        <v>172</v>
      </c>
      <c r="L28" s="51">
        <v>1</v>
      </c>
      <c r="M28" s="51">
        <f t="shared" ref="M28" si="16">L28*5</f>
        <v>5</v>
      </c>
      <c r="N28" s="51">
        <v>10</v>
      </c>
      <c r="O28" s="61" t="s">
        <v>173</v>
      </c>
      <c r="P28" s="52">
        <v>5.1499999999999997E-2</v>
      </c>
      <c r="Q28" s="52">
        <f t="shared" ref="Q28" si="17">P28*N28</f>
        <v>0.51500000000000001</v>
      </c>
      <c r="R28" s="51"/>
      <c r="S28" s="59"/>
    </row>
    <row r="29" spans="1:19" ht="48" x14ac:dyDescent="0.25">
      <c r="A29" s="1"/>
      <c r="B29" s="46">
        <f>ROW(B29) - ROW($B$9)</f>
        <v>20</v>
      </c>
      <c r="C29" s="53" t="s">
        <v>203</v>
      </c>
      <c r="D29" s="37" t="s">
        <v>35</v>
      </c>
      <c r="E29" s="37" t="s">
        <v>59</v>
      </c>
      <c r="F29" s="37" t="s">
        <v>81</v>
      </c>
      <c r="G29" s="37" t="s">
        <v>101</v>
      </c>
      <c r="H29" s="37" t="s">
        <v>122</v>
      </c>
      <c r="I29" s="37" t="s">
        <v>172</v>
      </c>
      <c r="J29" s="37" t="s">
        <v>138</v>
      </c>
      <c r="K29" s="37" t="s">
        <v>172</v>
      </c>
      <c r="L29" s="37">
        <v>4</v>
      </c>
      <c r="M29" s="37">
        <f>L29*5</f>
        <v>20</v>
      </c>
      <c r="N29" s="37">
        <v>40</v>
      </c>
      <c r="O29" s="61" t="s">
        <v>173</v>
      </c>
      <c r="P29" s="38">
        <v>3.3500000000000002E-2</v>
      </c>
      <c r="Q29" s="38">
        <f>P29*N29</f>
        <v>1.34</v>
      </c>
      <c r="R29" s="37"/>
      <c r="S29" s="59"/>
    </row>
    <row r="30" spans="1:19" x14ac:dyDescent="0.25">
      <c r="A30" s="1"/>
      <c r="B30" s="46">
        <f>ROW(B30) - ROW($B$9)</f>
        <v>21</v>
      </c>
      <c r="C30" s="53" t="s">
        <v>15</v>
      </c>
      <c r="D30" s="37" t="s">
        <v>205</v>
      </c>
      <c r="E30" s="37" t="s">
        <v>65</v>
      </c>
      <c r="F30" s="37" t="s">
        <v>82</v>
      </c>
      <c r="G30" s="37" t="s">
        <v>107</v>
      </c>
      <c r="H30" s="37" t="s">
        <v>113</v>
      </c>
      <c r="I30" s="37" t="s">
        <v>172</v>
      </c>
      <c r="J30" s="37" t="s">
        <v>144</v>
      </c>
      <c r="K30" s="37" t="s">
        <v>160</v>
      </c>
      <c r="L30" s="37">
        <v>3</v>
      </c>
      <c r="M30" s="37">
        <f>L30*5</f>
        <v>15</v>
      </c>
      <c r="N30" s="37">
        <v>100</v>
      </c>
      <c r="O30" s="61" t="s">
        <v>173</v>
      </c>
      <c r="P30" s="38">
        <v>1.5E-3</v>
      </c>
      <c r="Q30" s="38">
        <f>P30*N30</f>
        <v>0.15</v>
      </c>
      <c r="R30" s="37"/>
      <c r="S30" s="59"/>
    </row>
    <row r="31" spans="1:19" x14ac:dyDescent="0.25">
      <c r="A31" s="1"/>
      <c r="B31" s="46">
        <f>ROW(B31) - ROW($B$9)</f>
        <v>22</v>
      </c>
      <c r="C31" s="53" t="s">
        <v>15</v>
      </c>
      <c r="D31" s="37" t="s">
        <v>36</v>
      </c>
      <c r="E31" s="37" t="s">
        <v>61</v>
      </c>
      <c r="F31" s="37" t="s">
        <v>82</v>
      </c>
      <c r="G31" s="37" t="s">
        <v>103</v>
      </c>
      <c r="H31" s="37" t="s">
        <v>113</v>
      </c>
      <c r="I31" s="37" t="s">
        <v>172</v>
      </c>
      <c r="J31" s="37" t="s">
        <v>140</v>
      </c>
      <c r="K31" s="37" t="s">
        <v>156</v>
      </c>
      <c r="L31" s="37">
        <v>2</v>
      </c>
      <c r="M31" s="37">
        <f>L31*5</f>
        <v>10</v>
      </c>
      <c r="N31" s="37">
        <v>100</v>
      </c>
      <c r="O31" s="61" t="s">
        <v>173</v>
      </c>
      <c r="P31" s="38">
        <v>1.1999999999999999E-3</v>
      </c>
      <c r="Q31" s="38">
        <f>P31*N31</f>
        <v>0.12</v>
      </c>
      <c r="R31" s="37"/>
      <c r="S31" s="59"/>
    </row>
    <row r="32" spans="1:19" x14ac:dyDescent="0.25">
      <c r="A32" s="1"/>
      <c r="B32" s="47">
        <f t="shared" si="0"/>
        <v>23</v>
      </c>
      <c r="C32" s="54" t="s">
        <v>15</v>
      </c>
      <c r="D32" s="37" t="s">
        <v>206</v>
      </c>
      <c r="E32" s="51" t="s">
        <v>60</v>
      </c>
      <c r="F32" s="51" t="s">
        <v>82</v>
      </c>
      <c r="G32" s="51" t="s">
        <v>102</v>
      </c>
      <c r="H32" s="51" t="s">
        <v>113</v>
      </c>
      <c r="I32" s="51" t="s">
        <v>172</v>
      </c>
      <c r="J32" s="51" t="s">
        <v>139</v>
      </c>
      <c r="K32" s="51" t="s">
        <v>155</v>
      </c>
      <c r="L32" s="51">
        <v>2</v>
      </c>
      <c r="M32" s="51">
        <f t="shared" ref="M32" si="18">L32*5</f>
        <v>10</v>
      </c>
      <c r="N32" s="51">
        <v>100</v>
      </c>
      <c r="O32" s="61" t="s">
        <v>173</v>
      </c>
      <c r="P32" s="52">
        <v>1.2999999999999999E-3</v>
      </c>
      <c r="Q32" s="52">
        <f t="shared" ref="Q32" si="19">P32*N32</f>
        <v>0.13</v>
      </c>
      <c r="R32" s="51"/>
      <c r="S32" s="59"/>
    </row>
    <row r="33" spans="1:19" x14ac:dyDescent="0.25">
      <c r="A33" s="1"/>
      <c r="B33" s="47">
        <f t="shared" si="0"/>
        <v>24</v>
      </c>
      <c r="C33" s="54" t="s">
        <v>15</v>
      </c>
      <c r="D33" s="51" t="s">
        <v>37</v>
      </c>
      <c r="E33" s="51" t="s">
        <v>62</v>
      </c>
      <c r="F33" s="51" t="s">
        <v>82</v>
      </c>
      <c r="G33" s="51" t="s">
        <v>104</v>
      </c>
      <c r="H33" s="51" t="s">
        <v>113</v>
      </c>
      <c r="I33" s="51" t="s">
        <v>172</v>
      </c>
      <c r="J33" s="51" t="s">
        <v>141</v>
      </c>
      <c r="K33" s="51" t="s">
        <v>157</v>
      </c>
      <c r="L33" s="51">
        <v>2</v>
      </c>
      <c r="M33" s="51">
        <f t="shared" ref="M33" si="20">L33*5</f>
        <v>10</v>
      </c>
      <c r="N33" s="51">
        <v>100</v>
      </c>
      <c r="O33" s="61" t="s">
        <v>173</v>
      </c>
      <c r="P33" s="52">
        <v>1.2999999999999999E-3</v>
      </c>
      <c r="Q33" s="52">
        <f t="shared" ref="Q33" si="21">P33*N33</f>
        <v>0.13</v>
      </c>
      <c r="R33" s="51"/>
      <c r="S33" s="59"/>
    </row>
    <row r="34" spans="1:19" x14ac:dyDescent="0.25">
      <c r="A34" s="1"/>
      <c r="B34" s="46">
        <f>ROW(B34) - ROW($B$9)</f>
        <v>25</v>
      </c>
      <c r="C34" s="53" t="s">
        <v>15</v>
      </c>
      <c r="D34" s="37" t="s">
        <v>38</v>
      </c>
      <c r="E34" s="37" t="s">
        <v>63</v>
      </c>
      <c r="F34" s="37" t="s">
        <v>82</v>
      </c>
      <c r="G34" s="37" t="s">
        <v>105</v>
      </c>
      <c r="H34" s="37" t="s">
        <v>113</v>
      </c>
      <c r="I34" s="37" t="s">
        <v>172</v>
      </c>
      <c r="J34" s="37" t="s">
        <v>142</v>
      </c>
      <c r="K34" s="37" t="s">
        <v>158</v>
      </c>
      <c r="L34" s="37">
        <v>4</v>
      </c>
      <c r="M34" s="37">
        <f>L34*5</f>
        <v>20</v>
      </c>
      <c r="N34" s="37">
        <v>100</v>
      </c>
      <c r="O34" s="61" t="s">
        <v>173</v>
      </c>
      <c r="P34" s="38">
        <v>1.1999999999999999E-3</v>
      </c>
      <c r="Q34" s="38">
        <f>P34*N34</f>
        <v>0.12</v>
      </c>
      <c r="R34" s="37"/>
      <c r="S34" s="59"/>
    </row>
    <row r="35" spans="1:19" x14ac:dyDescent="0.25">
      <c r="A35" s="1"/>
      <c r="B35" s="47">
        <f t="shared" si="0"/>
        <v>26</v>
      </c>
      <c r="C35" s="53" t="s">
        <v>15</v>
      </c>
      <c r="D35" s="51" t="s">
        <v>39</v>
      </c>
      <c r="E35" s="51" t="s">
        <v>64</v>
      </c>
      <c r="F35" s="51" t="s">
        <v>82</v>
      </c>
      <c r="G35" s="51" t="s">
        <v>106</v>
      </c>
      <c r="H35" s="51" t="s">
        <v>113</v>
      </c>
      <c r="I35" s="51" t="s">
        <v>172</v>
      </c>
      <c r="J35" s="51" t="s">
        <v>143</v>
      </c>
      <c r="K35" s="51" t="s">
        <v>159</v>
      </c>
      <c r="L35" s="51">
        <v>4</v>
      </c>
      <c r="M35" s="51">
        <f t="shared" ref="M35" si="22">L35*5</f>
        <v>20</v>
      </c>
      <c r="N35" s="51">
        <v>100</v>
      </c>
      <c r="O35" s="61" t="s">
        <v>173</v>
      </c>
      <c r="P35" s="52">
        <v>1.1000000000000001E-3</v>
      </c>
      <c r="Q35" s="52">
        <f t="shared" ref="Q35" si="23">P35*N35</f>
        <v>0.11</v>
      </c>
      <c r="R35" s="51"/>
      <c r="S35" s="59"/>
    </row>
    <row r="36" spans="1:19" ht="30" x14ac:dyDescent="0.25">
      <c r="A36" s="1"/>
      <c r="B36" s="47">
        <f t="shared" si="0"/>
        <v>27</v>
      </c>
      <c r="C36" s="54" t="s">
        <v>16</v>
      </c>
      <c r="D36" s="51" t="s">
        <v>40</v>
      </c>
      <c r="E36" s="51" t="s">
        <v>66</v>
      </c>
      <c r="F36" s="51" t="s">
        <v>171</v>
      </c>
      <c r="G36" s="51" t="s">
        <v>83</v>
      </c>
      <c r="H36" s="51" t="s">
        <v>123</v>
      </c>
      <c r="I36" s="51" t="s">
        <v>172</v>
      </c>
      <c r="J36" s="51" t="s">
        <v>172</v>
      </c>
      <c r="K36" s="51" t="s">
        <v>172</v>
      </c>
      <c r="L36" s="51">
        <v>1</v>
      </c>
      <c r="M36" s="51">
        <f t="shared" ref="M36" si="24">L36*5</f>
        <v>5</v>
      </c>
      <c r="N36" s="51">
        <v>6</v>
      </c>
      <c r="O36" s="61" t="s">
        <v>239</v>
      </c>
      <c r="P36" s="52">
        <v>62.987000000000002</v>
      </c>
      <c r="Q36" s="52">
        <f t="shared" ref="Q36" si="25">P36*N36</f>
        <v>377.92200000000003</v>
      </c>
      <c r="R36" s="51"/>
      <c r="S36" s="59"/>
    </row>
    <row r="37" spans="1:19" ht="24" x14ac:dyDescent="0.25">
      <c r="A37" s="1"/>
      <c r="B37" s="46">
        <f>ROW(B37) - ROW($B$9)</f>
        <v>28</v>
      </c>
      <c r="C37" s="53" t="s">
        <v>16</v>
      </c>
      <c r="D37" s="37" t="s">
        <v>41</v>
      </c>
      <c r="E37" s="37" t="s">
        <v>67</v>
      </c>
      <c r="F37" s="37" t="s">
        <v>84</v>
      </c>
      <c r="G37" s="37" t="s">
        <v>108</v>
      </c>
      <c r="H37" s="37" t="s">
        <v>124</v>
      </c>
      <c r="I37" s="37" t="s">
        <v>172</v>
      </c>
      <c r="J37" s="37" t="s">
        <v>146</v>
      </c>
      <c r="K37" s="37" t="s">
        <v>172</v>
      </c>
      <c r="L37" s="37">
        <v>1</v>
      </c>
      <c r="M37" s="37">
        <f>L37*5</f>
        <v>5</v>
      </c>
      <c r="N37" s="37">
        <v>6</v>
      </c>
      <c r="O37" s="61" t="s">
        <v>173</v>
      </c>
      <c r="P37" s="38">
        <v>0.64600000000000002</v>
      </c>
      <c r="Q37" s="38">
        <f>P37*N37</f>
        <v>3.8760000000000003</v>
      </c>
      <c r="R37" s="37"/>
      <c r="S37" s="59"/>
    </row>
    <row r="38" spans="1:19" ht="24" x14ac:dyDescent="0.25">
      <c r="A38" s="1"/>
      <c r="B38" s="46">
        <f>ROW(B38) - ROW($B$9)</f>
        <v>29</v>
      </c>
      <c r="C38" s="53" t="s">
        <v>17</v>
      </c>
      <c r="D38" s="37" t="s">
        <v>202</v>
      </c>
      <c r="E38" s="37" t="s">
        <v>68</v>
      </c>
      <c r="F38" s="37" t="s">
        <v>85</v>
      </c>
      <c r="G38" s="37" t="s">
        <v>109</v>
      </c>
      <c r="H38" s="37" t="s">
        <v>125</v>
      </c>
      <c r="I38" s="37" t="s">
        <v>172</v>
      </c>
      <c r="J38" s="37" t="s">
        <v>147</v>
      </c>
      <c r="K38" s="37" t="s">
        <v>172</v>
      </c>
      <c r="L38" s="37">
        <v>2</v>
      </c>
      <c r="M38" s="37">
        <f>L38*5</f>
        <v>10</v>
      </c>
      <c r="N38" s="37">
        <v>20</v>
      </c>
      <c r="O38" s="61" t="s">
        <v>173</v>
      </c>
      <c r="P38" s="38">
        <v>3.85E-2</v>
      </c>
      <c r="Q38" s="38">
        <f>P38*N38</f>
        <v>0.77</v>
      </c>
      <c r="R38" s="37"/>
      <c r="S38" s="59"/>
    </row>
    <row r="39" spans="1:19" ht="15.75" thickBot="1" x14ac:dyDescent="0.3">
      <c r="A39" s="1"/>
      <c r="B39" s="47">
        <f t="shared" si="0"/>
        <v>30</v>
      </c>
      <c r="C39" s="54" t="s">
        <v>16</v>
      </c>
      <c r="D39" s="51" t="s">
        <v>42</v>
      </c>
      <c r="E39" s="51" t="s">
        <v>69</v>
      </c>
      <c r="F39" s="51" t="s">
        <v>86</v>
      </c>
      <c r="G39" s="51" t="s">
        <v>110</v>
      </c>
      <c r="H39" s="51" t="s">
        <v>126</v>
      </c>
      <c r="I39" s="51" t="s">
        <v>172</v>
      </c>
      <c r="J39" s="51" t="s">
        <v>148</v>
      </c>
      <c r="K39" s="51" t="s">
        <v>172</v>
      </c>
      <c r="L39" s="51">
        <v>1</v>
      </c>
      <c r="M39" s="51">
        <f t="shared" ref="M39:M41" si="26">L39*5</f>
        <v>5</v>
      </c>
      <c r="N39" s="51">
        <v>6</v>
      </c>
      <c r="O39" s="61" t="s">
        <v>173</v>
      </c>
      <c r="P39" s="52">
        <v>0.43280000000000002</v>
      </c>
      <c r="Q39" s="52">
        <f t="shared" ref="Q39:Q41" si="27">P39*N39</f>
        <v>2.5968</v>
      </c>
      <c r="R39" s="51"/>
      <c r="S39" s="39"/>
    </row>
    <row r="40" spans="1:19" ht="24.75" thickBot="1" x14ac:dyDescent="0.3">
      <c r="A40" s="1"/>
      <c r="B40" s="47">
        <f t="shared" si="0"/>
        <v>31</v>
      </c>
      <c r="C40" s="54" t="s">
        <v>182</v>
      </c>
      <c r="D40" s="51" t="s">
        <v>172</v>
      </c>
      <c r="E40" s="51" t="s">
        <v>207</v>
      </c>
      <c r="F40" s="51" t="s">
        <v>172</v>
      </c>
      <c r="G40" s="51" t="s">
        <v>208</v>
      </c>
      <c r="H40" s="51" t="s">
        <v>209</v>
      </c>
      <c r="I40" s="51" t="s">
        <v>172</v>
      </c>
      <c r="J40" s="51" t="s">
        <v>210</v>
      </c>
      <c r="K40" s="51" t="s">
        <v>172</v>
      </c>
      <c r="L40" s="51">
        <v>1</v>
      </c>
      <c r="M40" s="51">
        <f t="shared" si="26"/>
        <v>5</v>
      </c>
      <c r="N40" s="51">
        <v>5</v>
      </c>
      <c r="O40" s="61" t="s">
        <v>173</v>
      </c>
      <c r="P40" s="52">
        <v>1.8885000000000001</v>
      </c>
      <c r="Q40" s="52">
        <f t="shared" si="27"/>
        <v>9.4425000000000008</v>
      </c>
      <c r="R40" s="51"/>
      <c r="S40" s="39"/>
    </row>
    <row r="41" spans="1:19" s="72" customFormat="1" ht="15.75" thickBot="1" x14ac:dyDescent="0.3">
      <c r="A41" s="65"/>
      <c r="B41" s="66">
        <f t="shared" si="0"/>
        <v>32</v>
      </c>
      <c r="C41" s="67" t="s">
        <v>182</v>
      </c>
      <c r="D41" s="68" t="s">
        <v>172</v>
      </c>
      <c r="E41" s="68" t="s">
        <v>213</v>
      </c>
      <c r="F41" s="68"/>
      <c r="G41" s="68" t="s">
        <v>211</v>
      </c>
      <c r="H41" s="68" t="s">
        <v>212</v>
      </c>
      <c r="I41" s="68" t="s">
        <v>172</v>
      </c>
      <c r="J41" s="68" t="s">
        <v>214</v>
      </c>
      <c r="K41" s="68" t="s">
        <v>172</v>
      </c>
      <c r="L41" s="68">
        <v>1</v>
      </c>
      <c r="M41" s="68">
        <f t="shared" si="26"/>
        <v>5</v>
      </c>
      <c r="N41" s="68">
        <v>5</v>
      </c>
      <c r="O41" s="69" t="s">
        <v>173</v>
      </c>
      <c r="P41" s="70">
        <v>1.0505</v>
      </c>
      <c r="Q41" s="52">
        <f t="shared" si="27"/>
        <v>5.2524999999999995</v>
      </c>
      <c r="R41" s="68"/>
      <c r="S41" s="71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4" t="s">
        <v>5</v>
      </c>
      <c r="O42" s="85"/>
      <c r="P42" s="85"/>
      <c r="Q42" s="48">
        <f>SUM(Q10:Q41)</f>
        <v>432.81939999999997</v>
      </c>
      <c r="R42" s="80"/>
      <c r="S42" s="81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4" t="s">
        <v>6</v>
      </c>
      <c r="O43" s="85"/>
      <c r="P43" s="85"/>
      <c r="Q43" s="49">
        <f>Q42/5</f>
        <v>86.563879999999997</v>
      </c>
      <c r="R43" s="82"/>
      <c r="S43" s="83"/>
    </row>
  </sheetData>
  <mergeCells count="5">
    <mergeCell ref="K1:S1"/>
    <mergeCell ref="S3:S8"/>
    <mergeCell ref="R42:S43"/>
    <mergeCell ref="N42:P42"/>
    <mergeCell ref="N43:P43"/>
  </mergeCells>
  <hyperlinks>
    <hyperlink ref="O15" r:id="rId1"/>
    <hyperlink ref="O16" r:id="rId2"/>
    <hyperlink ref="O17" r:id="rId3"/>
    <hyperlink ref="O19" r:id="rId4"/>
    <hyperlink ref="O20" r:id="rId5"/>
    <hyperlink ref="O21" r:id="rId6"/>
    <hyperlink ref="O22" r:id="rId7"/>
    <hyperlink ref="O26" r:id="rId8"/>
    <hyperlink ref="O27" r:id="rId9"/>
    <hyperlink ref="O28" r:id="rId10"/>
    <hyperlink ref="O29" r:id="rId11"/>
    <hyperlink ref="O32" r:id="rId12"/>
    <hyperlink ref="O31" r:id="rId13"/>
    <hyperlink ref="O33" r:id="rId14"/>
    <hyperlink ref="O34" r:id="rId15"/>
    <hyperlink ref="O35" r:id="rId16"/>
    <hyperlink ref="O30" r:id="rId17"/>
    <hyperlink ref="O37" r:id="rId18"/>
    <hyperlink ref="O38" r:id="rId19"/>
    <hyperlink ref="O39" r:id="rId20"/>
    <hyperlink ref="O12" r:id="rId21"/>
    <hyperlink ref="O13" r:id="rId22"/>
    <hyperlink ref="O18" r:id="rId23"/>
    <hyperlink ref="O14" r:id="rId24"/>
    <hyperlink ref="O10" r:id="rId25"/>
    <hyperlink ref="O11" r:id="rId26"/>
    <hyperlink ref="O40" r:id="rId27"/>
    <hyperlink ref="O41" r:id="rId28"/>
    <hyperlink ref="O23" r:id="rId29"/>
    <hyperlink ref="O36" r:id="rId30"/>
  </hyperlinks>
  <pageMargins left="0.7" right="0.7" top="0.75" bottom="0.75" header="0.3" footer="0.3"/>
  <pageSetup paperSize="9" orientation="portrait" r:id="rId31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28" workbookViewId="0">
      <selection activeCell="A42" sqref="A42:XFD42"/>
    </sheetView>
  </sheetViews>
  <sheetFormatPr defaultRowHeight="15" x14ac:dyDescent="0.25"/>
  <cols>
    <col min="2" max="2" width="3" bestFit="1" customWidth="1"/>
    <col min="3" max="3" width="13.7109375" customWidth="1"/>
    <col min="4" max="4" width="31.140625" bestFit="1" customWidth="1"/>
    <col min="5" max="5" width="29.85546875" customWidth="1"/>
    <col min="6" max="6" width="17.140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570312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190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32"/>
      <c r="D4" s="13" t="s">
        <v>2</v>
      </c>
      <c r="E4" s="13"/>
      <c r="F4" s="57" t="s">
        <v>183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43</v>
      </c>
      <c r="F9" s="30" t="s">
        <v>70</v>
      </c>
      <c r="G9" s="30" t="s">
        <v>87</v>
      </c>
      <c r="H9" s="30" t="s">
        <v>111</v>
      </c>
      <c r="I9" s="30" t="s">
        <v>162</v>
      </c>
      <c r="J9" s="30" t="s">
        <v>127</v>
      </c>
      <c r="K9" s="30" t="s">
        <v>163</v>
      </c>
      <c r="L9" s="30" t="s">
        <v>161</v>
      </c>
      <c r="M9" s="30" t="s">
        <v>219</v>
      </c>
      <c r="N9" s="30" t="s">
        <v>220</v>
      </c>
      <c r="O9" s="30" t="s">
        <v>166</v>
      </c>
      <c r="P9" s="30" t="s">
        <v>221</v>
      </c>
      <c r="Q9" s="30" t="s">
        <v>222</v>
      </c>
      <c r="R9" s="30" t="s">
        <v>169</v>
      </c>
      <c r="S9" s="30" t="s">
        <v>170</v>
      </c>
    </row>
    <row r="10" spans="1:19" s="75" customFormat="1" ht="36" x14ac:dyDescent="0.25">
      <c r="A10" s="73"/>
      <c r="B10" s="46">
        <f>ROW(B10) - ROW($B$9)</f>
        <v>1</v>
      </c>
      <c r="C10" s="53" t="s">
        <v>192</v>
      </c>
      <c r="D10" s="37" t="s">
        <v>193</v>
      </c>
      <c r="E10" s="37" t="s">
        <v>194</v>
      </c>
      <c r="F10" s="37" t="s">
        <v>171</v>
      </c>
      <c r="G10" s="37" t="s">
        <v>195</v>
      </c>
      <c r="H10" s="37" t="s">
        <v>196</v>
      </c>
      <c r="I10" s="37" t="s">
        <v>172</v>
      </c>
      <c r="J10" s="37" t="s">
        <v>172</v>
      </c>
      <c r="K10" s="37" t="s">
        <v>172</v>
      </c>
      <c r="L10" s="37">
        <v>1</v>
      </c>
      <c r="M10" s="37">
        <f>L10*20</f>
        <v>20</v>
      </c>
      <c r="N10" s="37">
        <v>21</v>
      </c>
      <c r="O10" s="61" t="s">
        <v>204</v>
      </c>
      <c r="P10" s="38">
        <v>1.431</v>
      </c>
      <c r="Q10" s="38">
        <f>P10*N10</f>
        <v>30.051000000000002</v>
      </c>
      <c r="R10" s="63" t="s">
        <v>181</v>
      </c>
      <c r="S10" s="74"/>
    </row>
    <row r="11" spans="1:19" s="75" customFormat="1" x14ac:dyDescent="0.25">
      <c r="A11" s="73"/>
      <c r="B11" s="47">
        <f t="shared" ref="B11:B41" si="0">ROW(B11) - ROW($B$9)</f>
        <v>2</v>
      </c>
      <c r="C11" s="54" t="s">
        <v>9</v>
      </c>
      <c r="D11" s="51" t="s">
        <v>19</v>
      </c>
      <c r="E11" s="51" t="s">
        <v>197</v>
      </c>
      <c r="F11" s="51" t="s">
        <v>71</v>
      </c>
      <c r="G11" s="51" t="s">
        <v>198</v>
      </c>
      <c r="H11" s="51" t="s">
        <v>113</v>
      </c>
      <c r="I11" s="51" t="s">
        <v>172</v>
      </c>
      <c r="J11" s="51" t="s">
        <v>199</v>
      </c>
      <c r="K11" s="51" t="s">
        <v>200</v>
      </c>
      <c r="L11" s="51">
        <v>1</v>
      </c>
      <c r="M11" s="37">
        <f t="shared" ref="M11:M41" si="1">L11*20</f>
        <v>20</v>
      </c>
      <c r="N11" s="51">
        <v>100</v>
      </c>
      <c r="O11" s="60" t="s">
        <v>173</v>
      </c>
      <c r="P11" s="52">
        <v>4.0000000000000001E-3</v>
      </c>
      <c r="Q11" s="52">
        <f t="shared" ref="Q11" si="2">P11*N11</f>
        <v>0.4</v>
      </c>
      <c r="R11" s="51"/>
      <c r="S11" s="51"/>
    </row>
    <row r="12" spans="1:19" s="75" customFormat="1" x14ac:dyDescent="0.25">
      <c r="A12" s="73"/>
      <c r="B12" s="46">
        <f>ROW(B12) - ROW($B$9)</f>
        <v>3</v>
      </c>
      <c r="C12" s="54" t="s">
        <v>9</v>
      </c>
      <c r="D12" s="37" t="s">
        <v>20</v>
      </c>
      <c r="E12" s="37" t="s">
        <v>44</v>
      </c>
      <c r="F12" s="37" t="s">
        <v>72</v>
      </c>
      <c r="G12" s="62" t="s">
        <v>88</v>
      </c>
      <c r="H12" s="37" t="s">
        <v>112</v>
      </c>
      <c r="I12" s="37" t="s">
        <v>174</v>
      </c>
      <c r="J12" s="37" t="s">
        <v>175</v>
      </c>
      <c r="K12" s="37" t="s">
        <v>149</v>
      </c>
      <c r="L12" s="37">
        <v>1</v>
      </c>
      <c r="M12" s="37">
        <f t="shared" si="1"/>
        <v>20</v>
      </c>
      <c r="N12" s="37">
        <v>100</v>
      </c>
      <c r="O12" s="61" t="s">
        <v>173</v>
      </c>
      <c r="P12" s="38">
        <v>1.6000000000000001E-3</v>
      </c>
      <c r="Q12" s="38">
        <f>P12*N12</f>
        <v>0.16</v>
      </c>
      <c r="R12" s="37"/>
      <c r="S12" s="59"/>
    </row>
    <row r="13" spans="1:19" s="75" customFormat="1" x14ac:dyDescent="0.25">
      <c r="A13" s="73"/>
      <c r="B13" s="47">
        <f t="shared" si="0"/>
        <v>4</v>
      </c>
      <c r="C13" s="54" t="s">
        <v>9</v>
      </c>
      <c r="D13" s="51" t="s">
        <v>191</v>
      </c>
      <c r="E13" s="51" t="s">
        <v>45</v>
      </c>
      <c r="F13" s="51" t="s">
        <v>71</v>
      </c>
      <c r="G13" s="62" t="s">
        <v>89</v>
      </c>
      <c r="H13" s="51" t="s">
        <v>113</v>
      </c>
      <c r="I13" s="51" t="s">
        <v>176</v>
      </c>
      <c r="J13" s="51" t="s">
        <v>177</v>
      </c>
      <c r="K13" s="51" t="s">
        <v>150</v>
      </c>
      <c r="L13" s="51">
        <v>6</v>
      </c>
      <c r="M13" s="37">
        <f t="shared" si="1"/>
        <v>120</v>
      </c>
      <c r="N13" s="51">
        <v>200</v>
      </c>
      <c r="O13" s="60" t="s">
        <v>173</v>
      </c>
      <c r="P13" s="52">
        <v>2.3E-3</v>
      </c>
      <c r="Q13" s="52">
        <f t="shared" ref="Q13" si="3">P13*N13</f>
        <v>0.45999999999999996</v>
      </c>
      <c r="R13" s="51"/>
      <c r="S13" s="59"/>
    </row>
    <row r="14" spans="1:19" s="75" customFormat="1" x14ac:dyDescent="0.25">
      <c r="A14" s="73"/>
      <c r="B14" s="46">
        <f>ROW(B14) - ROW($B$9)</f>
        <v>5</v>
      </c>
      <c r="C14" s="53" t="s">
        <v>9</v>
      </c>
      <c r="D14" s="37" t="s">
        <v>21</v>
      </c>
      <c r="E14" s="37" t="s">
        <v>185</v>
      </c>
      <c r="F14" s="37" t="s">
        <v>186</v>
      </c>
      <c r="G14" s="37" t="s">
        <v>187</v>
      </c>
      <c r="H14" s="37" t="s">
        <v>188</v>
      </c>
      <c r="I14" s="37" t="s">
        <v>172</v>
      </c>
      <c r="J14" s="37" t="s">
        <v>189</v>
      </c>
      <c r="K14" s="37" t="s">
        <v>151</v>
      </c>
      <c r="L14" s="37">
        <v>1</v>
      </c>
      <c r="M14" s="37">
        <f t="shared" si="1"/>
        <v>20</v>
      </c>
      <c r="N14" s="37">
        <v>25</v>
      </c>
      <c r="O14" s="61" t="s">
        <v>173</v>
      </c>
      <c r="P14" s="38">
        <v>0.21779999999999999</v>
      </c>
      <c r="Q14" s="38">
        <f>P14*N14</f>
        <v>5.4450000000000003</v>
      </c>
      <c r="R14" s="37"/>
      <c r="S14" s="59"/>
    </row>
    <row r="15" spans="1:19" s="75" customFormat="1" x14ac:dyDescent="0.25">
      <c r="A15" s="73"/>
      <c r="B15" s="47">
        <f t="shared" si="0"/>
        <v>6</v>
      </c>
      <c r="C15" s="53" t="s">
        <v>9</v>
      </c>
      <c r="D15" s="51" t="s">
        <v>22</v>
      </c>
      <c r="E15" s="51" t="s">
        <v>46</v>
      </c>
      <c r="F15" s="51" t="s">
        <v>71</v>
      </c>
      <c r="G15" s="51" t="s">
        <v>90</v>
      </c>
      <c r="H15" s="51" t="s">
        <v>113</v>
      </c>
      <c r="I15" s="51" t="s">
        <v>172</v>
      </c>
      <c r="J15" s="51" t="s">
        <v>128</v>
      </c>
      <c r="K15" s="51" t="s">
        <v>152</v>
      </c>
      <c r="L15" s="51">
        <v>1</v>
      </c>
      <c r="M15" s="37">
        <f t="shared" si="1"/>
        <v>20</v>
      </c>
      <c r="N15" s="51">
        <v>100</v>
      </c>
      <c r="O15" s="60" t="s">
        <v>173</v>
      </c>
      <c r="P15" s="52">
        <v>5.1999999999999998E-3</v>
      </c>
      <c r="Q15" s="52">
        <f t="shared" ref="Q15" si="4">P15*N15</f>
        <v>0.52</v>
      </c>
      <c r="R15" s="51"/>
      <c r="S15" s="59"/>
    </row>
    <row r="16" spans="1:19" s="75" customFormat="1" x14ac:dyDescent="0.25">
      <c r="A16" s="73"/>
      <c r="B16" s="46">
        <f>ROW(B16) - ROW($B$9)</f>
        <v>7</v>
      </c>
      <c r="C16" s="53" t="s">
        <v>9</v>
      </c>
      <c r="D16" s="37" t="s">
        <v>23</v>
      </c>
      <c r="E16" s="37" t="s">
        <v>47</v>
      </c>
      <c r="F16" s="37" t="s">
        <v>72</v>
      </c>
      <c r="G16" s="37" t="s">
        <v>91</v>
      </c>
      <c r="H16" s="37" t="s">
        <v>113</v>
      </c>
      <c r="I16" s="37" t="s">
        <v>172</v>
      </c>
      <c r="J16" s="37" t="s">
        <v>129</v>
      </c>
      <c r="K16" s="37" t="s">
        <v>153</v>
      </c>
      <c r="L16" s="37">
        <v>3</v>
      </c>
      <c r="M16" s="37">
        <f t="shared" si="1"/>
        <v>60</v>
      </c>
      <c r="N16" s="37">
        <v>100</v>
      </c>
      <c r="O16" s="61" t="s">
        <v>173</v>
      </c>
      <c r="P16" s="38">
        <v>1E-3</v>
      </c>
      <c r="Q16" s="38">
        <f>P16*N16</f>
        <v>0.1</v>
      </c>
      <c r="R16" s="37"/>
      <c r="S16" s="59"/>
    </row>
    <row r="17" spans="1:19" s="75" customFormat="1" x14ac:dyDescent="0.25">
      <c r="A17" s="73"/>
      <c r="B17" s="47">
        <f t="shared" si="0"/>
        <v>8</v>
      </c>
      <c r="C17" s="54" t="s">
        <v>9</v>
      </c>
      <c r="D17" s="51" t="s">
        <v>24</v>
      </c>
      <c r="E17" s="51" t="s">
        <v>48</v>
      </c>
      <c r="F17" s="51" t="s">
        <v>73</v>
      </c>
      <c r="G17" s="51" t="s">
        <v>92</v>
      </c>
      <c r="H17" s="51" t="s">
        <v>114</v>
      </c>
      <c r="I17" s="51" t="s">
        <v>172</v>
      </c>
      <c r="J17" s="51" t="s">
        <v>130</v>
      </c>
      <c r="K17" s="51" t="s">
        <v>154</v>
      </c>
      <c r="L17" s="51">
        <v>2</v>
      </c>
      <c r="M17" s="37">
        <f t="shared" si="1"/>
        <v>40</v>
      </c>
      <c r="N17" s="51">
        <v>50</v>
      </c>
      <c r="O17" s="61" t="s">
        <v>173</v>
      </c>
      <c r="P17" s="52">
        <v>1.41E-2</v>
      </c>
      <c r="Q17" s="52">
        <f t="shared" ref="Q17" si="5">P17*N17</f>
        <v>0.70499999999999996</v>
      </c>
      <c r="R17" s="51"/>
      <c r="S17" s="59"/>
    </row>
    <row r="18" spans="1:19" s="75" customFormat="1" ht="24" x14ac:dyDescent="0.25">
      <c r="A18" s="73"/>
      <c r="B18" s="46">
        <f>ROW(B18) - ROW($B$9)</f>
        <v>9</v>
      </c>
      <c r="C18" s="53" t="s">
        <v>10</v>
      </c>
      <c r="D18" s="37" t="s">
        <v>25</v>
      </c>
      <c r="E18" s="37" t="s">
        <v>49</v>
      </c>
      <c r="F18" s="37" t="s">
        <v>74</v>
      </c>
      <c r="G18" s="62" t="s">
        <v>93</v>
      </c>
      <c r="H18" s="37" t="s">
        <v>115</v>
      </c>
      <c r="I18" s="37" t="s">
        <v>178</v>
      </c>
      <c r="J18" s="37" t="s">
        <v>179</v>
      </c>
      <c r="K18" s="37" t="s">
        <v>172</v>
      </c>
      <c r="L18" s="37">
        <v>1</v>
      </c>
      <c r="M18" s="37">
        <f t="shared" si="1"/>
        <v>20</v>
      </c>
      <c r="N18" s="37">
        <v>25</v>
      </c>
      <c r="O18" s="61" t="s">
        <v>173</v>
      </c>
      <c r="P18" s="38">
        <v>0.1037</v>
      </c>
      <c r="Q18" s="38">
        <f>P18*N18</f>
        <v>2.5924999999999998</v>
      </c>
      <c r="R18" s="37"/>
      <c r="S18" s="59"/>
    </row>
    <row r="19" spans="1:19" s="75" customFormat="1" ht="24" x14ac:dyDescent="0.25">
      <c r="A19" s="73"/>
      <c r="B19" s="47">
        <f t="shared" si="0"/>
        <v>10</v>
      </c>
      <c r="C19" s="54" t="s">
        <v>10</v>
      </c>
      <c r="D19" s="51" t="s">
        <v>26</v>
      </c>
      <c r="E19" s="51" t="s">
        <v>50</v>
      </c>
      <c r="F19" s="51" t="s">
        <v>75</v>
      </c>
      <c r="G19" s="51" t="s">
        <v>94</v>
      </c>
      <c r="H19" s="51" t="s">
        <v>116</v>
      </c>
      <c r="I19" s="51" t="s">
        <v>172</v>
      </c>
      <c r="J19" s="51" t="s">
        <v>131</v>
      </c>
      <c r="K19" s="51" t="s">
        <v>172</v>
      </c>
      <c r="L19" s="51">
        <v>2</v>
      </c>
      <c r="M19" s="37">
        <f t="shared" si="1"/>
        <v>40</v>
      </c>
      <c r="N19" s="51">
        <v>60</v>
      </c>
      <c r="O19" s="61" t="s">
        <v>173</v>
      </c>
      <c r="P19" s="52">
        <v>3.1699999999999999E-2</v>
      </c>
      <c r="Q19" s="52">
        <f t="shared" ref="Q19" si="6">P19*N19</f>
        <v>1.9019999999999999</v>
      </c>
      <c r="R19" s="51"/>
      <c r="S19" s="59"/>
    </row>
    <row r="20" spans="1:19" s="75" customFormat="1" x14ac:dyDescent="0.25">
      <c r="A20" s="73"/>
      <c r="B20" s="46">
        <f>ROW(B20) - ROW($B$9)</f>
        <v>11</v>
      </c>
      <c r="C20" s="53" t="s">
        <v>10</v>
      </c>
      <c r="D20" s="37" t="s">
        <v>27</v>
      </c>
      <c r="E20" s="37" t="s">
        <v>51</v>
      </c>
      <c r="F20" s="37" t="s">
        <v>76</v>
      </c>
      <c r="G20" s="37" t="s">
        <v>95</v>
      </c>
      <c r="H20" s="37" t="s">
        <v>117</v>
      </c>
      <c r="I20" s="37" t="s">
        <v>172</v>
      </c>
      <c r="J20" s="37" t="s">
        <v>132</v>
      </c>
      <c r="K20" s="37" t="s">
        <v>172</v>
      </c>
      <c r="L20" s="37">
        <v>1</v>
      </c>
      <c r="M20" s="37">
        <f t="shared" si="1"/>
        <v>20</v>
      </c>
      <c r="N20" s="37">
        <v>30</v>
      </c>
      <c r="O20" s="61" t="s">
        <v>173</v>
      </c>
      <c r="P20" s="38">
        <v>5.4399999999999997E-2</v>
      </c>
      <c r="Q20" s="38">
        <f>P20*N20</f>
        <v>1.6319999999999999</v>
      </c>
      <c r="R20" s="37"/>
      <c r="S20" s="59"/>
    </row>
    <row r="21" spans="1:19" s="75" customFormat="1" ht="24" x14ac:dyDescent="0.25">
      <c r="A21" s="73"/>
      <c r="B21" s="47">
        <f t="shared" si="0"/>
        <v>12</v>
      </c>
      <c r="C21" s="54" t="s">
        <v>10</v>
      </c>
      <c r="D21" s="51" t="s">
        <v>28</v>
      </c>
      <c r="E21" s="51" t="s">
        <v>52</v>
      </c>
      <c r="F21" s="51" t="s">
        <v>77</v>
      </c>
      <c r="G21" s="51" t="s">
        <v>96</v>
      </c>
      <c r="H21" s="51" t="s">
        <v>118</v>
      </c>
      <c r="I21" s="51" t="s">
        <v>172</v>
      </c>
      <c r="J21" s="51" t="s">
        <v>133</v>
      </c>
      <c r="K21" s="51" t="s">
        <v>172</v>
      </c>
      <c r="L21" s="51">
        <v>1</v>
      </c>
      <c r="M21" s="37">
        <f t="shared" si="1"/>
        <v>20</v>
      </c>
      <c r="N21" s="51">
        <v>30</v>
      </c>
      <c r="O21" s="61" t="s">
        <v>173</v>
      </c>
      <c r="P21" s="52">
        <v>8.6400000000000005E-2</v>
      </c>
      <c r="Q21" s="52">
        <f t="shared" ref="Q21" si="7">P21*N21</f>
        <v>2.5920000000000001</v>
      </c>
      <c r="R21" s="51"/>
      <c r="S21" s="59"/>
    </row>
    <row r="22" spans="1:19" s="75" customFormat="1" ht="24" x14ac:dyDescent="0.25">
      <c r="A22" s="73"/>
      <c r="B22" s="46">
        <f>ROW(B22) - ROW($B$9)</f>
        <v>13</v>
      </c>
      <c r="C22" s="53" t="s">
        <v>11</v>
      </c>
      <c r="D22" s="37" t="s">
        <v>29</v>
      </c>
      <c r="E22" s="37" t="s">
        <v>53</v>
      </c>
      <c r="F22" s="37" t="s">
        <v>78</v>
      </c>
      <c r="G22" s="37" t="s">
        <v>97</v>
      </c>
      <c r="H22" s="37" t="s">
        <v>119</v>
      </c>
      <c r="I22" s="37" t="s">
        <v>172</v>
      </c>
      <c r="J22" s="37" t="s">
        <v>134</v>
      </c>
      <c r="K22" s="37" t="s">
        <v>172</v>
      </c>
      <c r="L22" s="37">
        <v>1</v>
      </c>
      <c r="M22" s="37">
        <f t="shared" si="1"/>
        <v>20</v>
      </c>
      <c r="N22" s="37">
        <v>30</v>
      </c>
      <c r="O22" s="61" t="s">
        <v>173</v>
      </c>
      <c r="P22" s="38">
        <v>4.5100000000000001E-2</v>
      </c>
      <c r="Q22" s="38">
        <f>P22*N22</f>
        <v>1.353</v>
      </c>
      <c r="R22" s="37"/>
      <c r="S22" s="59"/>
    </row>
    <row r="23" spans="1:19" s="75" customFormat="1" ht="36" x14ac:dyDescent="0.25">
      <c r="A23" s="73"/>
      <c r="B23" s="47">
        <f t="shared" si="0"/>
        <v>14</v>
      </c>
      <c r="C23" s="54" t="s">
        <v>215</v>
      </c>
      <c r="D23" s="51" t="s">
        <v>30</v>
      </c>
      <c r="E23" s="51" t="s">
        <v>216</v>
      </c>
      <c r="F23" s="51" t="s">
        <v>171</v>
      </c>
      <c r="G23" s="51" t="s">
        <v>217</v>
      </c>
      <c r="H23" s="51" t="s">
        <v>184</v>
      </c>
      <c r="I23" s="51" t="s">
        <v>172</v>
      </c>
      <c r="J23" s="51" t="s">
        <v>218</v>
      </c>
      <c r="K23" s="51" t="s">
        <v>172</v>
      </c>
      <c r="L23" s="51">
        <v>1</v>
      </c>
      <c r="M23" s="37">
        <f t="shared" si="1"/>
        <v>20</v>
      </c>
      <c r="N23" s="37">
        <v>21</v>
      </c>
      <c r="O23" s="60" t="s">
        <v>173</v>
      </c>
      <c r="P23" s="52">
        <v>0.66659999999999997</v>
      </c>
      <c r="Q23" s="52">
        <f t="shared" ref="Q23" si="8">P23*N23</f>
        <v>13.9986</v>
      </c>
      <c r="R23" s="51"/>
      <c r="S23" s="59"/>
    </row>
    <row r="24" spans="1:19" s="75" customFormat="1" x14ac:dyDescent="0.25">
      <c r="A24" s="73"/>
      <c r="B24" s="46">
        <f>ROW(B24) - ROW($B$9)</f>
        <v>15</v>
      </c>
      <c r="C24" s="53" t="s">
        <v>180</v>
      </c>
      <c r="D24" s="62" t="s">
        <v>31</v>
      </c>
      <c r="E24" s="62" t="s">
        <v>54</v>
      </c>
      <c r="F24" s="62" t="s">
        <v>171</v>
      </c>
      <c r="G24" s="62" t="s">
        <v>172</v>
      </c>
      <c r="H24" s="62" t="s">
        <v>172</v>
      </c>
      <c r="I24" s="62" t="s">
        <v>172</v>
      </c>
      <c r="J24" s="62" t="s">
        <v>172</v>
      </c>
      <c r="K24" s="62" t="s">
        <v>172</v>
      </c>
      <c r="L24" s="62">
        <v>1</v>
      </c>
      <c r="M24" s="37">
        <f t="shared" si="1"/>
        <v>20</v>
      </c>
      <c r="N24" s="62" t="s">
        <v>172</v>
      </c>
      <c r="O24" s="62" t="s">
        <v>172</v>
      </c>
      <c r="P24" s="62" t="s">
        <v>172</v>
      </c>
      <c r="Q24" s="62" t="s">
        <v>172</v>
      </c>
      <c r="R24" s="62"/>
      <c r="S24" s="59"/>
    </row>
    <row r="25" spans="1:19" s="75" customFormat="1" x14ac:dyDescent="0.25">
      <c r="A25" s="73"/>
      <c r="B25" s="47">
        <f t="shared" si="0"/>
        <v>16</v>
      </c>
      <c r="C25" s="54" t="s">
        <v>12</v>
      </c>
      <c r="D25" s="64" t="s">
        <v>32</v>
      </c>
      <c r="E25" s="64" t="s">
        <v>55</v>
      </c>
      <c r="F25" s="64" t="s">
        <v>171</v>
      </c>
      <c r="G25" s="64" t="s">
        <v>98</v>
      </c>
      <c r="H25" s="62" t="s">
        <v>172</v>
      </c>
      <c r="I25" s="62" t="s">
        <v>172</v>
      </c>
      <c r="J25" s="62" t="s">
        <v>172</v>
      </c>
      <c r="K25" s="62" t="s">
        <v>172</v>
      </c>
      <c r="L25" s="64">
        <v>1</v>
      </c>
      <c r="M25" s="37">
        <f t="shared" si="1"/>
        <v>20</v>
      </c>
      <c r="N25" s="62" t="s">
        <v>172</v>
      </c>
      <c r="O25" s="62" t="s">
        <v>172</v>
      </c>
      <c r="P25" s="62" t="s">
        <v>172</v>
      </c>
      <c r="Q25" s="62" t="s">
        <v>172</v>
      </c>
      <c r="R25" s="51"/>
      <c r="S25" s="59"/>
    </row>
    <row r="26" spans="1:19" s="75" customFormat="1" ht="48" x14ac:dyDescent="0.25">
      <c r="A26" s="73"/>
      <c r="B26" s="46">
        <f>ROW(B26) - ROW($B$9)</f>
        <v>17</v>
      </c>
      <c r="C26" s="53" t="s">
        <v>13</v>
      </c>
      <c r="D26" s="37" t="s">
        <v>201</v>
      </c>
      <c r="E26" s="37" t="s">
        <v>56</v>
      </c>
      <c r="F26" s="37" t="s">
        <v>171</v>
      </c>
      <c r="G26" s="37" t="s">
        <v>79</v>
      </c>
      <c r="H26" s="37" t="s">
        <v>120</v>
      </c>
      <c r="I26" s="37" t="s">
        <v>172</v>
      </c>
      <c r="J26" s="37" t="s">
        <v>135</v>
      </c>
      <c r="K26" s="37" t="s">
        <v>172</v>
      </c>
      <c r="L26" s="37">
        <v>2</v>
      </c>
      <c r="M26" s="37">
        <f t="shared" si="1"/>
        <v>40</v>
      </c>
      <c r="N26" s="37">
        <v>41</v>
      </c>
      <c r="O26" s="61" t="s">
        <v>173</v>
      </c>
      <c r="P26" s="38">
        <v>0.50280000000000002</v>
      </c>
      <c r="Q26" s="38">
        <f>P26*N26</f>
        <v>20.614800000000002</v>
      </c>
      <c r="R26" s="37"/>
      <c r="S26" s="59"/>
    </row>
    <row r="27" spans="1:19" s="75" customFormat="1" ht="24" x14ac:dyDescent="0.25">
      <c r="A27" s="73"/>
      <c r="B27" s="46">
        <f>ROW(B27) - ROW($B$9)</f>
        <v>18</v>
      </c>
      <c r="C27" s="53" t="s">
        <v>14</v>
      </c>
      <c r="D27" s="37" t="s">
        <v>33</v>
      </c>
      <c r="E27" s="37" t="s">
        <v>57</v>
      </c>
      <c r="F27" s="37" t="s">
        <v>80</v>
      </c>
      <c r="G27" s="37" t="s">
        <v>99</v>
      </c>
      <c r="H27" s="37" t="s">
        <v>121</v>
      </c>
      <c r="I27" s="37" t="s">
        <v>172</v>
      </c>
      <c r="J27" s="37" t="s">
        <v>136</v>
      </c>
      <c r="K27" s="37" t="s">
        <v>172</v>
      </c>
      <c r="L27" s="37">
        <v>1</v>
      </c>
      <c r="M27" s="37">
        <f t="shared" si="1"/>
        <v>20</v>
      </c>
      <c r="N27" s="37">
        <v>40</v>
      </c>
      <c r="O27" s="61" t="s">
        <v>173</v>
      </c>
      <c r="P27" s="38">
        <v>3.4799999999999998E-2</v>
      </c>
      <c r="Q27" s="38">
        <f>P27*N27</f>
        <v>1.3919999999999999</v>
      </c>
      <c r="R27" s="37"/>
      <c r="S27" s="59"/>
    </row>
    <row r="28" spans="1:19" s="75" customFormat="1" ht="24" x14ac:dyDescent="0.25">
      <c r="A28" s="73"/>
      <c r="B28" s="47">
        <f t="shared" si="0"/>
        <v>19</v>
      </c>
      <c r="C28" s="54" t="s">
        <v>14</v>
      </c>
      <c r="D28" s="51" t="s">
        <v>34</v>
      </c>
      <c r="E28" s="51" t="s">
        <v>58</v>
      </c>
      <c r="F28" s="51" t="s">
        <v>80</v>
      </c>
      <c r="G28" s="51" t="s">
        <v>100</v>
      </c>
      <c r="H28" s="51" t="s">
        <v>121</v>
      </c>
      <c r="I28" s="51" t="s">
        <v>172</v>
      </c>
      <c r="J28" s="51" t="s">
        <v>137</v>
      </c>
      <c r="K28" s="51" t="s">
        <v>172</v>
      </c>
      <c r="L28" s="51">
        <v>1</v>
      </c>
      <c r="M28" s="37">
        <f t="shared" si="1"/>
        <v>20</v>
      </c>
      <c r="N28" s="51">
        <v>30</v>
      </c>
      <c r="O28" s="61" t="s">
        <v>173</v>
      </c>
      <c r="P28" s="52">
        <v>5.1499999999999997E-2</v>
      </c>
      <c r="Q28" s="52">
        <f t="shared" ref="Q28" si="9">P28*N28</f>
        <v>1.5449999999999999</v>
      </c>
      <c r="R28" s="51"/>
      <c r="S28" s="59"/>
    </row>
    <row r="29" spans="1:19" s="75" customFormat="1" ht="48" x14ac:dyDescent="0.25">
      <c r="A29" s="73"/>
      <c r="B29" s="46">
        <f>ROW(B29) - ROW($B$9)</f>
        <v>20</v>
      </c>
      <c r="C29" s="53" t="s">
        <v>203</v>
      </c>
      <c r="D29" s="37" t="s">
        <v>35</v>
      </c>
      <c r="E29" s="37" t="s">
        <v>59</v>
      </c>
      <c r="F29" s="37" t="s">
        <v>81</v>
      </c>
      <c r="G29" s="37" t="s">
        <v>101</v>
      </c>
      <c r="H29" s="37" t="s">
        <v>122</v>
      </c>
      <c r="I29" s="37" t="s">
        <v>172</v>
      </c>
      <c r="J29" s="37" t="s">
        <v>138</v>
      </c>
      <c r="K29" s="37" t="s">
        <v>172</v>
      </c>
      <c r="L29" s="37">
        <v>4</v>
      </c>
      <c r="M29" s="37">
        <f t="shared" si="1"/>
        <v>80</v>
      </c>
      <c r="N29" s="37">
        <v>100</v>
      </c>
      <c r="O29" s="61" t="s">
        <v>173</v>
      </c>
      <c r="P29" s="38">
        <v>3.3500000000000002E-2</v>
      </c>
      <c r="Q29" s="38">
        <f>P29*N29</f>
        <v>3.35</v>
      </c>
      <c r="R29" s="37"/>
      <c r="S29" s="59"/>
    </row>
    <row r="30" spans="1:19" s="75" customFormat="1" x14ac:dyDescent="0.25">
      <c r="A30" s="73"/>
      <c r="B30" s="46">
        <f>ROW(B30) - ROW($B$9)</f>
        <v>21</v>
      </c>
      <c r="C30" s="53" t="s">
        <v>15</v>
      </c>
      <c r="D30" s="37" t="s">
        <v>205</v>
      </c>
      <c r="E30" s="37" t="s">
        <v>65</v>
      </c>
      <c r="F30" s="37" t="s">
        <v>82</v>
      </c>
      <c r="G30" s="37" t="s">
        <v>107</v>
      </c>
      <c r="H30" s="37" t="s">
        <v>113</v>
      </c>
      <c r="I30" s="37" t="s">
        <v>172</v>
      </c>
      <c r="J30" s="37" t="s">
        <v>144</v>
      </c>
      <c r="K30" s="37" t="s">
        <v>160</v>
      </c>
      <c r="L30" s="37">
        <v>3</v>
      </c>
      <c r="M30" s="37">
        <f t="shared" si="1"/>
        <v>60</v>
      </c>
      <c r="N30" s="37">
        <v>100</v>
      </c>
      <c r="O30" s="61" t="s">
        <v>173</v>
      </c>
      <c r="P30" s="38">
        <v>1.5E-3</v>
      </c>
      <c r="Q30" s="38">
        <f>P30*N30</f>
        <v>0.15</v>
      </c>
      <c r="R30" s="37"/>
      <c r="S30" s="59"/>
    </row>
    <row r="31" spans="1:19" s="75" customFormat="1" x14ac:dyDescent="0.25">
      <c r="A31" s="73"/>
      <c r="B31" s="46">
        <f>ROW(B31) - ROW($B$9)</f>
        <v>22</v>
      </c>
      <c r="C31" s="53" t="s">
        <v>15</v>
      </c>
      <c r="D31" s="37" t="s">
        <v>36</v>
      </c>
      <c r="E31" s="37" t="s">
        <v>61</v>
      </c>
      <c r="F31" s="37" t="s">
        <v>82</v>
      </c>
      <c r="G31" s="37" t="s">
        <v>103</v>
      </c>
      <c r="H31" s="37" t="s">
        <v>113</v>
      </c>
      <c r="I31" s="37" t="s">
        <v>172</v>
      </c>
      <c r="J31" s="37" t="s">
        <v>140</v>
      </c>
      <c r="K31" s="37" t="s">
        <v>156</v>
      </c>
      <c r="L31" s="37">
        <v>2</v>
      </c>
      <c r="M31" s="37">
        <f t="shared" si="1"/>
        <v>40</v>
      </c>
      <c r="N31" s="37">
        <v>100</v>
      </c>
      <c r="O31" s="61" t="s">
        <v>173</v>
      </c>
      <c r="P31" s="38">
        <v>1.1999999999999999E-3</v>
      </c>
      <c r="Q31" s="38">
        <f>P31*N31</f>
        <v>0.12</v>
      </c>
      <c r="R31" s="37"/>
      <c r="S31" s="59"/>
    </row>
    <row r="32" spans="1:19" s="75" customFormat="1" x14ac:dyDescent="0.25">
      <c r="A32" s="73"/>
      <c r="B32" s="47">
        <f t="shared" si="0"/>
        <v>23</v>
      </c>
      <c r="C32" s="54" t="s">
        <v>15</v>
      </c>
      <c r="D32" s="37" t="s">
        <v>206</v>
      </c>
      <c r="E32" s="51" t="s">
        <v>60</v>
      </c>
      <c r="F32" s="51" t="s">
        <v>82</v>
      </c>
      <c r="G32" s="51" t="s">
        <v>102</v>
      </c>
      <c r="H32" s="51" t="s">
        <v>113</v>
      </c>
      <c r="I32" s="51" t="s">
        <v>172</v>
      </c>
      <c r="J32" s="51" t="s">
        <v>139</v>
      </c>
      <c r="K32" s="51" t="s">
        <v>155</v>
      </c>
      <c r="L32" s="51">
        <v>2</v>
      </c>
      <c r="M32" s="37">
        <f t="shared" si="1"/>
        <v>40</v>
      </c>
      <c r="N32" s="51">
        <v>100</v>
      </c>
      <c r="O32" s="61" t="s">
        <v>173</v>
      </c>
      <c r="P32" s="52">
        <v>1.2999999999999999E-3</v>
      </c>
      <c r="Q32" s="52">
        <f t="shared" ref="Q32:Q33" si="10">P32*N32</f>
        <v>0.13</v>
      </c>
      <c r="R32" s="51"/>
      <c r="S32" s="59"/>
    </row>
    <row r="33" spans="1:19" s="75" customFormat="1" x14ac:dyDescent="0.25">
      <c r="A33" s="73"/>
      <c r="B33" s="47">
        <f t="shared" si="0"/>
        <v>24</v>
      </c>
      <c r="C33" s="54" t="s">
        <v>15</v>
      </c>
      <c r="D33" s="51" t="s">
        <v>37</v>
      </c>
      <c r="E33" s="51" t="s">
        <v>62</v>
      </c>
      <c r="F33" s="51" t="s">
        <v>82</v>
      </c>
      <c r="G33" s="51" t="s">
        <v>104</v>
      </c>
      <c r="H33" s="51" t="s">
        <v>113</v>
      </c>
      <c r="I33" s="51" t="s">
        <v>172</v>
      </c>
      <c r="J33" s="51" t="s">
        <v>141</v>
      </c>
      <c r="K33" s="51" t="s">
        <v>157</v>
      </c>
      <c r="L33" s="51">
        <v>2</v>
      </c>
      <c r="M33" s="37">
        <f t="shared" si="1"/>
        <v>40</v>
      </c>
      <c r="N33" s="51">
        <v>100</v>
      </c>
      <c r="O33" s="61" t="s">
        <v>173</v>
      </c>
      <c r="P33" s="52">
        <v>1.2999999999999999E-3</v>
      </c>
      <c r="Q33" s="52">
        <f t="shared" si="10"/>
        <v>0.13</v>
      </c>
      <c r="R33" s="51"/>
      <c r="S33" s="59"/>
    </row>
    <row r="34" spans="1:19" s="75" customFormat="1" x14ac:dyDescent="0.25">
      <c r="A34" s="73"/>
      <c r="B34" s="46">
        <f>ROW(B34) - ROW($B$9)</f>
        <v>25</v>
      </c>
      <c r="C34" s="53" t="s">
        <v>15</v>
      </c>
      <c r="D34" s="37" t="s">
        <v>38</v>
      </c>
      <c r="E34" s="37" t="s">
        <v>63</v>
      </c>
      <c r="F34" s="37" t="s">
        <v>82</v>
      </c>
      <c r="G34" s="37" t="s">
        <v>105</v>
      </c>
      <c r="H34" s="37" t="s">
        <v>113</v>
      </c>
      <c r="I34" s="37" t="s">
        <v>172</v>
      </c>
      <c r="J34" s="37" t="s">
        <v>142</v>
      </c>
      <c r="K34" s="37" t="s">
        <v>158</v>
      </c>
      <c r="L34" s="37">
        <v>4</v>
      </c>
      <c r="M34" s="37">
        <f t="shared" si="1"/>
        <v>80</v>
      </c>
      <c r="N34" s="37">
        <v>100</v>
      </c>
      <c r="O34" s="61" t="s">
        <v>173</v>
      </c>
      <c r="P34" s="38">
        <v>1.1999999999999999E-3</v>
      </c>
      <c r="Q34" s="38">
        <f>P34*N34</f>
        <v>0.12</v>
      </c>
      <c r="R34" s="37"/>
      <c r="S34" s="59"/>
    </row>
    <row r="35" spans="1:19" s="75" customFormat="1" x14ac:dyDescent="0.25">
      <c r="A35" s="73"/>
      <c r="B35" s="47">
        <f t="shared" si="0"/>
        <v>26</v>
      </c>
      <c r="C35" s="53" t="s">
        <v>15</v>
      </c>
      <c r="D35" s="51" t="s">
        <v>39</v>
      </c>
      <c r="E35" s="51" t="s">
        <v>64</v>
      </c>
      <c r="F35" s="51" t="s">
        <v>82</v>
      </c>
      <c r="G35" s="51" t="s">
        <v>106</v>
      </c>
      <c r="H35" s="51" t="s">
        <v>113</v>
      </c>
      <c r="I35" s="51" t="s">
        <v>172</v>
      </c>
      <c r="J35" s="51" t="s">
        <v>143</v>
      </c>
      <c r="K35" s="51" t="s">
        <v>159</v>
      </c>
      <c r="L35" s="51">
        <v>4</v>
      </c>
      <c r="M35" s="37">
        <f t="shared" si="1"/>
        <v>80</v>
      </c>
      <c r="N35" s="51">
        <v>100</v>
      </c>
      <c r="O35" s="61" t="s">
        <v>173</v>
      </c>
      <c r="P35" s="52">
        <v>1.1000000000000001E-3</v>
      </c>
      <c r="Q35" s="52">
        <f t="shared" ref="Q35:Q36" si="11">P35*N35</f>
        <v>0.11</v>
      </c>
      <c r="R35" s="51"/>
      <c r="S35" s="59"/>
    </row>
    <row r="36" spans="1:19" s="75" customFormat="1" ht="30" x14ac:dyDescent="0.25">
      <c r="A36" s="73"/>
      <c r="B36" s="47">
        <f t="shared" si="0"/>
        <v>27</v>
      </c>
      <c r="C36" s="54" t="s">
        <v>16</v>
      </c>
      <c r="D36" s="51" t="s">
        <v>40</v>
      </c>
      <c r="E36" s="51" t="s">
        <v>66</v>
      </c>
      <c r="F36" s="51" t="s">
        <v>171</v>
      </c>
      <c r="G36" s="51" t="s">
        <v>83</v>
      </c>
      <c r="H36" s="51" t="s">
        <v>123</v>
      </c>
      <c r="I36" s="51" t="s">
        <v>172</v>
      </c>
      <c r="J36" s="51" t="s">
        <v>145</v>
      </c>
      <c r="K36" s="51" t="s">
        <v>172</v>
      </c>
      <c r="L36" s="51">
        <v>1</v>
      </c>
      <c r="M36" s="37">
        <f t="shared" si="1"/>
        <v>20</v>
      </c>
      <c r="N36" s="51">
        <v>21</v>
      </c>
      <c r="O36" s="61" t="s">
        <v>239</v>
      </c>
      <c r="P36" s="52">
        <v>47.240250000000003</v>
      </c>
      <c r="Q36" s="52">
        <f t="shared" si="11"/>
        <v>992.04525000000012</v>
      </c>
      <c r="R36" s="51"/>
      <c r="S36" s="59"/>
    </row>
    <row r="37" spans="1:19" s="75" customFormat="1" ht="36" x14ac:dyDescent="0.25">
      <c r="A37" s="73"/>
      <c r="B37" s="46">
        <f>ROW(B37) - ROW($B$9)</f>
        <v>28</v>
      </c>
      <c r="C37" s="53" t="s">
        <v>16</v>
      </c>
      <c r="D37" s="37" t="s">
        <v>41</v>
      </c>
      <c r="E37" s="37" t="s">
        <v>67</v>
      </c>
      <c r="F37" s="37" t="s">
        <v>84</v>
      </c>
      <c r="G37" s="37" t="s">
        <v>108</v>
      </c>
      <c r="H37" s="37" t="s">
        <v>124</v>
      </c>
      <c r="I37" s="37" t="s">
        <v>172</v>
      </c>
      <c r="J37" s="37" t="s">
        <v>146</v>
      </c>
      <c r="K37" s="37" t="s">
        <v>172</v>
      </c>
      <c r="L37" s="37">
        <v>1</v>
      </c>
      <c r="M37" s="37">
        <f t="shared" si="1"/>
        <v>20</v>
      </c>
      <c r="N37" s="37">
        <v>21</v>
      </c>
      <c r="O37" s="61" t="s">
        <v>173</v>
      </c>
      <c r="P37" s="38">
        <v>0.53300000000000003</v>
      </c>
      <c r="Q37" s="38">
        <f>P37*N37</f>
        <v>11.193000000000001</v>
      </c>
      <c r="R37" s="37"/>
      <c r="S37" s="59"/>
    </row>
    <row r="38" spans="1:19" s="75" customFormat="1" ht="24" x14ac:dyDescent="0.25">
      <c r="A38" s="73"/>
      <c r="B38" s="46">
        <f>ROW(B38) - ROW($B$9)</f>
        <v>29</v>
      </c>
      <c r="C38" s="53" t="s">
        <v>17</v>
      </c>
      <c r="D38" s="37" t="s">
        <v>202</v>
      </c>
      <c r="E38" s="37" t="s">
        <v>68</v>
      </c>
      <c r="F38" s="37" t="s">
        <v>85</v>
      </c>
      <c r="G38" s="37" t="s">
        <v>109</v>
      </c>
      <c r="H38" s="37" t="s">
        <v>125</v>
      </c>
      <c r="I38" s="37" t="s">
        <v>172</v>
      </c>
      <c r="J38" s="37" t="s">
        <v>147</v>
      </c>
      <c r="K38" s="37" t="s">
        <v>172</v>
      </c>
      <c r="L38" s="37">
        <v>2</v>
      </c>
      <c r="M38" s="37">
        <f t="shared" si="1"/>
        <v>40</v>
      </c>
      <c r="N38" s="37">
        <v>60</v>
      </c>
      <c r="O38" s="61" t="s">
        <v>173</v>
      </c>
      <c r="P38" s="38">
        <v>5.3800000000000001E-2</v>
      </c>
      <c r="Q38" s="38">
        <f>P38*N38</f>
        <v>3.2280000000000002</v>
      </c>
      <c r="R38" s="37"/>
      <c r="S38" s="59"/>
    </row>
    <row r="39" spans="1:19" s="75" customFormat="1" ht="24.75" thickBot="1" x14ac:dyDescent="0.3">
      <c r="A39" s="73"/>
      <c r="B39" s="47">
        <f t="shared" si="0"/>
        <v>30</v>
      </c>
      <c r="C39" s="54" t="s">
        <v>16</v>
      </c>
      <c r="D39" s="51" t="s">
        <v>42</v>
      </c>
      <c r="E39" s="51" t="s">
        <v>69</v>
      </c>
      <c r="F39" s="51" t="s">
        <v>86</v>
      </c>
      <c r="G39" s="51" t="s">
        <v>110</v>
      </c>
      <c r="H39" s="51" t="s">
        <v>126</v>
      </c>
      <c r="I39" s="51" t="s">
        <v>172</v>
      </c>
      <c r="J39" s="51" t="s">
        <v>148</v>
      </c>
      <c r="K39" s="51" t="s">
        <v>172</v>
      </c>
      <c r="L39" s="51">
        <v>1</v>
      </c>
      <c r="M39" s="37">
        <f t="shared" si="1"/>
        <v>20</v>
      </c>
      <c r="N39" s="51">
        <v>21</v>
      </c>
      <c r="O39" s="61" t="s">
        <v>173</v>
      </c>
      <c r="P39" s="52">
        <v>0.43280000000000002</v>
      </c>
      <c r="Q39" s="52">
        <f t="shared" ref="Q39:Q41" si="12">P39*N39</f>
        <v>9.0888000000000009</v>
      </c>
      <c r="R39" s="51"/>
      <c r="S39" s="39"/>
    </row>
    <row r="40" spans="1:19" s="75" customFormat="1" ht="24.75" thickBot="1" x14ac:dyDescent="0.3">
      <c r="A40" s="73"/>
      <c r="B40" s="47">
        <f t="shared" si="0"/>
        <v>31</v>
      </c>
      <c r="C40" s="54" t="s">
        <v>182</v>
      </c>
      <c r="D40" s="51" t="s">
        <v>172</v>
      </c>
      <c r="E40" s="51" t="s">
        <v>207</v>
      </c>
      <c r="F40" s="51" t="s">
        <v>172</v>
      </c>
      <c r="G40" s="51" t="s">
        <v>208</v>
      </c>
      <c r="H40" s="51" t="s">
        <v>209</v>
      </c>
      <c r="I40" s="51" t="s">
        <v>172</v>
      </c>
      <c r="J40" s="51" t="s">
        <v>210</v>
      </c>
      <c r="K40" s="51" t="s">
        <v>172</v>
      </c>
      <c r="L40" s="51">
        <v>1</v>
      </c>
      <c r="M40" s="37">
        <f t="shared" si="1"/>
        <v>20</v>
      </c>
      <c r="N40" s="51">
        <v>20</v>
      </c>
      <c r="O40" s="61" t="s">
        <v>173</v>
      </c>
      <c r="P40" s="52">
        <v>1.6785000000000001</v>
      </c>
      <c r="Q40" s="52">
        <f t="shared" si="12"/>
        <v>33.57</v>
      </c>
      <c r="R40" s="51"/>
      <c r="S40" s="39"/>
    </row>
    <row r="41" spans="1:19" s="75" customFormat="1" ht="24.75" thickBot="1" x14ac:dyDescent="0.3">
      <c r="A41" s="73"/>
      <c r="B41" s="47">
        <f t="shared" si="0"/>
        <v>32</v>
      </c>
      <c r="C41" s="54" t="s">
        <v>182</v>
      </c>
      <c r="D41" s="51" t="s">
        <v>172</v>
      </c>
      <c r="E41" s="51" t="s">
        <v>213</v>
      </c>
      <c r="F41" s="51"/>
      <c r="G41" s="51" t="s">
        <v>211</v>
      </c>
      <c r="H41" s="51" t="s">
        <v>212</v>
      </c>
      <c r="I41" s="51" t="s">
        <v>172</v>
      </c>
      <c r="J41" s="51" t="s">
        <v>214</v>
      </c>
      <c r="K41" s="51" t="s">
        <v>172</v>
      </c>
      <c r="L41" s="51">
        <v>1</v>
      </c>
      <c r="M41" s="37">
        <f t="shared" si="1"/>
        <v>20</v>
      </c>
      <c r="N41" s="51">
        <v>5</v>
      </c>
      <c r="O41" s="61" t="s">
        <v>173</v>
      </c>
      <c r="P41" s="52">
        <v>0.89180000000000004</v>
      </c>
      <c r="Q41" s="52">
        <f t="shared" si="12"/>
        <v>4.4590000000000005</v>
      </c>
      <c r="R41" s="51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4" t="s">
        <v>5</v>
      </c>
      <c r="O42" s="85"/>
      <c r="P42" s="85"/>
      <c r="Q42" s="48">
        <f>SUM(Q10:Q41)</f>
        <v>1143.1569500000003</v>
      </c>
      <c r="R42" s="80"/>
      <c r="S42" s="81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4" t="s">
        <v>6</v>
      </c>
      <c r="O43" s="85"/>
      <c r="P43" s="85"/>
      <c r="Q43" s="49">
        <f>Q42/20</f>
        <v>57.157847500000017</v>
      </c>
      <c r="R43" s="82"/>
      <c r="S43" s="83"/>
    </row>
  </sheetData>
  <mergeCells count="5">
    <mergeCell ref="K1:S1"/>
    <mergeCell ref="S3:S8"/>
    <mergeCell ref="N42:P42"/>
    <mergeCell ref="R42:S43"/>
    <mergeCell ref="N43:P43"/>
  </mergeCells>
  <hyperlinks>
    <hyperlink ref="O15" r:id="rId1"/>
    <hyperlink ref="O16" r:id="rId2"/>
    <hyperlink ref="O17" r:id="rId3"/>
    <hyperlink ref="O19" r:id="rId4"/>
    <hyperlink ref="O20" r:id="rId5"/>
    <hyperlink ref="O21" r:id="rId6"/>
    <hyperlink ref="O22" r:id="rId7"/>
    <hyperlink ref="O26" r:id="rId8"/>
    <hyperlink ref="O27" r:id="rId9"/>
    <hyperlink ref="O28" r:id="rId10"/>
    <hyperlink ref="O29" r:id="rId11"/>
    <hyperlink ref="O32" r:id="rId12"/>
    <hyperlink ref="O31" r:id="rId13"/>
    <hyperlink ref="O33" r:id="rId14"/>
    <hyperlink ref="O34" r:id="rId15"/>
    <hyperlink ref="O35" r:id="rId16"/>
    <hyperlink ref="O30" r:id="rId17"/>
    <hyperlink ref="O37" r:id="rId18"/>
    <hyperlink ref="O38" r:id="rId19"/>
    <hyperlink ref="O39" r:id="rId20"/>
    <hyperlink ref="O12" r:id="rId21"/>
    <hyperlink ref="O13" r:id="rId22"/>
    <hyperlink ref="O18" r:id="rId23"/>
    <hyperlink ref="O14" r:id="rId24"/>
    <hyperlink ref="O10" r:id="rId25"/>
    <hyperlink ref="O11" r:id="rId26"/>
    <hyperlink ref="O40" r:id="rId27"/>
    <hyperlink ref="O41" r:id="rId28"/>
    <hyperlink ref="O23" r:id="rId29"/>
    <hyperlink ref="O36" r:id="rId30"/>
  </hyperlinks>
  <pageMargins left="0.7" right="0.7" top="0.75" bottom="0.75" header="0.3" footer="0.3"/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25" workbookViewId="0">
      <selection activeCell="F46" sqref="F46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31.28515625" bestFit="1" customWidth="1"/>
    <col min="6" max="6" width="14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570312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190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32"/>
      <c r="D4" s="13" t="s">
        <v>2</v>
      </c>
      <c r="E4" s="13"/>
      <c r="F4" s="57" t="s">
        <v>183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43</v>
      </c>
      <c r="F9" s="30" t="s">
        <v>70</v>
      </c>
      <c r="G9" s="30" t="s">
        <v>87</v>
      </c>
      <c r="H9" s="30" t="s">
        <v>111</v>
      </c>
      <c r="I9" s="30" t="s">
        <v>162</v>
      </c>
      <c r="J9" s="30" t="s">
        <v>127</v>
      </c>
      <c r="K9" s="30" t="s">
        <v>163</v>
      </c>
      <c r="L9" s="30" t="s">
        <v>161</v>
      </c>
      <c r="M9" s="30" t="s">
        <v>223</v>
      </c>
      <c r="N9" s="30" t="s">
        <v>224</v>
      </c>
      <c r="O9" s="30" t="s">
        <v>166</v>
      </c>
      <c r="P9" s="30" t="s">
        <v>225</v>
      </c>
      <c r="Q9" s="30" t="s">
        <v>226</v>
      </c>
      <c r="R9" s="30" t="s">
        <v>169</v>
      </c>
      <c r="S9" s="30" t="s">
        <v>170</v>
      </c>
    </row>
    <row r="10" spans="1:19" s="75" customFormat="1" ht="36" x14ac:dyDescent="0.25">
      <c r="A10" s="73"/>
      <c r="B10" s="46">
        <f>ROW(B10) - ROW($B$9)</f>
        <v>1</v>
      </c>
      <c r="C10" s="53" t="s">
        <v>192</v>
      </c>
      <c r="D10" s="37" t="s">
        <v>193</v>
      </c>
      <c r="E10" s="37" t="s">
        <v>194</v>
      </c>
      <c r="F10" s="37" t="s">
        <v>171</v>
      </c>
      <c r="G10" s="37" t="s">
        <v>195</v>
      </c>
      <c r="H10" s="37" t="s">
        <v>196</v>
      </c>
      <c r="I10" s="37" t="s">
        <v>172</v>
      </c>
      <c r="J10" s="37" t="s">
        <v>172</v>
      </c>
      <c r="K10" s="37" t="s">
        <v>172</v>
      </c>
      <c r="L10" s="37">
        <v>1</v>
      </c>
      <c r="M10" s="37">
        <f>L10*50</f>
        <v>50</v>
      </c>
      <c r="N10" s="37">
        <v>51</v>
      </c>
      <c r="O10" s="61" t="s">
        <v>204</v>
      </c>
      <c r="P10" s="38">
        <v>1.35</v>
      </c>
      <c r="Q10" s="38">
        <f>P10*N10</f>
        <v>68.850000000000009</v>
      </c>
      <c r="R10" s="63" t="s">
        <v>181</v>
      </c>
      <c r="S10" s="74"/>
    </row>
    <row r="11" spans="1:19" s="75" customFormat="1" x14ac:dyDescent="0.25">
      <c r="A11" s="73"/>
      <c r="B11" s="47">
        <f t="shared" ref="B11:B41" si="0">ROW(B11) - ROW($B$9)</f>
        <v>2</v>
      </c>
      <c r="C11" s="54" t="s">
        <v>9</v>
      </c>
      <c r="D11" s="51" t="s">
        <v>19</v>
      </c>
      <c r="E11" s="51" t="s">
        <v>197</v>
      </c>
      <c r="F11" s="51" t="s">
        <v>71</v>
      </c>
      <c r="G11" s="51" t="s">
        <v>198</v>
      </c>
      <c r="H11" s="51" t="s">
        <v>113</v>
      </c>
      <c r="I11" s="51" t="s">
        <v>172</v>
      </c>
      <c r="J11" s="51" t="s">
        <v>199</v>
      </c>
      <c r="K11" s="51" t="s">
        <v>200</v>
      </c>
      <c r="L11" s="51">
        <v>1</v>
      </c>
      <c r="M11" s="37">
        <f t="shared" ref="M11:M41" si="1">L11*50</f>
        <v>50</v>
      </c>
      <c r="N11" s="51">
        <v>100</v>
      </c>
      <c r="O11" s="60" t="s">
        <v>173</v>
      </c>
      <c r="P11" s="52">
        <v>4.0000000000000001E-3</v>
      </c>
      <c r="Q11" s="52">
        <f t="shared" ref="Q11" si="2">P11*N11</f>
        <v>0.4</v>
      </c>
      <c r="R11" s="51"/>
      <c r="S11" s="51"/>
    </row>
    <row r="12" spans="1:19" s="75" customFormat="1" x14ac:dyDescent="0.25">
      <c r="A12" s="73"/>
      <c r="B12" s="46">
        <f>ROW(B12) - ROW($B$9)</f>
        <v>3</v>
      </c>
      <c r="C12" s="54" t="s">
        <v>9</v>
      </c>
      <c r="D12" s="37" t="s">
        <v>20</v>
      </c>
      <c r="E12" s="37" t="s">
        <v>44</v>
      </c>
      <c r="F12" s="37" t="s">
        <v>72</v>
      </c>
      <c r="G12" s="62" t="s">
        <v>88</v>
      </c>
      <c r="H12" s="37" t="s">
        <v>112</v>
      </c>
      <c r="I12" s="37" t="s">
        <v>174</v>
      </c>
      <c r="J12" s="37" t="s">
        <v>175</v>
      </c>
      <c r="K12" s="37" t="s">
        <v>149</v>
      </c>
      <c r="L12" s="37">
        <v>1</v>
      </c>
      <c r="M12" s="37">
        <f t="shared" si="1"/>
        <v>50</v>
      </c>
      <c r="N12" s="37">
        <v>100</v>
      </c>
      <c r="O12" s="61" t="s">
        <v>173</v>
      </c>
      <c r="P12" s="38">
        <v>1.6000000000000001E-3</v>
      </c>
      <c r="Q12" s="38">
        <f>P12*N12</f>
        <v>0.16</v>
      </c>
      <c r="R12" s="37"/>
      <c r="S12" s="59"/>
    </row>
    <row r="13" spans="1:19" s="75" customFormat="1" x14ac:dyDescent="0.25">
      <c r="A13" s="73"/>
      <c r="B13" s="47">
        <f t="shared" si="0"/>
        <v>4</v>
      </c>
      <c r="C13" s="54" t="s">
        <v>9</v>
      </c>
      <c r="D13" s="51" t="s">
        <v>191</v>
      </c>
      <c r="E13" s="51" t="s">
        <v>45</v>
      </c>
      <c r="F13" s="51" t="s">
        <v>71</v>
      </c>
      <c r="G13" s="62" t="s">
        <v>89</v>
      </c>
      <c r="H13" s="51" t="s">
        <v>113</v>
      </c>
      <c r="I13" s="51" t="s">
        <v>176</v>
      </c>
      <c r="J13" s="51" t="s">
        <v>177</v>
      </c>
      <c r="K13" s="51" t="s">
        <v>150</v>
      </c>
      <c r="L13" s="51">
        <v>6</v>
      </c>
      <c r="M13" s="37">
        <f t="shared" si="1"/>
        <v>300</v>
      </c>
      <c r="N13" s="51">
        <v>400</v>
      </c>
      <c r="O13" s="60" t="s">
        <v>173</v>
      </c>
      <c r="P13" s="52">
        <v>2.3999999999999998E-3</v>
      </c>
      <c r="Q13" s="52">
        <f t="shared" ref="Q13" si="3">P13*N13</f>
        <v>0.96</v>
      </c>
      <c r="R13" s="51"/>
      <c r="S13" s="59"/>
    </row>
    <row r="14" spans="1:19" s="75" customFormat="1" x14ac:dyDescent="0.25">
      <c r="A14" s="73"/>
      <c r="B14" s="46">
        <f>ROW(B14) - ROW($B$9)</f>
        <v>5</v>
      </c>
      <c r="C14" s="53" t="s">
        <v>9</v>
      </c>
      <c r="D14" s="37" t="s">
        <v>21</v>
      </c>
      <c r="E14" s="37" t="s">
        <v>185</v>
      </c>
      <c r="F14" s="37" t="s">
        <v>186</v>
      </c>
      <c r="G14" s="37" t="s">
        <v>187</v>
      </c>
      <c r="H14" s="37" t="s">
        <v>188</v>
      </c>
      <c r="I14" s="37" t="s">
        <v>172</v>
      </c>
      <c r="J14" s="37" t="s">
        <v>189</v>
      </c>
      <c r="K14" s="37" t="s">
        <v>151</v>
      </c>
      <c r="L14" s="37">
        <v>1</v>
      </c>
      <c r="M14" s="37">
        <f t="shared" si="1"/>
        <v>50</v>
      </c>
      <c r="N14" s="37">
        <v>55</v>
      </c>
      <c r="O14" s="61" t="s">
        <v>173</v>
      </c>
      <c r="P14" s="38">
        <v>0.16839999999999999</v>
      </c>
      <c r="Q14" s="38">
        <f>P14*N14</f>
        <v>9.2620000000000005</v>
      </c>
      <c r="R14" s="37"/>
      <c r="S14" s="59"/>
    </row>
    <row r="15" spans="1:19" s="75" customFormat="1" x14ac:dyDescent="0.25">
      <c r="A15" s="73"/>
      <c r="B15" s="47">
        <f t="shared" si="0"/>
        <v>6</v>
      </c>
      <c r="C15" s="53" t="s">
        <v>9</v>
      </c>
      <c r="D15" s="51" t="s">
        <v>22</v>
      </c>
      <c r="E15" s="51" t="s">
        <v>46</v>
      </c>
      <c r="F15" s="51" t="s">
        <v>71</v>
      </c>
      <c r="G15" s="51" t="s">
        <v>90</v>
      </c>
      <c r="H15" s="51" t="s">
        <v>113</v>
      </c>
      <c r="I15" s="51" t="s">
        <v>172</v>
      </c>
      <c r="J15" s="51" t="s">
        <v>128</v>
      </c>
      <c r="K15" s="51" t="s">
        <v>152</v>
      </c>
      <c r="L15" s="51">
        <v>1</v>
      </c>
      <c r="M15" s="37">
        <f t="shared" si="1"/>
        <v>50</v>
      </c>
      <c r="N15" s="51">
        <v>100</v>
      </c>
      <c r="O15" s="60" t="s">
        <v>173</v>
      </c>
      <c r="P15" s="52">
        <v>5.1999999999999998E-3</v>
      </c>
      <c r="Q15" s="52">
        <f t="shared" ref="Q15" si="4">P15*N15</f>
        <v>0.52</v>
      </c>
      <c r="R15" s="51"/>
      <c r="S15" s="59"/>
    </row>
    <row r="16" spans="1:19" s="75" customFormat="1" x14ac:dyDescent="0.25">
      <c r="A16" s="73"/>
      <c r="B16" s="46">
        <f>ROW(B16) - ROW($B$9)</f>
        <v>7</v>
      </c>
      <c r="C16" s="53" t="s">
        <v>9</v>
      </c>
      <c r="D16" s="37" t="s">
        <v>23</v>
      </c>
      <c r="E16" s="37" t="s">
        <v>47</v>
      </c>
      <c r="F16" s="37" t="s">
        <v>72</v>
      </c>
      <c r="G16" s="37" t="s">
        <v>91</v>
      </c>
      <c r="H16" s="37" t="s">
        <v>113</v>
      </c>
      <c r="I16" s="37" t="s">
        <v>172</v>
      </c>
      <c r="J16" s="37" t="s">
        <v>129</v>
      </c>
      <c r="K16" s="37" t="s">
        <v>153</v>
      </c>
      <c r="L16" s="37">
        <v>3</v>
      </c>
      <c r="M16" s="37">
        <f t="shared" si="1"/>
        <v>150</v>
      </c>
      <c r="N16" s="37">
        <v>200</v>
      </c>
      <c r="O16" s="61" t="s">
        <v>173</v>
      </c>
      <c r="P16" s="38">
        <v>1E-3</v>
      </c>
      <c r="Q16" s="38">
        <f>P16*N16</f>
        <v>0.2</v>
      </c>
      <c r="R16" s="37"/>
      <c r="S16" s="59"/>
    </row>
    <row r="17" spans="1:19" s="75" customFormat="1" x14ac:dyDescent="0.25">
      <c r="A17" s="73"/>
      <c r="B17" s="47">
        <f t="shared" si="0"/>
        <v>8</v>
      </c>
      <c r="C17" s="54" t="s">
        <v>9</v>
      </c>
      <c r="D17" s="51" t="s">
        <v>24</v>
      </c>
      <c r="E17" s="51" t="s">
        <v>48</v>
      </c>
      <c r="F17" s="51" t="s">
        <v>73</v>
      </c>
      <c r="G17" s="51" t="s">
        <v>92</v>
      </c>
      <c r="H17" s="51" t="s">
        <v>114</v>
      </c>
      <c r="I17" s="51" t="s">
        <v>172</v>
      </c>
      <c r="J17" s="51" t="s">
        <v>130</v>
      </c>
      <c r="K17" s="51" t="s">
        <v>154</v>
      </c>
      <c r="L17" s="51">
        <v>2</v>
      </c>
      <c r="M17" s="37">
        <f t="shared" si="1"/>
        <v>100</v>
      </c>
      <c r="N17" s="51">
        <v>150</v>
      </c>
      <c r="O17" s="61" t="s">
        <v>173</v>
      </c>
      <c r="P17" s="52">
        <v>1.41E-2</v>
      </c>
      <c r="Q17" s="52">
        <f t="shared" ref="Q17" si="5">P17*N17</f>
        <v>2.1149999999999998</v>
      </c>
      <c r="R17" s="51"/>
      <c r="S17" s="59"/>
    </row>
    <row r="18" spans="1:19" s="75" customFormat="1" ht="24" x14ac:dyDescent="0.25">
      <c r="A18" s="73"/>
      <c r="B18" s="46">
        <f>ROW(B18) - ROW($B$9)</f>
        <v>9</v>
      </c>
      <c r="C18" s="53" t="s">
        <v>10</v>
      </c>
      <c r="D18" s="37" t="s">
        <v>25</v>
      </c>
      <c r="E18" s="37" t="s">
        <v>49</v>
      </c>
      <c r="F18" s="37" t="s">
        <v>74</v>
      </c>
      <c r="G18" s="62" t="s">
        <v>93</v>
      </c>
      <c r="H18" s="37" t="s">
        <v>115</v>
      </c>
      <c r="I18" s="37" t="s">
        <v>178</v>
      </c>
      <c r="J18" s="37" t="s">
        <v>179</v>
      </c>
      <c r="K18" s="37" t="s">
        <v>172</v>
      </c>
      <c r="L18" s="37">
        <v>1</v>
      </c>
      <c r="M18" s="37">
        <f t="shared" si="1"/>
        <v>50</v>
      </c>
      <c r="N18" s="37">
        <v>55</v>
      </c>
      <c r="O18" s="61" t="s">
        <v>173</v>
      </c>
      <c r="P18" s="38">
        <v>8.48E-2</v>
      </c>
      <c r="Q18" s="38">
        <f>P18*N18</f>
        <v>4.6639999999999997</v>
      </c>
      <c r="R18" s="37"/>
      <c r="S18" s="59"/>
    </row>
    <row r="19" spans="1:19" s="75" customFormat="1" ht="24" x14ac:dyDescent="0.25">
      <c r="A19" s="73"/>
      <c r="B19" s="47">
        <f t="shared" si="0"/>
        <v>10</v>
      </c>
      <c r="C19" s="54" t="s">
        <v>10</v>
      </c>
      <c r="D19" s="51" t="s">
        <v>26</v>
      </c>
      <c r="E19" s="51" t="s">
        <v>50</v>
      </c>
      <c r="F19" s="51" t="s">
        <v>75</v>
      </c>
      <c r="G19" s="51" t="s">
        <v>94</v>
      </c>
      <c r="H19" s="51" t="s">
        <v>116</v>
      </c>
      <c r="I19" s="51" t="s">
        <v>172</v>
      </c>
      <c r="J19" s="51" t="s">
        <v>131</v>
      </c>
      <c r="K19" s="51" t="s">
        <v>172</v>
      </c>
      <c r="L19" s="51">
        <v>2</v>
      </c>
      <c r="M19" s="37">
        <f t="shared" si="1"/>
        <v>100</v>
      </c>
      <c r="N19" s="51">
        <v>20</v>
      </c>
      <c r="O19" s="61" t="s">
        <v>173</v>
      </c>
      <c r="P19" s="52">
        <v>3.1699999999999999E-2</v>
      </c>
      <c r="Q19" s="52">
        <f t="shared" ref="Q19" si="6">P19*N19</f>
        <v>0.63400000000000001</v>
      </c>
      <c r="R19" s="51"/>
      <c r="S19" s="59"/>
    </row>
    <row r="20" spans="1:19" s="75" customFormat="1" x14ac:dyDescent="0.25">
      <c r="A20" s="73"/>
      <c r="B20" s="46">
        <f>ROW(B20) - ROW($B$9)</f>
        <v>11</v>
      </c>
      <c r="C20" s="53" t="s">
        <v>10</v>
      </c>
      <c r="D20" s="37" t="s">
        <v>27</v>
      </c>
      <c r="E20" s="37" t="s">
        <v>51</v>
      </c>
      <c r="F20" s="37" t="s">
        <v>76</v>
      </c>
      <c r="G20" s="37" t="s">
        <v>95</v>
      </c>
      <c r="H20" s="37" t="s">
        <v>117</v>
      </c>
      <c r="I20" s="37" t="s">
        <v>172</v>
      </c>
      <c r="J20" s="37" t="s">
        <v>132</v>
      </c>
      <c r="K20" s="37" t="s">
        <v>172</v>
      </c>
      <c r="L20" s="37">
        <v>1</v>
      </c>
      <c r="M20" s="37">
        <f t="shared" si="1"/>
        <v>50</v>
      </c>
      <c r="N20" s="37">
        <v>10</v>
      </c>
      <c r="O20" s="61" t="s">
        <v>173</v>
      </c>
      <c r="P20" s="38">
        <v>5.5599999999999997E-2</v>
      </c>
      <c r="Q20" s="38">
        <f>P20*N20</f>
        <v>0.55599999999999994</v>
      </c>
      <c r="R20" s="37"/>
      <c r="S20" s="59"/>
    </row>
    <row r="21" spans="1:19" s="75" customFormat="1" ht="24" x14ac:dyDescent="0.25">
      <c r="A21" s="73"/>
      <c r="B21" s="47">
        <f t="shared" si="0"/>
        <v>12</v>
      </c>
      <c r="C21" s="54" t="s">
        <v>10</v>
      </c>
      <c r="D21" s="51" t="s">
        <v>28</v>
      </c>
      <c r="E21" s="51" t="s">
        <v>52</v>
      </c>
      <c r="F21" s="51" t="s">
        <v>77</v>
      </c>
      <c r="G21" s="51" t="s">
        <v>96</v>
      </c>
      <c r="H21" s="51" t="s">
        <v>118</v>
      </c>
      <c r="I21" s="51" t="s">
        <v>172</v>
      </c>
      <c r="J21" s="51" t="s">
        <v>133</v>
      </c>
      <c r="K21" s="51" t="s">
        <v>172</v>
      </c>
      <c r="L21" s="51">
        <v>1</v>
      </c>
      <c r="M21" s="37">
        <f t="shared" si="1"/>
        <v>50</v>
      </c>
      <c r="N21" s="51">
        <v>10</v>
      </c>
      <c r="O21" s="61" t="s">
        <v>173</v>
      </c>
      <c r="P21" s="52">
        <v>8.6400000000000005E-2</v>
      </c>
      <c r="Q21" s="52">
        <f t="shared" ref="Q21" si="7">P21*N21</f>
        <v>0.8640000000000001</v>
      </c>
      <c r="R21" s="51"/>
      <c r="S21" s="59"/>
    </row>
    <row r="22" spans="1:19" s="75" customFormat="1" ht="24" x14ac:dyDescent="0.25">
      <c r="A22" s="73"/>
      <c r="B22" s="46">
        <f>ROW(B22) - ROW($B$9)</f>
        <v>13</v>
      </c>
      <c r="C22" s="53" t="s">
        <v>11</v>
      </c>
      <c r="D22" s="37" t="s">
        <v>29</v>
      </c>
      <c r="E22" s="37" t="s">
        <v>53</v>
      </c>
      <c r="F22" s="37" t="s">
        <v>78</v>
      </c>
      <c r="G22" s="37" t="s">
        <v>97</v>
      </c>
      <c r="H22" s="37" t="s">
        <v>119</v>
      </c>
      <c r="I22" s="37" t="s">
        <v>172</v>
      </c>
      <c r="J22" s="37" t="s">
        <v>134</v>
      </c>
      <c r="K22" s="37" t="s">
        <v>172</v>
      </c>
      <c r="L22" s="37">
        <v>1</v>
      </c>
      <c r="M22" s="37">
        <f t="shared" si="1"/>
        <v>50</v>
      </c>
      <c r="N22" s="37">
        <v>10</v>
      </c>
      <c r="O22" s="61" t="s">
        <v>173</v>
      </c>
      <c r="P22" s="38">
        <v>4.3200000000000002E-2</v>
      </c>
      <c r="Q22" s="38">
        <f>P22*N22</f>
        <v>0.43200000000000005</v>
      </c>
      <c r="R22" s="37"/>
      <c r="S22" s="59"/>
    </row>
    <row r="23" spans="1:19" s="75" customFormat="1" ht="36" x14ac:dyDescent="0.25">
      <c r="A23" s="73"/>
      <c r="B23" s="47">
        <f t="shared" si="0"/>
        <v>14</v>
      </c>
      <c r="C23" s="54" t="s">
        <v>215</v>
      </c>
      <c r="D23" s="51" t="s">
        <v>30</v>
      </c>
      <c r="E23" s="51" t="s">
        <v>216</v>
      </c>
      <c r="F23" s="51" t="s">
        <v>171</v>
      </c>
      <c r="G23" s="51" t="s">
        <v>217</v>
      </c>
      <c r="H23" s="51" t="s">
        <v>184</v>
      </c>
      <c r="I23" s="51" t="s">
        <v>172</v>
      </c>
      <c r="J23" s="51" t="s">
        <v>218</v>
      </c>
      <c r="K23" s="51"/>
      <c r="L23" s="51">
        <v>1</v>
      </c>
      <c r="M23" s="37">
        <f t="shared" si="1"/>
        <v>50</v>
      </c>
      <c r="N23" s="37">
        <v>51</v>
      </c>
      <c r="O23" s="60" t="s">
        <v>173</v>
      </c>
      <c r="P23" s="52">
        <v>0.59189999999999998</v>
      </c>
      <c r="Q23" s="52">
        <f t="shared" ref="Q23" si="8">P23*N23</f>
        <v>30.186899999999998</v>
      </c>
      <c r="R23" s="51"/>
      <c r="S23" s="59"/>
    </row>
    <row r="24" spans="1:19" s="75" customFormat="1" ht="25.5" x14ac:dyDescent="0.25">
      <c r="A24" s="73"/>
      <c r="B24" s="46">
        <f>ROW(B24) - ROW($B$9)</f>
        <v>15</v>
      </c>
      <c r="C24" s="53" t="s">
        <v>180</v>
      </c>
      <c r="D24" s="62" t="s">
        <v>31</v>
      </c>
      <c r="E24" s="62" t="s">
        <v>54</v>
      </c>
      <c r="F24" s="62" t="s">
        <v>171</v>
      </c>
      <c r="G24" s="62" t="s">
        <v>172</v>
      </c>
      <c r="H24" s="62" t="s">
        <v>172</v>
      </c>
      <c r="I24" s="62" t="s">
        <v>172</v>
      </c>
      <c r="J24" s="62" t="s">
        <v>172</v>
      </c>
      <c r="K24" s="62" t="s">
        <v>172</v>
      </c>
      <c r="L24" s="62">
        <v>1</v>
      </c>
      <c r="M24" s="37">
        <f t="shared" si="1"/>
        <v>50</v>
      </c>
      <c r="N24" s="62" t="s">
        <v>172</v>
      </c>
      <c r="O24" s="62" t="s">
        <v>172</v>
      </c>
      <c r="P24" s="62" t="s">
        <v>172</v>
      </c>
      <c r="Q24" s="62" t="s">
        <v>172</v>
      </c>
      <c r="R24" s="62"/>
      <c r="S24" s="59"/>
    </row>
    <row r="25" spans="1:19" s="75" customFormat="1" ht="25.5" x14ac:dyDescent="0.25">
      <c r="A25" s="73"/>
      <c r="B25" s="47">
        <f t="shared" si="0"/>
        <v>16</v>
      </c>
      <c r="C25" s="54" t="s">
        <v>12</v>
      </c>
      <c r="D25" s="64" t="s">
        <v>32</v>
      </c>
      <c r="E25" s="64" t="s">
        <v>55</v>
      </c>
      <c r="F25" s="64" t="s">
        <v>171</v>
      </c>
      <c r="G25" s="64" t="s">
        <v>98</v>
      </c>
      <c r="H25" s="62" t="s">
        <v>172</v>
      </c>
      <c r="I25" s="62" t="s">
        <v>172</v>
      </c>
      <c r="J25" s="62" t="s">
        <v>172</v>
      </c>
      <c r="K25" s="62" t="s">
        <v>172</v>
      </c>
      <c r="L25" s="64">
        <v>1</v>
      </c>
      <c r="M25" s="37">
        <f t="shared" si="1"/>
        <v>50</v>
      </c>
      <c r="N25" s="62" t="s">
        <v>172</v>
      </c>
      <c r="O25" s="62" t="s">
        <v>172</v>
      </c>
      <c r="P25" s="62" t="s">
        <v>172</v>
      </c>
      <c r="Q25" s="62" t="s">
        <v>172</v>
      </c>
      <c r="R25" s="51"/>
      <c r="S25" s="59"/>
    </row>
    <row r="26" spans="1:19" s="75" customFormat="1" ht="48" x14ac:dyDescent="0.25">
      <c r="A26" s="73"/>
      <c r="B26" s="46">
        <f>ROW(B26) - ROW($B$9)</f>
        <v>17</v>
      </c>
      <c r="C26" s="53" t="s">
        <v>13</v>
      </c>
      <c r="D26" s="37" t="s">
        <v>201</v>
      </c>
      <c r="E26" s="37" t="s">
        <v>56</v>
      </c>
      <c r="F26" s="37" t="s">
        <v>171</v>
      </c>
      <c r="G26" s="37" t="s">
        <v>79</v>
      </c>
      <c r="H26" s="37" t="s">
        <v>120</v>
      </c>
      <c r="I26" s="37" t="s">
        <v>172</v>
      </c>
      <c r="J26" s="37" t="s">
        <v>135</v>
      </c>
      <c r="K26" s="37" t="s">
        <v>172</v>
      </c>
      <c r="L26" s="37">
        <v>2</v>
      </c>
      <c r="M26" s="37">
        <f t="shared" si="1"/>
        <v>100</v>
      </c>
      <c r="N26" s="37">
        <v>101</v>
      </c>
      <c r="O26" s="61" t="s">
        <v>173</v>
      </c>
      <c r="P26" s="38">
        <v>0.22359999999999999</v>
      </c>
      <c r="Q26" s="38">
        <f>P26*N26</f>
        <v>22.583600000000001</v>
      </c>
      <c r="R26" s="37"/>
      <c r="S26" s="59"/>
    </row>
    <row r="27" spans="1:19" s="75" customFormat="1" ht="24" x14ac:dyDescent="0.25">
      <c r="A27" s="73"/>
      <c r="B27" s="46">
        <f>ROW(B27) - ROW($B$9)</f>
        <v>18</v>
      </c>
      <c r="C27" s="53" t="s">
        <v>14</v>
      </c>
      <c r="D27" s="37" t="s">
        <v>33</v>
      </c>
      <c r="E27" s="37" t="s">
        <v>57</v>
      </c>
      <c r="F27" s="37" t="s">
        <v>80</v>
      </c>
      <c r="G27" s="37" t="s">
        <v>99</v>
      </c>
      <c r="H27" s="37" t="s">
        <v>121</v>
      </c>
      <c r="I27" s="37" t="s">
        <v>172</v>
      </c>
      <c r="J27" s="37" t="s">
        <v>136</v>
      </c>
      <c r="K27" s="37" t="s">
        <v>172</v>
      </c>
      <c r="L27" s="37">
        <v>1</v>
      </c>
      <c r="M27" s="37">
        <f t="shared" si="1"/>
        <v>50</v>
      </c>
      <c r="N27" s="37">
        <v>60</v>
      </c>
      <c r="O27" s="61" t="s">
        <v>173</v>
      </c>
      <c r="P27" s="38">
        <v>3.4799999999999998E-2</v>
      </c>
      <c r="Q27" s="38">
        <f>P27*N27</f>
        <v>2.0880000000000001</v>
      </c>
      <c r="R27" s="37"/>
      <c r="S27" s="59"/>
    </row>
    <row r="28" spans="1:19" s="75" customFormat="1" ht="24" x14ac:dyDescent="0.25">
      <c r="A28" s="73"/>
      <c r="B28" s="47">
        <f t="shared" si="0"/>
        <v>19</v>
      </c>
      <c r="C28" s="54" t="s">
        <v>14</v>
      </c>
      <c r="D28" s="51" t="s">
        <v>34</v>
      </c>
      <c r="E28" s="51" t="s">
        <v>58</v>
      </c>
      <c r="F28" s="51" t="s">
        <v>80</v>
      </c>
      <c r="G28" s="51" t="s">
        <v>100</v>
      </c>
      <c r="H28" s="51" t="s">
        <v>121</v>
      </c>
      <c r="I28" s="51" t="s">
        <v>172</v>
      </c>
      <c r="J28" s="51" t="s">
        <v>137</v>
      </c>
      <c r="K28" s="51" t="s">
        <v>172</v>
      </c>
      <c r="L28" s="51">
        <v>1</v>
      </c>
      <c r="M28" s="37">
        <f t="shared" si="1"/>
        <v>50</v>
      </c>
      <c r="N28" s="51">
        <v>60</v>
      </c>
      <c r="O28" s="61" t="s">
        <v>173</v>
      </c>
      <c r="P28" s="52">
        <v>5.1499999999999997E-2</v>
      </c>
      <c r="Q28" s="52">
        <f t="shared" ref="Q28" si="9">P28*N28</f>
        <v>3.09</v>
      </c>
      <c r="R28" s="51"/>
      <c r="S28" s="59"/>
    </row>
    <row r="29" spans="1:19" s="75" customFormat="1" ht="48" x14ac:dyDescent="0.25">
      <c r="A29" s="73"/>
      <c r="B29" s="46">
        <f>ROW(B29) - ROW($B$9)</f>
        <v>20</v>
      </c>
      <c r="C29" s="53" t="s">
        <v>203</v>
      </c>
      <c r="D29" s="37" t="s">
        <v>35</v>
      </c>
      <c r="E29" s="37" t="s">
        <v>59</v>
      </c>
      <c r="F29" s="37" t="s">
        <v>81</v>
      </c>
      <c r="G29" s="37" t="s">
        <v>101</v>
      </c>
      <c r="H29" s="37" t="s">
        <v>122</v>
      </c>
      <c r="I29" s="37" t="s">
        <v>172</v>
      </c>
      <c r="J29" s="37" t="s">
        <v>138</v>
      </c>
      <c r="K29" s="37" t="s">
        <v>172</v>
      </c>
      <c r="L29" s="37">
        <v>4</v>
      </c>
      <c r="M29" s="37">
        <f t="shared" si="1"/>
        <v>200</v>
      </c>
      <c r="N29" s="37">
        <v>220</v>
      </c>
      <c r="O29" s="61" t="s">
        <v>173</v>
      </c>
      <c r="P29" s="38">
        <v>2.7099999999999999E-2</v>
      </c>
      <c r="Q29" s="38">
        <f>P29*N29</f>
        <v>5.9619999999999997</v>
      </c>
      <c r="R29" s="37"/>
      <c r="S29" s="59"/>
    </row>
    <row r="30" spans="1:19" s="75" customFormat="1" x14ac:dyDescent="0.25">
      <c r="A30" s="73"/>
      <c r="B30" s="46">
        <f>ROW(B30) - ROW($B$9)</f>
        <v>21</v>
      </c>
      <c r="C30" s="53" t="s">
        <v>15</v>
      </c>
      <c r="D30" s="37" t="s">
        <v>205</v>
      </c>
      <c r="E30" s="37" t="s">
        <v>65</v>
      </c>
      <c r="F30" s="37" t="s">
        <v>82</v>
      </c>
      <c r="G30" s="37" t="s">
        <v>107</v>
      </c>
      <c r="H30" s="37" t="s">
        <v>113</v>
      </c>
      <c r="I30" s="37" t="s">
        <v>172</v>
      </c>
      <c r="J30" s="37" t="s">
        <v>144</v>
      </c>
      <c r="K30" s="37" t="s">
        <v>160</v>
      </c>
      <c r="L30" s="37">
        <v>3</v>
      </c>
      <c r="M30" s="37">
        <f t="shared" si="1"/>
        <v>150</v>
      </c>
      <c r="N30" s="37">
        <v>200</v>
      </c>
      <c r="O30" s="61" t="s">
        <v>173</v>
      </c>
      <c r="P30" s="38">
        <v>1.5E-3</v>
      </c>
      <c r="Q30" s="38">
        <f>P30*N30</f>
        <v>0.3</v>
      </c>
      <c r="R30" s="37"/>
      <c r="S30" s="59"/>
    </row>
    <row r="31" spans="1:19" s="75" customFormat="1" x14ac:dyDescent="0.25">
      <c r="A31" s="73"/>
      <c r="B31" s="46">
        <f>ROW(B31) - ROW($B$9)</f>
        <v>22</v>
      </c>
      <c r="C31" s="53" t="s">
        <v>15</v>
      </c>
      <c r="D31" s="37" t="s">
        <v>36</v>
      </c>
      <c r="E31" s="37" t="s">
        <v>61</v>
      </c>
      <c r="F31" s="37" t="s">
        <v>82</v>
      </c>
      <c r="G31" s="37" t="s">
        <v>103</v>
      </c>
      <c r="H31" s="37" t="s">
        <v>113</v>
      </c>
      <c r="I31" s="37" t="s">
        <v>172</v>
      </c>
      <c r="J31" s="37" t="s">
        <v>140</v>
      </c>
      <c r="K31" s="37" t="s">
        <v>156</v>
      </c>
      <c r="L31" s="37">
        <v>2</v>
      </c>
      <c r="M31" s="37">
        <f t="shared" si="1"/>
        <v>100</v>
      </c>
      <c r="N31" s="37">
        <v>200</v>
      </c>
      <c r="O31" s="61" t="s">
        <v>173</v>
      </c>
      <c r="P31" s="38">
        <v>1.1999999999999999E-3</v>
      </c>
      <c r="Q31" s="38">
        <f>P31*N31</f>
        <v>0.24</v>
      </c>
      <c r="R31" s="37"/>
      <c r="S31" s="59"/>
    </row>
    <row r="32" spans="1:19" s="75" customFormat="1" x14ac:dyDescent="0.25">
      <c r="A32" s="73"/>
      <c r="B32" s="47">
        <f t="shared" si="0"/>
        <v>23</v>
      </c>
      <c r="C32" s="54" t="s">
        <v>15</v>
      </c>
      <c r="D32" s="37" t="s">
        <v>206</v>
      </c>
      <c r="E32" s="51" t="s">
        <v>60</v>
      </c>
      <c r="F32" s="51" t="s">
        <v>82</v>
      </c>
      <c r="G32" s="51" t="s">
        <v>102</v>
      </c>
      <c r="H32" s="51" t="s">
        <v>113</v>
      </c>
      <c r="I32" s="51" t="s">
        <v>172</v>
      </c>
      <c r="J32" s="51" t="s">
        <v>139</v>
      </c>
      <c r="K32" s="51" t="s">
        <v>155</v>
      </c>
      <c r="L32" s="51">
        <v>2</v>
      </c>
      <c r="M32" s="37">
        <f t="shared" si="1"/>
        <v>100</v>
      </c>
      <c r="N32" s="51">
        <v>200</v>
      </c>
      <c r="O32" s="61" t="s">
        <v>173</v>
      </c>
      <c r="P32" s="52">
        <v>1.2999999999999999E-3</v>
      </c>
      <c r="Q32" s="52">
        <f t="shared" ref="Q32:Q33" si="10">P32*N32</f>
        <v>0.26</v>
      </c>
      <c r="R32" s="51"/>
      <c r="S32" s="59"/>
    </row>
    <row r="33" spans="1:19" s="75" customFormat="1" x14ac:dyDescent="0.25">
      <c r="A33" s="73"/>
      <c r="B33" s="47">
        <f t="shared" si="0"/>
        <v>24</v>
      </c>
      <c r="C33" s="54" t="s">
        <v>15</v>
      </c>
      <c r="D33" s="51" t="s">
        <v>37</v>
      </c>
      <c r="E33" s="51" t="s">
        <v>62</v>
      </c>
      <c r="F33" s="51" t="s">
        <v>82</v>
      </c>
      <c r="G33" s="51" t="s">
        <v>104</v>
      </c>
      <c r="H33" s="51" t="s">
        <v>113</v>
      </c>
      <c r="I33" s="51" t="s">
        <v>172</v>
      </c>
      <c r="J33" s="51" t="s">
        <v>141</v>
      </c>
      <c r="K33" s="51" t="s">
        <v>157</v>
      </c>
      <c r="L33" s="51">
        <v>2</v>
      </c>
      <c r="M33" s="37">
        <f t="shared" si="1"/>
        <v>100</v>
      </c>
      <c r="N33" s="51">
        <v>200</v>
      </c>
      <c r="O33" s="61" t="s">
        <v>173</v>
      </c>
      <c r="P33" s="52">
        <v>1.2999999999999999E-3</v>
      </c>
      <c r="Q33" s="52">
        <f t="shared" si="10"/>
        <v>0.26</v>
      </c>
      <c r="R33" s="51"/>
      <c r="S33" s="59"/>
    </row>
    <row r="34" spans="1:19" s="75" customFormat="1" x14ac:dyDescent="0.25">
      <c r="A34" s="73"/>
      <c r="B34" s="46">
        <f>ROW(B34) - ROW($B$9)</f>
        <v>25</v>
      </c>
      <c r="C34" s="53" t="s">
        <v>15</v>
      </c>
      <c r="D34" s="37" t="s">
        <v>38</v>
      </c>
      <c r="E34" s="37" t="s">
        <v>63</v>
      </c>
      <c r="F34" s="37" t="s">
        <v>82</v>
      </c>
      <c r="G34" s="37" t="s">
        <v>105</v>
      </c>
      <c r="H34" s="37" t="s">
        <v>113</v>
      </c>
      <c r="I34" s="37" t="s">
        <v>172</v>
      </c>
      <c r="J34" s="37" t="s">
        <v>142</v>
      </c>
      <c r="K34" s="37" t="s">
        <v>158</v>
      </c>
      <c r="L34" s="37">
        <v>4</v>
      </c>
      <c r="M34" s="37">
        <f t="shared" si="1"/>
        <v>200</v>
      </c>
      <c r="N34" s="37">
        <v>300</v>
      </c>
      <c r="O34" s="61" t="s">
        <v>173</v>
      </c>
      <c r="P34" s="38">
        <v>1.1999999999999999E-3</v>
      </c>
      <c r="Q34" s="38">
        <f>P34*N34</f>
        <v>0.36</v>
      </c>
      <c r="R34" s="37"/>
      <c r="S34" s="59"/>
    </row>
    <row r="35" spans="1:19" s="75" customFormat="1" x14ac:dyDescent="0.25">
      <c r="A35" s="73"/>
      <c r="B35" s="47">
        <f t="shared" si="0"/>
        <v>26</v>
      </c>
      <c r="C35" s="53" t="s">
        <v>15</v>
      </c>
      <c r="D35" s="51" t="s">
        <v>39</v>
      </c>
      <c r="E35" s="51" t="s">
        <v>64</v>
      </c>
      <c r="F35" s="51" t="s">
        <v>82</v>
      </c>
      <c r="G35" s="51" t="s">
        <v>106</v>
      </c>
      <c r="H35" s="51" t="s">
        <v>113</v>
      </c>
      <c r="I35" s="51" t="s">
        <v>172</v>
      </c>
      <c r="J35" s="51" t="s">
        <v>143</v>
      </c>
      <c r="K35" s="51" t="s">
        <v>159</v>
      </c>
      <c r="L35" s="51">
        <v>4</v>
      </c>
      <c r="M35" s="37">
        <f t="shared" si="1"/>
        <v>200</v>
      </c>
      <c r="N35" s="51">
        <v>300</v>
      </c>
      <c r="O35" s="61" t="s">
        <v>173</v>
      </c>
      <c r="P35" s="52">
        <v>1.1000000000000001E-3</v>
      </c>
      <c r="Q35" s="52">
        <f t="shared" ref="Q35:Q36" si="11">P35*N35</f>
        <v>0.33</v>
      </c>
      <c r="R35" s="51"/>
      <c r="S35" s="59"/>
    </row>
    <row r="36" spans="1:19" s="75" customFormat="1" ht="30" x14ac:dyDescent="0.25">
      <c r="A36" s="73"/>
      <c r="B36" s="47">
        <f t="shared" si="0"/>
        <v>27</v>
      </c>
      <c r="C36" s="54" t="s">
        <v>16</v>
      </c>
      <c r="D36" s="51" t="s">
        <v>40</v>
      </c>
      <c r="E36" s="51" t="s">
        <v>66</v>
      </c>
      <c r="F36" s="51" t="s">
        <v>171</v>
      </c>
      <c r="G36" s="51" t="s">
        <v>83</v>
      </c>
      <c r="H36" s="51" t="s">
        <v>123</v>
      </c>
      <c r="I36" s="51" t="s">
        <v>172</v>
      </c>
      <c r="J36" s="51" t="s">
        <v>145</v>
      </c>
      <c r="K36" s="51" t="s">
        <v>172</v>
      </c>
      <c r="L36" s="51">
        <v>1</v>
      </c>
      <c r="M36" s="37">
        <f t="shared" si="1"/>
        <v>50</v>
      </c>
      <c r="N36" s="51">
        <v>51</v>
      </c>
      <c r="O36" s="61" t="s">
        <v>239</v>
      </c>
      <c r="P36" s="52">
        <v>40.941549999999999</v>
      </c>
      <c r="Q36" s="52">
        <f t="shared" si="11"/>
        <v>2088.0190499999999</v>
      </c>
      <c r="R36" s="51"/>
      <c r="S36" s="59"/>
    </row>
    <row r="37" spans="1:19" s="75" customFormat="1" ht="36" x14ac:dyDescent="0.25">
      <c r="A37" s="73"/>
      <c r="B37" s="46">
        <f>ROW(B37) - ROW($B$9)</f>
        <v>28</v>
      </c>
      <c r="C37" s="53" t="s">
        <v>16</v>
      </c>
      <c r="D37" s="37" t="s">
        <v>41</v>
      </c>
      <c r="E37" s="37" t="s">
        <v>67</v>
      </c>
      <c r="F37" s="37" t="s">
        <v>84</v>
      </c>
      <c r="G37" s="37" t="s">
        <v>108</v>
      </c>
      <c r="H37" s="37" t="s">
        <v>124</v>
      </c>
      <c r="I37" s="37" t="s">
        <v>172</v>
      </c>
      <c r="J37" s="37" t="s">
        <v>146</v>
      </c>
      <c r="K37" s="37" t="s">
        <v>172</v>
      </c>
      <c r="L37" s="37">
        <v>1</v>
      </c>
      <c r="M37" s="37">
        <f t="shared" si="1"/>
        <v>50</v>
      </c>
      <c r="N37" s="37">
        <v>51</v>
      </c>
      <c r="O37" s="61" t="s">
        <v>173</v>
      </c>
      <c r="P37" s="38">
        <v>0.47410000000000002</v>
      </c>
      <c r="Q37" s="38">
        <f>P37*N37</f>
        <v>24.179100000000002</v>
      </c>
      <c r="R37" s="37"/>
      <c r="S37" s="59"/>
    </row>
    <row r="38" spans="1:19" s="75" customFormat="1" ht="24" x14ac:dyDescent="0.25">
      <c r="A38" s="73"/>
      <c r="B38" s="46">
        <f>ROW(B38) - ROW($B$9)</f>
        <v>29</v>
      </c>
      <c r="C38" s="53" t="s">
        <v>17</v>
      </c>
      <c r="D38" s="37" t="s">
        <v>202</v>
      </c>
      <c r="E38" s="37" t="s">
        <v>68</v>
      </c>
      <c r="F38" s="37" t="s">
        <v>85</v>
      </c>
      <c r="G38" s="37" t="s">
        <v>109</v>
      </c>
      <c r="H38" s="37" t="s">
        <v>125</v>
      </c>
      <c r="I38" s="37" t="s">
        <v>172</v>
      </c>
      <c r="J38" s="37" t="s">
        <v>147</v>
      </c>
      <c r="K38" s="37" t="s">
        <v>172</v>
      </c>
      <c r="L38" s="37">
        <v>2</v>
      </c>
      <c r="M38" s="37">
        <f t="shared" si="1"/>
        <v>100</v>
      </c>
      <c r="N38" s="37">
        <v>120</v>
      </c>
      <c r="O38" s="61" t="s">
        <v>173</v>
      </c>
      <c r="P38" s="38">
        <v>5.3800000000000001E-2</v>
      </c>
      <c r="Q38" s="38">
        <f>P38*N38</f>
        <v>6.4560000000000004</v>
      </c>
      <c r="R38" s="37"/>
      <c r="S38" s="59"/>
    </row>
    <row r="39" spans="1:19" s="75" customFormat="1" ht="24.75" thickBot="1" x14ac:dyDescent="0.3">
      <c r="A39" s="73"/>
      <c r="B39" s="47">
        <f t="shared" si="0"/>
        <v>30</v>
      </c>
      <c r="C39" s="54" t="s">
        <v>16</v>
      </c>
      <c r="D39" s="51" t="s">
        <v>42</v>
      </c>
      <c r="E39" s="51" t="s">
        <v>69</v>
      </c>
      <c r="F39" s="51" t="s">
        <v>86</v>
      </c>
      <c r="G39" s="51" t="s">
        <v>110</v>
      </c>
      <c r="H39" s="51" t="s">
        <v>126</v>
      </c>
      <c r="I39" s="51" t="s">
        <v>172</v>
      </c>
      <c r="J39" s="51" t="s">
        <v>148</v>
      </c>
      <c r="K39" s="51" t="s">
        <v>172</v>
      </c>
      <c r="L39" s="51">
        <v>1</v>
      </c>
      <c r="M39" s="37">
        <f t="shared" si="1"/>
        <v>50</v>
      </c>
      <c r="N39" s="51">
        <v>51</v>
      </c>
      <c r="O39" s="61" t="s">
        <v>173</v>
      </c>
      <c r="P39" s="52">
        <v>0.3866</v>
      </c>
      <c r="Q39" s="52">
        <f t="shared" ref="Q39:Q41" si="12">P39*N39</f>
        <v>19.7166</v>
      </c>
      <c r="R39" s="51"/>
      <c r="S39" s="39"/>
    </row>
    <row r="40" spans="1:19" s="75" customFormat="1" ht="24.75" thickBot="1" x14ac:dyDescent="0.3">
      <c r="A40" s="73"/>
      <c r="B40" s="47">
        <f t="shared" si="0"/>
        <v>31</v>
      </c>
      <c r="C40" s="54" t="s">
        <v>182</v>
      </c>
      <c r="D40" s="51" t="s">
        <v>172</v>
      </c>
      <c r="E40" s="51" t="s">
        <v>207</v>
      </c>
      <c r="F40" s="51" t="s">
        <v>172</v>
      </c>
      <c r="G40" s="51" t="s">
        <v>208</v>
      </c>
      <c r="H40" s="51" t="s">
        <v>209</v>
      </c>
      <c r="I40" s="51" t="s">
        <v>172</v>
      </c>
      <c r="J40" s="51" t="s">
        <v>210</v>
      </c>
      <c r="K40" s="51" t="s">
        <v>172</v>
      </c>
      <c r="L40" s="51">
        <v>1</v>
      </c>
      <c r="M40" s="37">
        <f t="shared" si="1"/>
        <v>50</v>
      </c>
      <c r="N40" s="51">
        <v>50</v>
      </c>
      <c r="O40" s="61" t="s">
        <v>173</v>
      </c>
      <c r="P40" s="52">
        <v>1.6466000000000001</v>
      </c>
      <c r="Q40" s="52">
        <f t="shared" si="12"/>
        <v>82.33</v>
      </c>
      <c r="R40" s="51"/>
      <c r="S40" s="39"/>
    </row>
    <row r="41" spans="1:19" s="75" customFormat="1" ht="15.75" thickBot="1" x14ac:dyDescent="0.3">
      <c r="A41" s="73"/>
      <c r="B41" s="47">
        <f t="shared" si="0"/>
        <v>32</v>
      </c>
      <c r="C41" s="54" t="s">
        <v>182</v>
      </c>
      <c r="D41" s="51" t="s">
        <v>172</v>
      </c>
      <c r="E41" s="51" t="s">
        <v>213</v>
      </c>
      <c r="F41" s="51"/>
      <c r="G41" s="51" t="s">
        <v>211</v>
      </c>
      <c r="H41" s="51" t="s">
        <v>212</v>
      </c>
      <c r="I41" s="51" t="s">
        <v>172</v>
      </c>
      <c r="J41" s="51" t="s">
        <v>214</v>
      </c>
      <c r="K41" s="51" t="s">
        <v>172</v>
      </c>
      <c r="L41" s="51">
        <v>1</v>
      </c>
      <c r="M41" s="37">
        <f t="shared" si="1"/>
        <v>50</v>
      </c>
      <c r="N41" s="51">
        <v>50</v>
      </c>
      <c r="O41" s="61" t="s">
        <v>173</v>
      </c>
      <c r="P41" s="52">
        <v>0.80559999999999998</v>
      </c>
      <c r="Q41" s="52">
        <f t="shared" si="12"/>
        <v>40.28</v>
      </c>
      <c r="R41" s="51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4" t="s">
        <v>5</v>
      </c>
      <c r="O42" s="85"/>
      <c r="P42" s="85"/>
      <c r="Q42" s="48">
        <f>SUM(Q10:Q41)</f>
        <v>2416.2582500000003</v>
      </c>
      <c r="R42" s="80"/>
      <c r="S42" s="81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4" t="s">
        <v>6</v>
      </c>
      <c r="O43" s="85"/>
      <c r="P43" s="85"/>
      <c r="Q43" s="49">
        <f>Q42/50</f>
        <v>48.325165000000005</v>
      </c>
      <c r="R43" s="82"/>
      <c r="S43" s="83"/>
    </row>
  </sheetData>
  <mergeCells count="5">
    <mergeCell ref="K1:S1"/>
    <mergeCell ref="S3:S8"/>
    <mergeCell ref="N42:P42"/>
    <mergeCell ref="R42:S43"/>
    <mergeCell ref="N43:P43"/>
  </mergeCells>
  <hyperlinks>
    <hyperlink ref="O15" r:id="rId1"/>
    <hyperlink ref="O16" r:id="rId2"/>
    <hyperlink ref="O17" r:id="rId3"/>
    <hyperlink ref="O19" r:id="rId4"/>
    <hyperlink ref="O20" r:id="rId5"/>
    <hyperlink ref="O21" r:id="rId6"/>
    <hyperlink ref="O22" r:id="rId7"/>
    <hyperlink ref="O26" r:id="rId8"/>
    <hyperlink ref="O27" r:id="rId9"/>
    <hyperlink ref="O28" r:id="rId10"/>
    <hyperlink ref="O29" r:id="rId11"/>
    <hyperlink ref="O32" r:id="rId12"/>
    <hyperlink ref="O31" r:id="rId13"/>
    <hyperlink ref="O33" r:id="rId14"/>
    <hyperlink ref="O34" r:id="rId15"/>
    <hyperlink ref="O35" r:id="rId16"/>
    <hyperlink ref="O30" r:id="rId17"/>
    <hyperlink ref="O37" r:id="rId18"/>
    <hyperlink ref="O38" r:id="rId19"/>
    <hyperlink ref="O39" r:id="rId20"/>
    <hyperlink ref="O12" r:id="rId21"/>
    <hyperlink ref="O13" r:id="rId22"/>
    <hyperlink ref="O18" r:id="rId23"/>
    <hyperlink ref="O14" r:id="rId24"/>
    <hyperlink ref="O10" r:id="rId25"/>
    <hyperlink ref="O11" r:id="rId26"/>
    <hyperlink ref="O40" r:id="rId27"/>
    <hyperlink ref="O41" r:id="rId28"/>
    <hyperlink ref="O23" r:id="rId29"/>
    <hyperlink ref="O36" r:id="rId30"/>
  </hyperlinks>
  <pageMargins left="0.7" right="0.7" top="0.75" bottom="0.75" header="0.3" footer="0.3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31" workbookViewId="0">
      <selection activeCell="G59" sqref="G59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7.140625" customWidth="1"/>
    <col min="6" max="6" width="12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5.140625" bestFit="1" customWidth="1"/>
    <col min="15" max="15" width="7.5703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190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32"/>
      <c r="D4" s="13" t="s">
        <v>2</v>
      </c>
      <c r="E4" s="13"/>
      <c r="F4" s="57" t="s">
        <v>183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43</v>
      </c>
      <c r="F9" s="30" t="s">
        <v>70</v>
      </c>
      <c r="G9" s="30" t="s">
        <v>87</v>
      </c>
      <c r="H9" s="30" t="s">
        <v>111</v>
      </c>
      <c r="I9" s="30" t="s">
        <v>162</v>
      </c>
      <c r="J9" s="30" t="s">
        <v>127</v>
      </c>
      <c r="K9" s="30" t="s">
        <v>163</v>
      </c>
      <c r="L9" s="30" t="s">
        <v>161</v>
      </c>
      <c r="M9" s="30" t="s">
        <v>227</v>
      </c>
      <c r="N9" s="30" t="s">
        <v>228</v>
      </c>
      <c r="O9" s="30" t="s">
        <v>166</v>
      </c>
      <c r="P9" s="30" t="s">
        <v>229</v>
      </c>
      <c r="Q9" s="30" t="s">
        <v>230</v>
      </c>
      <c r="R9" s="30" t="s">
        <v>169</v>
      </c>
      <c r="S9" s="30" t="s">
        <v>170</v>
      </c>
    </row>
    <row r="10" spans="1:19" s="75" customFormat="1" ht="36" x14ac:dyDescent="0.25">
      <c r="A10" s="73"/>
      <c r="B10" s="46">
        <f>ROW(B10) - ROW($B$9)</f>
        <v>1</v>
      </c>
      <c r="C10" s="53" t="s">
        <v>192</v>
      </c>
      <c r="D10" s="37" t="s">
        <v>193</v>
      </c>
      <c r="E10" s="37" t="s">
        <v>194</v>
      </c>
      <c r="F10" s="37" t="s">
        <v>171</v>
      </c>
      <c r="G10" s="37" t="s">
        <v>195</v>
      </c>
      <c r="H10" s="37" t="s">
        <v>196</v>
      </c>
      <c r="I10" s="37" t="s">
        <v>172</v>
      </c>
      <c r="J10" s="37" t="s">
        <v>172</v>
      </c>
      <c r="K10" s="37" t="s">
        <v>172</v>
      </c>
      <c r="L10" s="37">
        <v>1</v>
      </c>
      <c r="M10" s="37">
        <f>L10*100</f>
        <v>100</v>
      </c>
      <c r="N10" s="37">
        <v>101</v>
      </c>
      <c r="O10" s="61" t="s">
        <v>204</v>
      </c>
      <c r="P10" s="38">
        <v>1.1501999999999999</v>
      </c>
      <c r="Q10" s="38">
        <f>P10*N10</f>
        <v>116.17019999999999</v>
      </c>
      <c r="R10" s="63" t="s">
        <v>181</v>
      </c>
      <c r="S10" s="74"/>
    </row>
    <row r="11" spans="1:19" s="75" customFormat="1" x14ac:dyDescent="0.25">
      <c r="A11" s="73"/>
      <c r="B11" s="47">
        <f t="shared" ref="B11:B41" si="0">ROW(B11) - ROW($B$9)</f>
        <v>2</v>
      </c>
      <c r="C11" s="54" t="s">
        <v>9</v>
      </c>
      <c r="D11" s="51" t="s">
        <v>19</v>
      </c>
      <c r="E11" s="51" t="s">
        <v>197</v>
      </c>
      <c r="F11" s="51" t="s">
        <v>71</v>
      </c>
      <c r="G11" s="51" t="s">
        <v>198</v>
      </c>
      <c r="H11" s="51" t="s">
        <v>113</v>
      </c>
      <c r="I11" s="51" t="s">
        <v>172</v>
      </c>
      <c r="J11" s="51" t="s">
        <v>199</v>
      </c>
      <c r="K11" s="51" t="s">
        <v>200</v>
      </c>
      <c r="L11" s="51">
        <v>1</v>
      </c>
      <c r="M11" s="37">
        <f t="shared" ref="M11:M41" si="1">L11*100</f>
        <v>100</v>
      </c>
      <c r="N11" s="51">
        <v>200</v>
      </c>
      <c r="O11" s="60" t="s">
        <v>173</v>
      </c>
      <c r="P11" s="52">
        <v>4.0000000000000001E-3</v>
      </c>
      <c r="Q11" s="52">
        <f t="shared" ref="Q11" si="2">P11*N11</f>
        <v>0.8</v>
      </c>
      <c r="R11" s="51"/>
      <c r="S11" s="51"/>
    </row>
    <row r="12" spans="1:19" s="75" customFormat="1" x14ac:dyDescent="0.25">
      <c r="A12" s="73"/>
      <c r="B12" s="46">
        <f>ROW(B12) - ROW($B$9)</f>
        <v>3</v>
      </c>
      <c r="C12" s="54" t="s">
        <v>9</v>
      </c>
      <c r="D12" s="37" t="s">
        <v>20</v>
      </c>
      <c r="E12" s="37" t="s">
        <v>44</v>
      </c>
      <c r="F12" s="37" t="s">
        <v>72</v>
      </c>
      <c r="G12" s="62" t="s">
        <v>88</v>
      </c>
      <c r="H12" s="37" t="s">
        <v>112</v>
      </c>
      <c r="I12" s="37" t="s">
        <v>174</v>
      </c>
      <c r="J12" s="37" t="s">
        <v>175</v>
      </c>
      <c r="K12" s="37" t="s">
        <v>149</v>
      </c>
      <c r="L12" s="37">
        <v>1</v>
      </c>
      <c r="M12" s="37">
        <f t="shared" si="1"/>
        <v>100</v>
      </c>
      <c r="N12" s="37">
        <v>200</v>
      </c>
      <c r="O12" s="61" t="s">
        <v>173</v>
      </c>
      <c r="P12" s="38">
        <v>1.6000000000000001E-3</v>
      </c>
      <c r="Q12" s="38">
        <f>P12*N12</f>
        <v>0.32</v>
      </c>
      <c r="R12" s="37"/>
      <c r="S12" s="59"/>
    </row>
    <row r="13" spans="1:19" s="75" customFormat="1" x14ac:dyDescent="0.25">
      <c r="A13" s="73"/>
      <c r="B13" s="47">
        <f t="shared" si="0"/>
        <v>4</v>
      </c>
      <c r="C13" s="54" t="s">
        <v>9</v>
      </c>
      <c r="D13" s="51" t="s">
        <v>191</v>
      </c>
      <c r="E13" s="51" t="s">
        <v>45</v>
      </c>
      <c r="F13" s="51" t="s">
        <v>71</v>
      </c>
      <c r="G13" s="62" t="s">
        <v>89</v>
      </c>
      <c r="H13" s="51" t="s">
        <v>113</v>
      </c>
      <c r="I13" s="51" t="s">
        <v>176</v>
      </c>
      <c r="J13" s="51" t="s">
        <v>177</v>
      </c>
      <c r="K13" s="51" t="s">
        <v>150</v>
      </c>
      <c r="L13" s="51">
        <v>6</v>
      </c>
      <c r="M13" s="37">
        <f t="shared" si="1"/>
        <v>600</v>
      </c>
      <c r="N13" s="51">
        <v>700</v>
      </c>
      <c r="O13" s="60" t="s">
        <v>173</v>
      </c>
      <c r="P13" s="52">
        <v>2.3999999999999998E-3</v>
      </c>
      <c r="Q13" s="52">
        <f t="shared" ref="Q13" si="3">P13*N13</f>
        <v>1.68</v>
      </c>
      <c r="R13" s="51"/>
      <c r="S13" s="59"/>
    </row>
    <row r="14" spans="1:19" s="75" customFormat="1" x14ac:dyDescent="0.25">
      <c r="A14" s="73"/>
      <c r="B14" s="46">
        <f>ROW(B14) - ROW($B$9)</f>
        <v>5</v>
      </c>
      <c r="C14" s="53" t="s">
        <v>9</v>
      </c>
      <c r="D14" s="37" t="s">
        <v>21</v>
      </c>
      <c r="E14" s="37" t="s">
        <v>185</v>
      </c>
      <c r="F14" s="37" t="s">
        <v>186</v>
      </c>
      <c r="G14" s="37" t="s">
        <v>187</v>
      </c>
      <c r="H14" s="37" t="s">
        <v>188</v>
      </c>
      <c r="I14" s="37" t="s">
        <v>172</v>
      </c>
      <c r="J14" s="37" t="s">
        <v>189</v>
      </c>
      <c r="K14" s="37" t="s">
        <v>151</v>
      </c>
      <c r="L14" s="37">
        <v>1</v>
      </c>
      <c r="M14" s="37">
        <f t="shared" si="1"/>
        <v>100</v>
      </c>
      <c r="N14" s="37">
        <v>105</v>
      </c>
      <c r="O14" s="61" t="s">
        <v>173</v>
      </c>
      <c r="P14" s="38">
        <v>0.16839999999999999</v>
      </c>
      <c r="Q14" s="38">
        <f>P14*N14</f>
        <v>17.681999999999999</v>
      </c>
      <c r="R14" s="37"/>
      <c r="S14" s="59"/>
    </row>
    <row r="15" spans="1:19" s="75" customFormat="1" x14ac:dyDescent="0.25">
      <c r="A15" s="73"/>
      <c r="B15" s="47">
        <f t="shared" si="0"/>
        <v>6</v>
      </c>
      <c r="C15" s="53" t="s">
        <v>9</v>
      </c>
      <c r="D15" s="51" t="s">
        <v>22</v>
      </c>
      <c r="E15" s="51" t="s">
        <v>46</v>
      </c>
      <c r="F15" s="51" t="s">
        <v>71</v>
      </c>
      <c r="G15" s="51" t="s">
        <v>90</v>
      </c>
      <c r="H15" s="51" t="s">
        <v>113</v>
      </c>
      <c r="I15" s="51" t="s">
        <v>172</v>
      </c>
      <c r="J15" s="51" t="s">
        <v>128</v>
      </c>
      <c r="K15" s="51" t="s">
        <v>152</v>
      </c>
      <c r="L15" s="51">
        <v>1</v>
      </c>
      <c r="M15" s="37">
        <f t="shared" si="1"/>
        <v>100</v>
      </c>
      <c r="N15" s="51">
        <v>200</v>
      </c>
      <c r="O15" s="60" t="s">
        <v>173</v>
      </c>
      <c r="P15" s="52">
        <v>5.1999999999999998E-3</v>
      </c>
      <c r="Q15" s="52">
        <f t="shared" ref="Q15" si="4">P15*N15</f>
        <v>1.04</v>
      </c>
      <c r="R15" s="51"/>
      <c r="S15" s="59"/>
    </row>
    <row r="16" spans="1:19" s="75" customFormat="1" x14ac:dyDescent="0.25">
      <c r="A16" s="73"/>
      <c r="B16" s="46">
        <f>ROW(B16) - ROW($B$9)</f>
        <v>7</v>
      </c>
      <c r="C16" s="53" t="s">
        <v>9</v>
      </c>
      <c r="D16" s="37" t="s">
        <v>23</v>
      </c>
      <c r="E16" s="37" t="s">
        <v>47</v>
      </c>
      <c r="F16" s="37" t="s">
        <v>72</v>
      </c>
      <c r="G16" s="37" t="s">
        <v>91</v>
      </c>
      <c r="H16" s="37" t="s">
        <v>113</v>
      </c>
      <c r="I16" s="37" t="s">
        <v>172</v>
      </c>
      <c r="J16" s="37" t="s">
        <v>129</v>
      </c>
      <c r="K16" s="37" t="s">
        <v>153</v>
      </c>
      <c r="L16" s="37">
        <v>3</v>
      </c>
      <c r="M16" s="37">
        <f t="shared" si="1"/>
        <v>300</v>
      </c>
      <c r="N16" s="37">
        <v>400</v>
      </c>
      <c r="O16" s="61" t="s">
        <v>173</v>
      </c>
      <c r="P16" s="38">
        <v>1E-3</v>
      </c>
      <c r="Q16" s="38">
        <f>P16*N16</f>
        <v>0.4</v>
      </c>
      <c r="R16" s="37"/>
      <c r="S16" s="59"/>
    </row>
    <row r="17" spans="1:19" s="75" customFormat="1" x14ac:dyDescent="0.25">
      <c r="A17" s="73"/>
      <c r="B17" s="47">
        <f t="shared" si="0"/>
        <v>8</v>
      </c>
      <c r="C17" s="54" t="s">
        <v>9</v>
      </c>
      <c r="D17" s="51" t="s">
        <v>24</v>
      </c>
      <c r="E17" s="51" t="s">
        <v>48</v>
      </c>
      <c r="F17" s="51" t="s">
        <v>73</v>
      </c>
      <c r="G17" s="51" t="s">
        <v>92</v>
      </c>
      <c r="H17" s="51" t="s">
        <v>114</v>
      </c>
      <c r="I17" s="51" t="s">
        <v>172</v>
      </c>
      <c r="J17" s="51" t="s">
        <v>130</v>
      </c>
      <c r="K17" s="51" t="s">
        <v>154</v>
      </c>
      <c r="L17" s="51">
        <v>2</v>
      </c>
      <c r="M17" s="37">
        <f t="shared" si="1"/>
        <v>200</v>
      </c>
      <c r="N17" s="51">
        <v>250</v>
      </c>
      <c r="O17" s="61" t="s">
        <v>173</v>
      </c>
      <c r="P17" s="52">
        <v>1.41E-2</v>
      </c>
      <c r="Q17" s="52">
        <f t="shared" ref="Q17" si="5">P17*N17</f>
        <v>3.5249999999999999</v>
      </c>
      <c r="R17" s="51"/>
      <c r="S17" s="59"/>
    </row>
    <row r="18" spans="1:19" s="75" customFormat="1" ht="24" x14ac:dyDescent="0.25">
      <c r="A18" s="73"/>
      <c r="B18" s="46">
        <f>ROW(B18) - ROW($B$9)</f>
        <v>9</v>
      </c>
      <c r="C18" s="53" t="s">
        <v>10</v>
      </c>
      <c r="D18" s="37" t="s">
        <v>25</v>
      </c>
      <c r="E18" s="37" t="s">
        <v>49</v>
      </c>
      <c r="F18" s="37" t="s">
        <v>74</v>
      </c>
      <c r="G18" s="62" t="s">
        <v>93</v>
      </c>
      <c r="H18" s="37" t="s">
        <v>115</v>
      </c>
      <c r="I18" s="37" t="s">
        <v>178</v>
      </c>
      <c r="J18" s="37" t="s">
        <v>179</v>
      </c>
      <c r="K18" s="37" t="s">
        <v>172</v>
      </c>
      <c r="L18" s="37">
        <v>1</v>
      </c>
      <c r="M18" s="37">
        <f t="shared" si="1"/>
        <v>100</v>
      </c>
      <c r="N18" s="37">
        <v>105</v>
      </c>
      <c r="O18" s="61" t="s">
        <v>173</v>
      </c>
      <c r="P18" s="38">
        <v>8.48E-2</v>
      </c>
      <c r="Q18" s="38">
        <f>P18*N18</f>
        <v>8.9039999999999999</v>
      </c>
      <c r="R18" s="37"/>
      <c r="S18" s="59"/>
    </row>
    <row r="19" spans="1:19" s="75" customFormat="1" ht="36" x14ac:dyDescent="0.25">
      <c r="A19" s="73"/>
      <c r="B19" s="47">
        <f t="shared" si="0"/>
        <v>10</v>
      </c>
      <c r="C19" s="54" t="s">
        <v>10</v>
      </c>
      <c r="D19" s="51" t="s">
        <v>26</v>
      </c>
      <c r="E19" s="51" t="s">
        <v>50</v>
      </c>
      <c r="F19" s="51" t="s">
        <v>75</v>
      </c>
      <c r="G19" s="51" t="s">
        <v>94</v>
      </c>
      <c r="H19" s="51" t="s">
        <v>116</v>
      </c>
      <c r="I19" s="51" t="s">
        <v>172</v>
      </c>
      <c r="J19" s="51" t="s">
        <v>131</v>
      </c>
      <c r="K19" s="51" t="s">
        <v>172</v>
      </c>
      <c r="L19" s="51">
        <v>2</v>
      </c>
      <c r="M19" s="37">
        <f t="shared" si="1"/>
        <v>200</v>
      </c>
      <c r="N19" s="51">
        <v>220</v>
      </c>
      <c r="O19" s="61" t="s">
        <v>173</v>
      </c>
      <c r="P19" s="52">
        <v>2.5700000000000001E-2</v>
      </c>
      <c r="Q19" s="52">
        <f t="shared" ref="Q19" si="6">P19*N19</f>
        <v>5.6539999999999999</v>
      </c>
      <c r="R19" s="51"/>
      <c r="S19" s="59"/>
    </row>
    <row r="20" spans="1:19" s="75" customFormat="1" ht="24" x14ac:dyDescent="0.25">
      <c r="A20" s="73"/>
      <c r="B20" s="46">
        <f>ROW(B20) - ROW($B$9)</f>
        <v>11</v>
      </c>
      <c r="C20" s="53" t="s">
        <v>10</v>
      </c>
      <c r="D20" s="37" t="s">
        <v>27</v>
      </c>
      <c r="E20" s="37" t="s">
        <v>51</v>
      </c>
      <c r="F20" s="37" t="s">
        <v>76</v>
      </c>
      <c r="G20" s="37" t="s">
        <v>95</v>
      </c>
      <c r="H20" s="37" t="s">
        <v>117</v>
      </c>
      <c r="I20" s="37" t="s">
        <v>172</v>
      </c>
      <c r="J20" s="37" t="s">
        <v>132</v>
      </c>
      <c r="K20" s="37" t="s">
        <v>172</v>
      </c>
      <c r="L20" s="37">
        <v>1</v>
      </c>
      <c r="M20" s="37">
        <f t="shared" si="1"/>
        <v>100</v>
      </c>
      <c r="N20" s="37">
        <v>110</v>
      </c>
      <c r="O20" s="61" t="s">
        <v>173</v>
      </c>
      <c r="P20" s="38">
        <v>4.3900000000000002E-2</v>
      </c>
      <c r="Q20" s="38">
        <f>P20*N20</f>
        <v>4.8289999999999997</v>
      </c>
      <c r="R20" s="37"/>
      <c r="S20" s="59"/>
    </row>
    <row r="21" spans="1:19" s="75" customFormat="1" ht="24" x14ac:dyDescent="0.25">
      <c r="A21" s="73"/>
      <c r="B21" s="47">
        <f t="shared" si="0"/>
        <v>12</v>
      </c>
      <c r="C21" s="54" t="s">
        <v>10</v>
      </c>
      <c r="D21" s="51" t="s">
        <v>28</v>
      </c>
      <c r="E21" s="51" t="s">
        <v>52</v>
      </c>
      <c r="F21" s="51" t="s">
        <v>77</v>
      </c>
      <c r="G21" s="51" t="s">
        <v>96</v>
      </c>
      <c r="H21" s="51" t="s">
        <v>118</v>
      </c>
      <c r="I21" s="51" t="s">
        <v>172</v>
      </c>
      <c r="J21" s="51" t="s">
        <v>133</v>
      </c>
      <c r="K21" s="51" t="s">
        <v>172</v>
      </c>
      <c r="L21" s="51">
        <v>1</v>
      </c>
      <c r="M21" s="37">
        <f t="shared" si="1"/>
        <v>100</v>
      </c>
      <c r="N21" s="51">
        <v>110</v>
      </c>
      <c r="O21" s="61" t="s">
        <v>173</v>
      </c>
      <c r="P21" s="52">
        <v>7.0999999999999994E-2</v>
      </c>
      <c r="Q21" s="52">
        <f t="shared" ref="Q21" si="7">P21*N21</f>
        <v>7.81</v>
      </c>
      <c r="R21" s="51"/>
      <c r="S21" s="59"/>
    </row>
    <row r="22" spans="1:19" s="75" customFormat="1" ht="24" x14ac:dyDescent="0.25">
      <c r="A22" s="73"/>
      <c r="B22" s="46">
        <f>ROW(B22) - ROW($B$9)</f>
        <v>13</v>
      </c>
      <c r="C22" s="53" t="s">
        <v>11</v>
      </c>
      <c r="D22" s="37" t="s">
        <v>29</v>
      </c>
      <c r="E22" s="37" t="s">
        <v>53</v>
      </c>
      <c r="F22" s="37" t="s">
        <v>78</v>
      </c>
      <c r="G22" s="37" t="s">
        <v>97</v>
      </c>
      <c r="H22" s="37" t="s">
        <v>119</v>
      </c>
      <c r="I22" s="37" t="s">
        <v>172</v>
      </c>
      <c r="J22" s="37" t="s">
        <v>134</v>
      </c>
      <c r="K22" s="37" t="s">
        <v>172</v>
      </c>
      <c r="L22" s="37">
        <v>1</v>
      </c>
      <c r="M22" s="37">
        <f t="shared" si="1"/>
        <v>100</v>
      </c>
      <c r="N22" s="37">
        <v>110</v>
      </c>
      <c r="O22" s="61" t="s">
        <v>173</v>
      </c>
      <c r="P22" s="38">
        <v>3.7699999999999997E-2</v>
      </c>
      <c r="Q22" s="38">
        <f>P22*N22</f>
        <v>4.1469999999999994</v>
      </c>
      <c r="R22" s="37"/>
      <c r="S22" s="59"/>
    </row>
    <row r="23" spans="1:19" s="75" customFormat="1" ht="48" x14ac:dyDescent="0.25">
      <c r="A23" s="73"/>
      <c r="B23" s="47">
        <f t="shared" si="0"/>
        <v>14</v>
      </c>
      <c r="C23" s="54" t="s">
        <v>215</v>
      </c>
      <c r="D23" s="51" t="s">
        <v>30</v>
      </c>
      <c r="E23" s="51" t="s">
        <v>216</v>
      </c>
      <c r="F23" s="51" t="s">
        <v>171</v>
      </c>
      <c r="G23" s="51" t="s">
        <v>217</v>
      </c>
      <c r="H23" s="51" t="s">
        <v>184</v>
      </c>
      <c r="I23" s="51" t="s">
        <v>172</v>
      </c>
      <c r="J23" s="51" t="s">
        <v>218</v>
      </c>
      <c r="K23" s="51" t="s">
        <v>172</v>
      </c>
      <c r="L23" s="51">
        <v>1</v>
      </c>
      <c r="M23" s="37">
        <f t="shared" si="1"/>
        <v>100</v>
      </c>
      <c r="N23" s="37">
        <v>101</v>
      </c>
      <c r="O23" s="60" t="s">
        <v>173</v>
      </c>
      <c r="P23" s="52">
        <v>0.51870000000000005</v>
      </c>
      <c r="Q23" s="52">
        <f t="shared" ref="Q23" si="8">P23*N23</f>
        <v>52.388700000000007</v>
      </c>
      <c r="R23" s="51"/>
      <c r="S23" s="59"/>
    </row>
    <row r="24" spans="1:19" s="75" customFormat="1" ht="25.5" x14ac:dyDescent="0.25">
      <c r="A24" s="73"/>
      <c r="B24" s="46">
        <f>ROW(B24) - ROW($B$9)</f>
        <v>15</v>
      </c>
      <c r="C24" s="53" t="s">
        <v>180</v>
      </c>
      <c r="D24" s="62" t="s">
        <v>31</v>
      </c>
      <c r="E24" s="62" t="s">
        <v>54</v>
      </c>
      <c r="F24" s="62" t="s">
        <v>171</v>
      </c>
      <c r="G24" s="62" t="s">
        <v>172</v>
      </c>
      <c r="H24" s="62" t="s">
        <v>172</v>
      </c>
      <c r="I24" s="62" t="s">
        <v>172</v>
      </c>
      <c r="J24" s="62" t="s">
        <v>172</v>
      </c>
      <c r="K24" s="62" t="s">
        <v>172</v>
      </c>
      <c r="L24" s="62">
        <v>1</v>
      </c>
      <c r="M24" s="37">
        <f t="shared" si="1"/>
        <v>100</v>
      </c>
      <c r="N24" s="62" t="s">
        <v>172</v>
      </c>
      <c r="O24" s="62" t="s">
        <v>172</v>
      </c>
      <c r="P24" s="62" t="s">
        <v>172</v>
      </c>
      <c r="Q24" s="62" t="s">
        <v>172</v>
      </c>
      <c r="R24" s="62"/>
      <c r="S24" s="59"/>
    </row>
    <row r="25" spans="1:19" s="75" customFormat="1" ht="25.5" x14ac:dyDescent="0.25">
      <c r="A25" s="73"/>
      <c r="B25" s="47">
        <f t="shared" si="0"/>
        <v>16</v>
      </c>
      <c r="C25" s="54" t="s">
        <v>12</v>
      </c>
      <c r="D25" s="64" t="s">
        <v>32</v>
      </c>
      <c r="E25" s="64" t="s">
        <v>55</v>
      </c>
      <c r="F25" s="64" t="s">
        <v>171</v>
      </c>
      <c r="G25" s="64" t="s">
        <v>98</v>
      </c>
      <c r="H25" s="62" t="s">
        <v>172</v>
      </c>
      <c r="I25" s="62" t="s">
        <v>172</v>
      </c>
      <c r="J25" s="62" t="s">
        <v>172</v>
      </c>
      <c r="K25" s="62" t="s">
        <v>172</v>
      </c>
      <c r="L25" s="64">
        <v>1</v>
      </c>
      <c r="M25" s="37">
        <f t="shared" si="1"/>
        <v>100</v>
      </c>
      <c r="N25" s="62" t="s">
        <v>172</v>
      </c>
      <c r="O25" s="62" t="s">
        <v>172</v>
      </c>
      <c r="P25" s="62" t="s">
        <v>172</v>
      </c>
      <c r="Q25" s="62" t="s">
        <v>172</v>
      </c>
      <c r="R25" s="51"/>
      <c r="S25" s="59"/>
    </row>
    <row r="26" spans="1:19" s="75" customFormat="1" ht="48" x14ac:dyDescent="0.25">
      <c r="A26" s="73"/>
      <c r="B26" s="46">
        <f>ROW(B26) - ROW($B$9)</f>
        <v>17</v>
      </c>
      <c r="C26" s="53" t="s">
        <v>13</v>
      </c>
      <c r="D26" s="37" t="s">
        <v>201</v>
      </c>
      <c r="E26" s="37" t="s">
        <v>56</v>
      </c>
      <c r="F26" s="37" t="s">
        <v>171</v>
      </c>
      <c r="G26" s="37" t="s">
        <v>79</v>
      </c>
      <c r="H26" s="37" t="s">
        <v>120</v>
      </c>
      <c r="I26" s="37" t="s">
        <v>172</v>
      </c>
      <c r="J26" s="37" t="s">
        <v>135</v>
      </c>
      <c r="K26" s="37" t="s">
        <v>172</v>
      </c>
      <c r="L26" s="37">
        <v>2</v>
      </c>
      <c r="M26" s="37">
        <f t="shared" si="1"/>
        <v>200</v>
      </c>
      <c r="N26" s="37">
        <v>201</v>
      </c>
      <c r="O26" s="61" t="s">
        <v>173</v>
      </c>
      <c r="P26" s="38">
        <v>0.22359999999999999</v>
      </c>
      <c r="Q26" s="38">
        <f>P26*N26</f>
        <v>44.943599999999996</v>
      </c>
      <c r="R26" s="37"/>
      <c r="S26" s="59"/>
    </row>
    <row r="27" spans="1:19" s="75" customFormat="1" ht="36" x14ac:dyDescent="0.25">
      <c r="A27" s="73"/>
      <c r="B27" s="46">
        <f>ROW(B27) - ROW($B$9)</f>
        <v>18</v>
      </c>
      <c r="C27" s="53" t="s">
        <v>14</v>
      </c>
      <c r="D27" s="37" t="s">
        <v>33</v>
      </c>
      <c r="E27" s="37" t="s">
        <v>57</v>
      </c>
      <c r="F27" s="37" t="s">
        <v>80</v>
      </c>
      <c r="G27" s="37" t="s">
        <v>99</v>
      </c>
      <c r="H27" s="37" t="s">
        <v>121</v>
      </c>
      <c r="I27" s="37" t="s">
        <v>172</v>
      </c>
      <c r="J27" s="37" t="s">
        <v>136</v>
      </c>
      <c r="K27" s="37" t="s">
        <v>172</v>
      </c>
      <c r="L27" s="37">
        <v>1</v>
      </c>
      <c r="M27" s="37">
        <f t="shared" si="1"/>
        <v>100</v>
      </c>
      <c r="N27" s="37">
        <v>120</v>
      </c>
      <c r="O27" s="61" t="s">
        <v>173</v>
      </c>
      <c r="P27" s="38">
        <v>3.1300000000000001E-2</v>
      </c>
      <c r="Q27" s="38">
        <f>P27*N27</f>
        <v>3.7560000000000002</v>
      </c>
      <c r="R27" s="37"/>
      <c r="S27" s="59"/>
    </row>
    <row r="28" spans="1:19" s="75" customFormat="1" ht="24" x14ac:dyDescent="0.25">
      <c r="A28" s="73"/>
      <c r="B28" s="47">
        <f t="shared" si="0"/>
        <v>19</v>
      </c>
      <c r="C28" s="54" t="s">
        <v>14</v>
      </c>
      <c r="D28" s="51" t="s">
        <v>34</v>
      </c>
      <c r="E28" s="51" t="s">
        <v>58</v>
      </c>
      <c r="F28" s="51" t="s">
        <v>80</v>
      </c>
      <c r="G28" s="51" t="s">
        <v>100</v>
      </c>
      <c r="H28" s="51" t="s">
        <v>121</v>
      </c>
      <c r="I28" s="51" t="s">
        <v>172</v>
      </c>
      <c r="J28" s="51" t="s">
        <v>137</v>
      </c>
      <c r="K28" s="51" t="s">
        <v>172</v>
      </c>
      <c r="L28" s="51">
        <v>1</v>
      </c>
      <c r="M28" s="37">
        <f t="shared" si="1"/>
        <v>100</v>
      </c>
      <c r="N28" s="51">
        <v>110</v>
      </c>
      <c r="O28" s="61" t="s">
        <v>173</v>
      </c>
      <c r="P28" s="52">
        <v>4.2599999999999999E-2</v>
      </c>
      <c r="Q28" s="52">
        <f t="shared" ref="Q28" si="9">P28*N28</f>
        <v>4.6859999999999999</v>
      </c>
      <c r="R28" s="51"/>
      <c r="S28" s="59"/>
    </row>
    <row r="29" spans="1:19" s="75" customFormat="1" ht="48" x14ac:dyDescent="0.25">
      <c r="A29" s="73"/>
      <c r="B29" s="46">
        <f>ROW(B29) - ROW($B$9)</f>
        <v>20</v>
      </c>
      <c r="C29" s="53" t="s">
        <v>203</v>
      </c>
      <c r="D29" s="37" t="s">
        <v>35</v>
      </c>
      <c r="E29" s="37" t="s">
        <v>59</v>
      </c>
      <c r="F29" s="37" t="s">
        <v>81</v>
      </c>
      <c r="G29" s="37" t="s">
        <v>101</v>
      </c>
      <c r="H29" s="37" t="s">
        <v>122</v>
      </c>
      <c r="I29" s="37" t="s">
        <v>172</v>
      </c>
      <c r="J29" s="37" t="s">
        <v>138</v>
      </c>
      <c r="K29" s="37" t="s">
        <v>172</v>
      </c>
      <c r="L29" s="37">
        <v>4</v>
      </c>
      <c r="M29" s="37">
        <f t="shared" si="1"/>
        <v>400</v>
      </c>
      <c r="N29" s="37">
        <v>420</v>
      </c>
      <c r="O29" s="61" t="s">
        <v>173</v>
      </c>
      <c r="P29" s="38">
        <v>2.7099999999999999E-2</v>
      </c>
      <c r="Q29" s="38">
        <f>P29*N29</f>
        <v>11.382</v>
      </c>
      <c r="R29" s="37"/>
      <c r="S29" s="59"/>
    </row>
    <row r="30" spans="1:19" s="75" customFormat="1" x14ac:dyDescent="0.25">
      <c r="A30" s="73"/>
      <c r="B30" s="46">
        <f>ROW(B30) - ROW($B$9)</f>
        <v>21</v>
      </c>
      <c r="C30" s="53" t="s">
        <v>15</v>
      </c>
      <c r="D30" s="37" t="s">
        <v>205</v>
      </c>
      <c r="E30" s="37" t="s">
        <v>65</v>
      </c>
      <c r="F30" s="37" t="s">
        <v>82</v>
      </c>
      <c r="G30" s="37" t="s">
        <v>107</v>
      </c>
      <c r="H30" s="37" t="s">
        <v>113</v>
      </c>
      <c r="I30" s="37" t="s">
        <v>172</v>
      </c>
      <c r="J30" s="37" t="s">
        <v>144</v>
      </c>
      <c r="K30" s="37" t="s">
        <v>160</v>
      </c>
      <c r="L30" s="37">
        <v>3</v>
      </c>
      <c r="M30" s="37">
        <f t="shared" si="1"/>
        <v>300</v>
      </c>
      <c r="N30" s="37">
        <v>400</v>
      </c>
      <c r="O30" s="61" t="s">
        <v>173</v>
      </c>
      <c r="P30" s="38">
        <v>1.5E-3</v>
      </c>
      <c r="Q30" s="38">
        <f>P30*N30</f>
        <v>0.6</v>
      </c>
      <c r="R30" s="37"/>
      <c r="S30" s="59"/>
    </row>
    <row r="31" spans="1:19" s="75" customFormat="1" x14ac:dyDescent="0.25">
      <c r="A31" s="73"/>
      <c r="B31" s="46">
        <f>ROW(B31) - ROW($B$9)</f>
        <v>22</v>
      </c>
      <c r="C31" s="53" t="s">
        <v>15</v>
      </c>
      <c r="D31" s="37" t="s">
        <v>36</v>
      </c>
      <c r="E31" s="37" t="s">
        <v>61</v>
      </c>
      <c r="F31" s="37" t="s">
        <v>82</v>
      </c>
      <c r="G31" s="37" t="s">
        <v>103</v>
      </c>
      <c r="H31" s="37" t="s">
        <v>113</v>
      </c>
      <c r="I31" s="37" t="s">
        <v>172</v>
      </c>
      <c r="J31" s="37" t="s">
        <v>140</v>
      </c>
      <c r="K31" s="37" t="s">
        <v>156</v>
      </c>
      <c r="L31" s="37">
        <v>2</v>
      </c>
      <c r="M31" s="37">
        <f t="shared" si="1"/>
        <v>200</v>
      </c>
      <c r="N31" s="37">
        <v>300</v>
      </c>
      <c r="O31" s="61" t="s">
        <v>173</v>
      </c>
      <c r="P31" s="38">
        <v>1.1999999999999999E-3</v>
      </c>
      <c r="Q31" s="38">
        <f>P31*N31</f>
        <v>0.36</v>
      </c>
      <c r="R31" s="37"/>
      <c r="S31" s="59"/>
    </row>
    <row r="32" spans="1:19" s="75" customFormat="1" x14ac:dyDescent="0.25">
      <c r="A32" s="73"/>
      <c r="B32" s="47">
        <f t="shared" si="0"/>
        <v>23</v>
      </c>
      <c r="C32" s="54" t="s">
        <v>15</v>
      </c>
      <c r="D32" s="37" t="s">
        <v>206</v>
      </c>
      <c r="E32" s="51" t="s">
        <v>60</v>
      </c>
      <c r="F32" s="51" t="s">
        <v>82</v>
      </c>
      <c r="G32" s="51" t="s">
        <v>102</v>
      </c>
      <c r="H32" s="51" t="s">
        <v>113</v>
      </c>
      <c r="I32" s="51" t="s">
        <v>172</v>
      </c>
      <c r="J32" s="51" t="s">
        <v>139</v>
      </c>
      <c r="K32" s="51" t="s">
        <v>155</v>
      </c>
      <c r="L32" s="51">
        <v>2</v>
      </c>
      <c r="M32" s="37">
        <f t="shared" si="1"/>
        <v>200</v>
      </c>
      <c r="N32" s="51">
        <v>300</v>
      </c>
      <c r="O32" s="61" t="s">
        <v>173</v>
      </c>
      <c r="P32" s="52">
        <v>1.2999999999999999E-3</v>
      </c>
      <c r="Q32" s="52">
        <f t="shared" ref="Q32:Q33" si="10">P32*N32</f>
        <v>0.38999999999999996</v>
      </c>
      <c r="R32" s="51"/>
      <c r="S32" s="59"/>
    </row>
    <row r="33" spans="1:19" s="75" customFormat="1" x14ac:dyDescent="0.25">
      <c r="A33" s="73"/>
      <c r="B33" s="47">
        <f t="shared" si="0"/>
        <v>24</v>
      </c>
      <c r="C33" s="54" t="s">
        <v>15</v>
      </c>
      <c r="D33" s="51" t="s">
        <v>37</v>
      </c>
      <c r="E33" s="51" t="s">
        <v>62</v>
      </c>
      <c r="F33" s="51" t="s">
        <v>82</v>
      </c>
      <c r="G33" s="51" t="s">
        <v>104</v>
      </c>
      <c r="H33" s="51" t="s">
        <v>113</v>
      </c>
      <c r="I33" s="51" t="s">
        <v>172</v>
      </c>
      <c r="J33" s="51" t="s">
        <v>141</v>
      </c>
      <c r="K33" s="51" t="s">
        <v>157</v>
      </c>
      <c r="L33" s="51">
        <v>2</v>
      </c>
      <c r="M33" s="37">
        <f t="shared" si="1"/>
        <v>200</v>
      </c>
      <c r="N33" s="51">
        <v>300</v>
      </c>
      <c r="O33" s="61" t="s">
        <v>173</v>
      </c>
      <c r="P33" s="52">
        <v>1.2999999999999999E-3</v>
      </c>
      <c r="Q33" s="52">
        <f t="shared" si="10"/>
        <v>0.38999999999999996</v>
      </c>
      <c r="R33" s="51"/>
      <c r="S33" s="59"/>
    </row>
    <row r="34" spans="1:19" s="75" customFormat="1" ht="24" x14ac:dyDescent="0.25">
      <c r="A34" s="73"/>
      <c r="B34" s="46">
        <f>ROW(B34) - ROW($B$9)</f>
        <v>25</v>
      </c>
      <c r="C34" s="53" t="s">
        <v>15</v>
      </c>
      <c r="D34" s="37" t="s">
        <v>38</v>
      </c>
      <c r="E34" s="37" t="s">
        <v>63</v>
      </c>
      <c r="F34" s="37" t="s">
        <v>82</v>
      </c>
      <c r="G34" s="37" t="s">
        <v>105</v>
      </c>
      <c r="H34" s="37" t="s">
        <v>113</v>
      </c>
      <c r="I34" s="37" t="s">
        <v>172</v>
      </c>
      <c r="J34" s="37" t="s">
        <v>142</v>
      </c>
      <c r="K34" s="37" t="s">
        <v>158</v>
      </c>
      <c r="L34" s="37">
        <v>4</v>
      </c>
      <c r="M34" s="37">
        <f t="shared" si="1"/>
        <v>400</v>
      </c>
      <c r="N34" s="37">
        <v>500</v>
      </c>
      <c r="O34" s="61" t="s">
        <v>173</v>
      </c>
      <c r="P34" s="38">
        <v>1.1999999999999999E-3</v>
      </c>
      <c r="Q34" s="38">
        <f>P34*N34</f>
        <v>0.6</v>
      </c>
      <c r="R34" s="37"/>
      <c r="S34" s="59"/>
    </row>
    <row r="35" spans="1:19" s="75" customFormat="1" x14ac:dyDescent="0.25">
      <c r="A35" s="73"/>
      <c r="B35" s="47">
        <f t="shared" si="0"/>
        <v>26</v>
      </c>
      <c r="C35" s="53" t="s">
        <v>15</v>
      </c>
      <c r="D35" s="51" t="s">
        <v>39</v>
      </c>
      <c r="E35" s="51" t="s">
        <v>64</v>
      </c>
      <c r="F35" s="51" t="s">
        <v>82</v>
      </c>
      <c r="G35" s="51" t="s">
        <v>106</v>
      </c>
      <c r="H35" s="51" t="s">
        <v>113</v>
      </c>
      <c r="I35" s="51" t="s">
        <v>172</v>
      </c>
      <c r="J35" s="51" t="s">
        <v>143</v>
      </c>
      <c r="K35" s="51" t="s">
        <v>159</v>
      </c>
      <c r="L35" s="51">
        <v>4</v>
      </c>
      <c r="M35" s="37">
        <f t="shared" si="1"/>
        <v>400</v>
      </c>
      <c r="N35" s="51">
        <v>500</v>
      </c>
      <c r="O35" s="61" t="s">
        <v>173</v>
      </c>
      <c r="P35" s="52">
        <v>1.1000000000000001E-3</v>
      </c>
      <c r="Q35" s="52">
        <f t="shared" ref="Q35:Q36" si="11">P35*N35</f>
        <v>0.55000000000000004</v>
      </c>
      <c r="R35" s="51"/>
      <c r="S35" s="59"/>
    </row>
    <row r="36" spans="1:19" s="75" customFormat="1" ht="30" x14ac:dyDescent="0.25">
      <c r="A36" s="73"/>
      <c r="B36" s="47">
        <f t="shared" si="0"/>
        <v>27</v>
      </c>
      <c r="C36" s="54" t="s">
        <v>16</v>
      </c>
      <c r="D36" s="51" t="s">
        <v>40</v>
      </c>
      <c r="E36" s="51" t="s">
        <v>66</v>
      </c>
      <c r="F36" s="51" t="s">
        <v>171</v>
      </c>
      <c r="G36" s="51" t="s">
        <v>83</v>
      </c>
      <c r="H36" s="51" t="s">
        <v>123</v>
      </c>
      <c r="I36" s="51" t="s">
        <v>172</v>
      </c>
      <c r="J36" s="51" t="s">
        <v>145</v>
      </c>
      <c r="K36" s="51" t="s">
        <v>172</v>
      </c>
      <c r="L36" s="51">
        <v>1</v>
      </c>
      <c r="M36" s="37">
        <f t="shared" si="1"/>
        <v>100</v>
      </c>
      <c r="N36" s="51">
        <v>101</v>
      </c>
      <c r="O36" s="61" t="s">
        <v>239</v>
      </c>
      <c r="P36" s="52">
        <v>36.21752</v>
      </c>
      <c r="Q36" s="52">
        <f t="shared" si="11"/>
        <v>3657.9695200000001</v>
      </c>
      <c r="R36" s="51"/>
      <c r="S36" s="59"/>
    </row>
    <row r="37" spans="1:19" s="75" customFormat="1" ht="36" x14ac:dyDescent="0.25">
      <c r="A37" s="73"/>
      <c r="B37" s="46">
        <f>ROW(B37) - ROW($B$9)</f>
        <v>28</v>
      </c>
      <c r="C37" s="53" t="s">
        <v>16</v>
      </c>
      <c r="D37" s="37" t="s">
        <v>41</v>
      </c>
      <c r="E37" s="37" t="s">
        <v>67</v>
      </c>
      <c r="F37" s="37" t="s">
        <v>84</v>
      </c>
      <c r="G37" s="37" t="s">
        <v>108</v>
      </c>
      <c r="H37" s="37" t="s">
        <v>124</v>
      </c>
      <c r="I37" s="37" t="s">
        <v>172</v>
      </c>
      <c r="J37" s="37" t="s">
        <v>146</v>
      </c>
      <c r="K37" s="37" t="s">
        <v>172</v>
      </c>
      <c r="L37" s="37">
        <v>1</v>
      </c>
      <c r="M37" s="37">
        <f t="shared" si="1"/>
        <v>100</v>
      </c>
      <c r="N37" s="37">
        <v>101</v>
      </c>
      <c r="O37" s="61" t="s">
        <v>173</v>
      </c>
      <c r="P37" s="38">
        <v>0.4128</v>
      </c>
      <c r="Q37" s="38">
        <f>P37*N37</f>
        <v>41.692799999999998</v>
      </c>
      <c r="R37" s="37"/>
      <c r="S37" s="59"/>
    </row>
    <row r="38" spans="1:19" s="75" customFormat="1" ht="24" x14ac:dyDescent="0.25">
      <c r="A38" s="73"/>
      <c r="B38" s="46">
        <f>ROW(B38) - ROW($B$9)</f>
        <v>29</v>
      </c>
      <c r="C38" s="53" t="s">
        <v>17</v>
      </c>
      <c r="D38" s="37" t="s">
        <v>202</v>
      </c>
      <c r="E38" s="37" t="s">
        <v>68</v>
      </c>
      <c r="F38" s="37" t="s">
        <v>85</v>
      </c>
      <c r="G38" s="37" t="s">
        <v>109</v>
      </c>
      <c r="H38" s="37" t="s">
        <v>125</v>
      </c>
      <c r="I38" s="37" t="s">
        <v>172</v>
      </c>
      <c r="J38" s="37" t="s">
        <v>147</v>
      </c>
      <c r="K38" s="37" t="s">
        <v>172</v>
      </c>
      <c r="L38" s="37">
        <v>2</v>
      </c>
      <c r="M38" s="37">
        <f t="shared" si="1"/>
        <v>200</v>
      </c>
      <c r="N38" s="37">
        <v>220</v>
      </c>
      <c r="O38" s="61" t="s">
        <v>173</v>
      </c>
      <c r="P38" s="38">
        <v>4.2700000000000002E-2</v>
      </c>
      <c r="Q38" s="38">
        <f>P38*N38</f>
        <v>9.3940000000000001</v>
      </c>
      <c r="R38" s="37"/>
      <c r="S38" s="59"/>
    </row>
    <row r="39" spans="1:19" s="75" customFormat="1" ht="24.75" thickBot="1" x14ac:dyDescent="0.3">
      <c r="A39" s="73"/>
      <c r="B39" s="47">
        <f t="shared" si="0"/>
        <v>30</v>
      </c>
      <c r="C39" s="54" t="s">
        <v>16</v>
      </c>
      <c r="D39" s="51" t="s">
        <v>42</v>
      </c>
      <c r="E39" s="51" t="s">
        <v>69</v>
      </c>
      <c r="F39" s="51" t="s">
        <v>86</v>
      </c>
      <c r="G39" s="51" t="s">
        <v>110</v>
      </c>
      <c r="H39" s="51" t="s">
        <v>126</v>
      </c>
      <c r="I39" s="51" t="s">
        <v>172</v>
      </c>
      <c r="J39" s="51" t="s">
        <v>148</v>
      </c>
      <c r="K39" s="51" t="s">
        <v>172</v>
      </c>
      <c r="L39" s="51">
        <v>1</v>
      </c>
      <c r="M39" s="37">
        <f t="shared" si="1"/>
        <v>100</v>
      </c>
      <c r="N39" s="51">
        <v>101</v>
      </c>
      <c r="O39" s="61" t="s">
        <v>173</v>
      </c>
      <c r="P39" s="52">
        <v>0.3866</v>
      </c>
      <c r="Q39" s="52">
        <f t="shared" ref="Q39:Q41" si="12">P39*N39</f>
        <v>39.046599999999998</v>
      </c>
      <c r="R39" s="51"/>
      <c r="S39" s="39"/>
    </row>
    <row r="40" spans="1:19" s="75" customFormat="1" ht="24.75" thickBot="1" x14ac:dyDescent="0.3">
      <c r="A40" s="73"/>
      <c r="B40" s="47">
        <f t="shared" si="0"/>
        <v>31</v>
      </c>
      <c r="C40" s="54" t="s">
        <v>182</v>
      </c>
      <c r="D40" s="51" t="s">
        <v>172</v>
      </c>
      <c r="E40" s="51" t="s">
        <v>207</v>
      </c>
      <c r="F40" s="51" t="s">
        <v>172</v>
      </c>
      <c r="G40" s="51" t="s">
        <v>208</v>
      </c>
      <c r="H40" s="51" t="s">
        <v>209</v>
      </c>
      <c r="I40" s="51" t="s">
        <v>172</v>
      </c>
      <c r="J40" s="51" t="s">
        <v>210</v>
      </c>
      <c r="K40" s="51" t="s">
        <v>172</v>
      </c>
      <c r="L40" s="51">
        <v>1</v>
      </c>
      <c r="M40" s="37">
        <f t="shared" si="1"/>
        <v>100</v>
      </c>
      <c r="N40" s="51">
        <v>100</v>
      </c>
      <c r="O40" s="61" t="s">
        <v>173</v>
      </c>
      <c r="P40" s="52">
        <v>1.4732000000000001</v>
      </c>
      <c r="Q40" s="52">
        <f t="shared" si="12"/>
        <v>147.32</v>
      </c>
      <c r="R40" s="51"/>
      <c r="S40" s="39"/>
    </row>
    <row r="41" spans="1:19" s="75" customFormat="1" ht="24.75" thickBot="1" x14ac:dyDescent="0.3">
      <c r="A41" s="73"/>
      <c r="B41" s="47">
        <f t="shared" si="0"/>
        <v>32</v>
      </c>
      <c r="C41" s="54" t="s">
        <v>182</v>
      </c>
      <c r="D41" s="51" t="s">
        <v>172</v>
      </c>
      <c r="E41" s="51" t="s">
        <v>213</v>
      </c>
      <c r="F41" s="51"/>
      <c r="G41" s="51" t="s">
        <v>211</v>
      </c>
      <c r="H41" s="51" t="s">
        <v>212</v>
      </c>
      <c r="I41" s="51" t="s">
        <v>172</v>
      </c>
      <c r="J41" s="51" t="s">
        <v>214</v>
      </c>
      <c r="K41" s="51" t="s">
        <v>172</v>
      </c>
      <c r="L41" s="51">
        <v>1</v>
      </c>
      <c r="M41" s="37">
        <f t="shared" si="1"/>
        <v>100</v>
      </c>
      <c r="N41" s="51">
        <v>100</v>
      </c>
      <c r="O41" s="61" t="s">
        <v>173</v>
      </c>
      <c r="P41" s="52">
        <v>0.63790000000000002</v>
      </c>
      <c r="Q41" s="52">
        <f t="shared" si="12"/>
        <v>63.79</v>
      </c>
      <c r="R41" s="51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4" t="s">
        <v>5</v>
      </c>
      <c r="O42" s="85"/>
      <c r="P42" s="85"/>
      <c r="Q42" s="48">
        <f>SUM(Q10:Q41)</f>
        <v>4252.2204199999996</v>
      </c>
      <c r="R42" s="80"/>
      <c r="S42" s="81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4" t="s">
        <v>6</v>
      </c>
      <c r="O43" s="85"/>
      <c r="P43" s="85"/>
      <c r="Q43" s="49">
        <f>Q42/100</f>
        <v>42.522204199999997</v>
      </c>
      <c r="R43" s="82"/>
      <c r="S43" s="83"/>
    </row>
  </sheetData>
  <mergeCells count="5">
    <mergeCell ref="K1:S1"/>
    <mergeCell ref="S3:S8"/>
    <mergeCell ref="N42:P42"/>
    <mergeCell ref="R42:S43"/>
    <mergeCell ref="N43:P43"/>
  </mergeCells>
  <hyperlinks>
    <hyperlink ref="O15" r:id="rId1"/>
    <hyperlink ref="O16" r:id="rId2"/>
    <hyperlink ref="O17" r:id="rId3"/>
    <hyperlink ref="O19" r:id="rId4"/>
    <hyperlink ref="O20" r:id="rId5"/>
    <hyperlink ref="O21" r:id="rId6"/>
    <hyperlink ref="O22" r:id="rId7"/>
    <hyperlink ref="O26" r:id="rId8"/>
    <hyperlink ref="O27" r:id="rId9"/>
    <hyperlink ref="O28" r:id="rId10"/>
    <hyperlink ref="O29" r:id="rId11"/>
    <hyperlink ref="O32" r:id="rId12"/>
    <hyperlink ref="O31" r:id="rId13"/>
    <hyperlink ref="O33" r:id="rId14"/>
    <hyperlink ref="O34" r:id="rId15"/>
    <hyperlink ref="O35" r:id="rId16"/>
    <hyperlink ref="O30" r:id="rId17"/>
    <hyperlink ref="O37" r:id="rId18"/>
    <hyperlink ref="O38" r:id="rId19"/>
    <hyperlink ref="O39" r:id="rId20"/>
    <hyperlink ref="O12" r:id="rId21"/>
    <hyperlink ref="O13" r:id="rId22"/>
    <hyperlink ref="O18" r:id="rId23"/>
    <hyperlink ref="O14" r:id="rId24"/>
    <hyperlink ref="O10" r:id="rId25"/>
    <hyperlink ref="O11" r:id="rId26"/>
    <hyperlink ref="O40" r:id="rId27"/>
    <hyperlink ref="O41" r:id="rId28"/>
    <hyperlink ref="O23" r:id="rId29"/>
    <hyperlink ref="O36" r:id="rId30"/>
  </hyperlinks>
  <pageMargins left="0.7" right="0.7" top="0.75" bottom="0.75" header="0.3" footer="0.3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25" workbookViewId="0">
      <selection activeCell="A42" sqref="A42:XFD42"/>
    </sheetView>
  </sheetViews>
  <sheetFormatPr defaultRowHeight="15" x14ac:dyDescent="0.25"/>
  <cols>
    <col min="2" max="2" width="3" bestFit="1" customWidth="1"/>
    <col min="3" max="3" width="10.85546875" customWidth="1"/>
    <col min="4" max="4" width="31.140625" bestFit="1" customWidth="1"/>
    <col min="5" max="5" width="31.28515625" bestFit="1" customWidth="1"/>
    <col min="6" max="6" width="15.5703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7.5703125" bestFit="1" customWidth="1"/>
    <col min="16" max="16" width="20.7109375" bestFit="1" customWidth="1"/>
    <col min="17" max="17" width="21.425781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190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32"/>
      <c r="D4" s="13" t="s">
        <v>2</v>
      </c>
      <c r="E4" s="13"/>
      <c r="F4" s="57" t="s">
        <v>183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43</v>
      </c>
      <c r="F9" s="30" t="s">
        <v>70</v>
      </c>
      <c r="G9" s="30" t="s">
        <v>87</v>
      </c>
      <c r="H9" s="30" t="s">
        <v>111</v>
      </c>
      <c r="I9" s="30" t="s">
        <v>162</v>
      </c>
      <c r="J9" s="30" t="s">
        <v>127</v>
      </c>
      <c r="K9" s="30" t="s">
        <v>163</v>
      </c>
      <c r="L9" s="30" t="s">
        <v>161</v>
      </c>
      <c r="M9" s="30" t="s">
        <v>231</v>
      </c>
      <c r="N9" s="30" t="s">
        <v>232</v>
      </c>
      <c r="O9" s="30" t="s">
        <v>166</v>
      </c>
      <c r="P9" s="30" t="s">
        <v>233</v>
      </c>
      <c r="Q9" s="30" t="s">
        <v>234</v>
      </c>
      <c r="R9" s="30" t="s">
        <v>169</v>
      </c>
      <c r="S9" s="30" t="s">
        <v>170</v>
      </c>
    </row>
    <row r="10" spans="1:19" s="75" customFormat="1" ht="36" x14ac:dyDescent="0.25">
      <c r="A10" s="73"/>
      <c r="B10" s="46">
        <f>ROW(B10) - ROW($B$9)</f>
        <v>1</v>
      </c>
      <c r="C10" s="53" t="s">
        <v>192</v>
      </c>
      <c r="D10" s="37" t="s">
        <v>193</v>
      </c>
      <c r="E10" s="37" t="s">
        <v>194</v>
      </c>
      <c r="F10" s="37" t="s">
        <v>171</v>
      </c>
      <c r="G10" s="37" t="s">
        <v>195</v>
      </c>
      <c r="H10" s="37" t="s">
        <v>196</v>
      </c>
      <c r="I10" s="37" t="s">
        <v>172</v>
      </c>
      <c r="J10" s="37" t="s">
        <v>172</v>
      </c>
      <c r="K10" s="37" t="s">
        <v>172</v>
      </c>
      <c r="L10" s="37">
        <v>1</v>
      </c>
      <c r="M10" s="37">
        <f>L10*500</f>
        <v>500</v>
      </c>
      <c r="N10" s="37">
        <v>501</v>
      </c>
      <c r="O10" s="61" t="s">
        <v>204</v>
      </c>
      <c r="P10" s="38">
        <v>0.94499999999999995</v>
      </c>
      <c r="Q10" s="38">
        <f>P10*N10</f>
        <v>473.44499999999999</v>
      </c>
      <c r="R10" s="63" t="s">
        <v>181</v>
      </c>
      <c r="S10" s="74"/>
    </row>
    <row r="11" spans="1:19" s="75" customFormat="1" x14ac:dyDescent="0.25">
      <c r="A11" s="73"/>
      <c r="B11" s="47">
        <f t="shared" ref="B11:B41" si="0">ROW(B11) - ROW($B$9)</f>
        <v>2</v>
      </c>
      <c r="C11" s="54" t="s">
        <v>9</v>
      </c>
      <c r="D11" s="51" t="s">
        <v>19</v>
      </c>
      <c r="E11" s="51" t="s">
        <v>197</v>
      </c>
      <c r="F11" s="51" t="s">
        <v>71</v>
      </c>
      <c r="G11" s="51" t="s">
        <v>198</v>
      </c>
      <c r="H11" s="51" t="s">
        <v>113</v>
      </c>
      <c r="I11" s="51" t="s">
        <v>172</v>
      </c>
      <c r="J11" s="51" t="s">
        <v>199</v>
      </c>
      <c r="K11" s="51" t="s">
        <v>200</v>
      </c>
      <c r="L11" s="51">
        <v>1</v>
      </c>
      <c r="M11" s="37">
        <f t="shared" ref="M11:M41" si="1">L11*500</f>
        <v>500</v>
      </c>
      <c r="N11" s="51">
        <v>600</v>
      </c>
      <c r="O11" s="60" t="s">
        <v>173</v>
      </c>
      <c r="P11" s="52">
        <v>4.0000000000000001E-3</v>
      </c>
      <c r="Q11" s="52">
        <f t="shared" ref="Q11" si="2">P11*N11</f>
        <v>2.4</v>
      </c>
      <c r="R11" s="51"/>
      <c r="S11" s="51"/>
    </row>
    <row r="12" spans="1:19" s="75" customFormat="1" x14ac:dyDescent="0.25">
      <c r="A12" s="73"/>
      <c r="B12" s="46">
        <f>ROW(B12) - ROW($B$9)</f>
        <v>3</v>
      </c>
      <c r="C12" s="54" t="s">
        <v>9</v>
      </c>
      <c r="D12" s="37" t="s">
        <v>20</v>
      </c>
      <c r="E12" s="37" t="s">
        <v>44</v>
      </c>
      <c r="F12" s="37" t="s">
        <v>72</v>
      </c>
      <c r="G12" s="62" t="s">
        <v>88</v>
      </c>
      <c r="H12" s="37" t="s">
        <v>112</v>
      </c>
      <c r="I12" s="37" t="s">
        <v>174</v>
      </c>
      <c r="J12" s="37" t="s">
        <v>175</v>
      </c>
      <c r="K12" s="37" t="s">
        <v>149</v>
      </c>
      <c r="L12" s="37">
        <v>1</v>
      </c>
      <c r="M12" s="37">
        <f t="shared" si="1"/>
        <v>500</v>
      </c>
      <c r="N12" s="37">
        <v>600</v>
      </c>
      <c r="O12" s="61" t="s">
        <v>173</v>
      </c>
      <c r="P12" s="38">
        <v>1.6000000000000001E-3</v>
      </c>
      <c r="Q12" s="38">
        <f>P12*N12</f>
        <v>0.96000000000000008</v>
      </c>
      <c r="R12" s="37"/>
      <c r="S12" s="59"/>
    </row>
    <row r="13" spans="1:19" s="75" customFormat="1" x14ac:dyDescent="0.25">
      <c r="A13" s="73"/>
      <c r="B13" s="47">
        <f t="shared" si="0"/>
        <v>4</v>
      </c>
      <c r="C13" s="54" t="s">
        <v>9</v>
      </c>
      <c r="D13" s="51" t="s">
        <v>191</v>
      </c>
      <c r="E13" s="51" t="s">
        <v>45</v>
      </c>
      <c r="F13" s="51" t="s">
        <v>71</v>
      </c>
      <c r="G13" s="62" t="s">
        <v>89</v>
      </c>
      <c r="H13" s="51" t="s">
        <v>113</v>
      </c>
      <c r="I13" s="51" t="s">
        <v>176</v>
      </c>
      <c r="J13" s="51" t="s">
        <v>177</v>
      </c>
      <c r="K13" s="51" t="s">
        <v>150</v>
      </c>
      <c r="L13" s="51">
        <v>6</v>
      </c>
      <c r="M13" s="37">
        <f t="shared" si="1"/>
        <v>3000</v>
      </c>
      <c r="N13" s="51">
        <v>3100</v>
      </c>
      <c r="O13" s="60" t="s">
        <v>173</v>
      </c>
      <c r="P13" s="52">
        <v>1.8E-3</v>
      </c>
      <c r="Q13" s="52">
        <f t="shared" ref="Q13" si="3">P13*N13</f>
        <v>5.58</v>
      </c>
      <c r="R13" s="51"/>
      <c r="S13" s="59"/>
    </row>
    <row r="14" spans="1:19" s="75" customFormat="1" x14ac:dyDescent="0.25">
      <c r="A14" s="73"/>
      <c r="B14" s="46">
        <f>ROW(B14) - ROW($B$9)</f>
        <v>5</v>
      </c>
      <c r="C14" s="53" t="s">
        <v>9</v>
      </c>
      <c r="D14" s="37" t="s">
        <v>21</v>
      </c>
      <c r="E14" s="37" t="s">
        <v>185</v>
      </c>
      <c r="F14" s="37" t="s">
        <v>186</v>
      </c>
      <c r="G14" s="37" t="s">
        <v>187</v>
      </c>
      <c r="H14" s="37" t="s">
        <v>188</v>
      </c>
      <c r="I14" s="37" t="s">
        <v>172</v>
      </c>
      <c r="J14" s="37" t="s">
        <v>189</v>
      </c>
      <c r="K14" s="37" t="s">
        <v>151</v>
      </c>
      <c r="L14" s="37">
        <v>1</v>
      </c>
      <c r="M14" s="37">
        <f t="shared" si="1"/>
        <v>500</v>
      </c>
      <c r="N14" s="37">
        <v>505</v>
      </c>
      <c r="O14" s="61" t="s">
        <v>173</v>
      </c>
      <c r="P14" s="38">
        <v>0.12709999999999999</v>
      </c>
      <c r="Q14" s="38">
        <f>P14*N14</f>
        <v>64.18549999999999</v>
      </c>
      <c r="R14" s="37"/>
      <c r="S14" s="59"/>
    </row>
    <row r="15" spans="1:19" s="75" customFormat="1" x14ac:dyDescent="0.25">
      <c r="A15" s="73"/>
      <c r="B15" s="47">
        <f t="shared" si="0"/>
        <v>6</v>
      </c>
      <c r="C15" s="53" t="s">
        <v>9</v>
      </c>
      <c r="D15" s="51" t="s">
        <v>22</v>
      </c>
      <c r="E15" s="51" t="s">
        <v>46</v>
      </c>
      <c r="F15" s="51" t="s">
        <v>71</v>
      </c>
      <c r="G15" s="51" t="s">
        <v>90</v>
      </c>
      <c r="H15" s="51" t="s">
        <v>113</v>
      </c>
      <c r="I15" s="51" t="s">
        <v>172</v>
      </c>
      <c r="J15" s="51" t="s">
        <v>128</v>
      </c>
      <c r="K15" s="51" t="s">
        <v>152</v>
      </c>
      <c r="L15" s="51">
        <v>1</v>
      </c>
      <c r="M15" s="37">
        <f t="shared" si="1"/>
        <v>500</v>
      </c>
      <c r="N15" s="51">
        <v>600</v>
      </c>
      <c r="O15" s="60" t="s">
        <v>173</v>
      </c>
      <c r="P15" s="52">
        <v>5.1999999999999998E-3</v>
      </c>
      <c r="Q15" s="52">
        <f t="shared" ref="Q15" si="4">P15*N15</f>
        <v>3.1199999999999997</v>
      </c>
      <c r="R15" s="51"/>
      <c r="S15" s="59"/>
    </row>
    <row r="16" spans="1:19" s="75" customFormat="1" x14ac:dyDescent="0.25">
      <c r="A16" s="73"/>
      <c r="B16" s="46">
        <f>ROW(B16) - ROW($B$9)</f>
        <v>7</v>
      </c>
      <c r="C16" s="53" t="s">
        <v>9</v>
      </c>
      <c r="D16" s="37" t="s">
        <v>23</v>
      </c>
      <c r="E16" s="37" t="s">
        <v>47</v>
      </c>
      <c r="F16" s="37" t="s">
        <v>72</v>
      </c>
      <c r="G16" s="37" t="s">
        <v>91</v>
      </c>
      <c r="H16" s="37" t="s">
        <v>113</v>
      </c>
      <c r="I16" s="37" t="s">
        <v>172</v>
      </c>
      <c r="J16" s="37" t="s">
        <v>129</v>
      </c>
      <c r="K16" s="37" t="s">
        <v>153</v>
      </c>
      <c r="L16" s="37">
        <v>3</v>
      </c>
      <c r="M16" s="37">
        <f t="shared" si="1"/>
        <v>1500</v>
      </c>
      <c r="N16" s="37">
        <v>1600</v>
      </c>
      <c r="O16" s="61" t="s">
        <v>173</v>
      </c>
      <c r="P16" s="38">
        <v>8.0000000000000004E-4</v>
      </c>
      <c r="Q16" s="38">
        <f>P16*N16</f>
        <v>1.28</v>
      </c>
      <c r="R16" s="37"/>
      <c r="S16" s="59"/>
    </row>
    <row r="17" spans="1:19" s="75" customFormat="1" x14ac:dyDescent="0.25">
      <c r="A17" s="73"/>
      <c r="B17" s="47">
        <f t="shared" si="0"/>
        <v>8</v>
      </c>
      <c r="C17" s="54" t="s">
        <v>9</v>
      </c>
      <c r="D17" s="51" t="s">
        <v>24</v>
      </c>
      <c r="E17" s="51" t="s">
        <v>48</v>
      </c>
      <c r="F17" s="51" t="s">
        <v>73</v>
      </c>
      <c r="G17" s="51" t="s">
        <v>92</v>
      </c>
      <c r="H17" s="51" t="s">
        <v>114</v>
      </c>
      <c r="I17" s="51" t="s">
        <v>172</v>
      </c>
      <c r="J17" s="51" t="s">
        <v>130</v>
      </c>
      <c r="K17" s="51" t="s">
        <v>154</v>
      </c>
      <c r="L17" s="51">
        <v>2</v>
      </c>
      <c r="M17" s="37">
        <f t="shared" si="1"/>
        <v>1000</v>
      </c>
      <c r="N17" s="51">
        <v>1050</v>
      </c>
      <c r="O17" s="61" t="s">
        <v>173</v>
      </c>
      <c r="P17" s="52">
        <v>1.12E-2</v>
      </c>
      <c r="Q17" s="52">
        <f t="shared" ref="Q17" si="5">P17*N17</f>
        <v>11.76</v>
      </c>
      <c r="R17" s="51"/>
      <c r="S17" s="59"/>
    </row>
    <row r="18" spans="1:19" s="75" customFormat="1" ht="24" x14ac:dyDescent="0.25">
      <c r="A18" s="73"/>
      <c r="B18" s="46">
        <f>ROW(B18) - ROW($B$9)</f>
        <v>9</v>
      </c>
      <c r="C18" s="53" t="s">
        <v>10</v>
      </c>
      <c r="D18" s="37" t="s">
        <v>25</v>
      </c>
      <c r="E18" s="37" t="s">
        <v>49</v>
      </c>
      <c r="F18" s="37" t="s">
        <v>74</v>
      </c>
      <c r="G18" s="62" t="s">
        <v>93</v>
      </c>
      <c r="H18" s="37" t="s">
        <v>115</v>
      </c>
      <c r="I18" s="37" t="s">
        <v>178</v>
      </c>
      <c r="J18" s="37" t="s">
        <v>179</v>
      </c>
      <c r="K18" s="37" t="s">
        <v>172</v>
      </c>
      <c r="L18" s="37">
        <v>1</v>
      </c>
      <c r="M18" s="37">
        <f t="shared" si="1"/>
        <v>500</v>
      </c>
      <c r="N18" s="37">
        <v>510</v>
      </c>
      <c r="O18" s="61" t="s">
        <v>173</v>
      </c>
      <c r="P18" s="38">
        <v>6.5199999999999994E-2</v>
      </c>
      <c r="Q18" s="38">
        <f>P18*N18</f>
        <v>33.251999999999995</v>
      </c>
      <c r="R18" s="37"/>
      <c r="S18" s="59"/>
    </row>
    <row r="19" spans="1:19" s="75" customFormat="1" ht="24" x14ac:dyDescent="0.25">
      <c r="A19" s="73"/>
      <c r="B19" s="47">
        <f t="shared" si="0"/>
        <v>10</v>
      </c>
      <c r="C19" s="54" t="s">
        <v>10</v>
      </c>
      <c r="D19" s="51" t="s">
        <v>26</v>
      </c>
      <c r="E19" s="51" t="s">
        <v>50</v>
      </c>
      <c r="F19" s="51" t="s">
        <v>75</v>
      </c>
      <c r="G19" s="51" t="s">
        <v>94</v>
      </c>
      <c r="H19" s="51" t="s">
        <v>116</v>
      </c>
      <c r="I19" s="51" t="s">
        <v>172</v>
      </c>
      <c r="J19" s="51" t="s">
        <v>131</v>
      </c>
      <c r="K19" s="51" t="s">
        <v>172</v>
      </c>
      <c r="L19" s="51">
        <v>2</v>
      </c>
      <c r="M19" s="37">
        <f t="shared" si="1"/>
        <v>1000</v>
      </c>
      <c r="N19" s="51">
        <v>1020</v>
      </c>
      <c r="O19" s="61" t="s">
        <v>173</v>
      </c>
      <c r="P19" s="52">
        <v>2.1299999999999999E-2</v>
      </c>
      <c r="Q19" s="52">
        <f t="shared" ref="Q19" si="6">P19*N19</f>
        <v>21.725999999999999</v>
      </c>
      <c r="R19" s="51"/>
      <c r="S19" s="59"/>
    </row>
    <row r="20" spans="1:19" s="75" customFormat="1" x14ac:dyDescent="0.25">
      <c r="A20" s="73"/>
      <c r="B20" s="46">
        <f>ROW(B20) - ROW($B$9)</f>
        <v>11</v>
      </c>
      <c r="C20" s="53" t="s">
        <v>10</v>
      </c>
      <c r="D20" s="37" t="s">
        <v>27</v>
      </c>
      <c r="E20" s="37" t="s">
        <v>51</v>
      </c>
      <c r="F20" s="37" t="s">
        <v>76</v>
      </c>
      <c r="G20" s="37" t="s">
        <v>95</v>
      </c>
      <c r="H20" s="37" t="s">
        <v>117</v>
      </c>
      <c r="I20" s="37" t="s">
        <v>172</v>
      </c>
      <c r="J20" s="37" t="s">
        <v>132</v>
      </c>
      <c r="K20" s="37" t="s">
        <v>172</v>
      </c>
      <c r="L20" s="37">
        <v>1</v>
      </c>
      <c r="M20" s="37">
        <f t="shared" si="1"/>
        <v>500</v>
      </c>
      <c r="N20" s="37">
        <v>510</v>
      </c>
      <c r="O20" s="61" t="s">
        <v>173</v>
      </c>
      <c r="P20" s="38">
        <v>3.8699999999999998E-2</v>
      </c>
      <c r="Q20" s="38">
        <f>P20*N20</f>
        <v>19.736999999999998</v>
      </c>
      <c r="R20" s="37"/>
      <c r="S20" s="59"/>
    </row>
    <row r="21" spans="1:19" s="75" customFormat="1" ht="24" x14ac:dyDescent="0.25">
      <c r="A21" s="73"/>
      <c r="B21" s="47">
        <f t="shared" si="0"/>
        <v>12</v>
      </c>
      <c r="C21" s="54" t="s">
        <v>10</v>
      </c>
      <c r="D21" s="51" t="s">
        <v>28</v>
      </c>
      <c r="E21" s="51" t="s">
        <v>52</v>
      </c>
      <c r="F21" s="51" t="s">
        <v>77</v>
      </c>
      <c r="G21" s="51" t="s">
        <v>96</v>
      </c>
      <c r="H21" s="51" t="s">
        <v>118</v>
      </c>
      <c r="I21" s="51" t="s">
        <v>172</v>
      </c>
      <c r="J21" s="51" t="s">
        <v>133</v>
      </c>
      <c r="K21" s="51" t="s">
        <v>172</v>
      </c>
      <c r="L21" s="51">
        <v>1</v>
      </c>
      <c r="M21" s="37">
        <f t="shared" si="1"/>
        <v>500</v>
      </c>
      <c r="N21" s="51">
        <v>510</v>
      </c>
      <c r="O21" s="61" t="s">
        <v>173</v>
      </c>
      <c r="P21" s="52">
        <v>5.9799999999999999E-2</v>
      </c>
      <c r="Q21" s="52">
        <f t="shared" ref="Q21" si="7">P21*N21</f>
        <v>30.498000000000001</v>
      </c>
      <c r="R21" s="51"/>
      <c r="S21" s="59"/>
    </row>
    <row r="22" spans="1:19" s="75" customFormat="1" ht="24" x14ac:dyDescent="0.25">
      <c r="A22" s="73"/>
      <c r="B22" s="46">
        <f>ROW(B22) - ROW($B$9)</f>
        <v>13</v>
      </c>
      <c r="C22" s="53" t="s">
        <v>11</v>
      </c>
      <c r="D22" s="37" t="s">
        <v>29</v>
      </c>
      <c r="E22" s="37" t="s">
        <v>53</v>
      </c>
      <c r="F22" s="37" t="s">
        <v>78</v>
      </c>
      <c r="G22" s="37" t="s">
        <v>97</v>
      </c>
      <c r="H22" s="37" t="s">
        <v>119</v>
      </c>
      <c r="I22" s="37" t="s">
        <v>172</v>
      </c>
      <c r="J22" s="37" t="s">
        <v>134</v>
      </c>
      <c r="K22" s="37" t="s">
        <v>172</v>
      </c>
      <c r="L22" s="37">
        <v>1</v>
      </c>
      <c r="M22" s="37">
        <f t="shared" si="1"/>
        <v>500</v>
      </c>
      <c r="N22" s="37">
        <v>510</v>
      </c>
      <c r="O22" s="61" t="s">
        <v>173</v>
      </c>
      <c r="P22" s="38">
        <v>3.39E-2</v>
      </c>
      <c r="Q22" s="38">
        <f>P22*N22</f>
        <v>17.289000000000001</v>
      </c>
      <c r="R22" s="37"/>
      <c r="S22" s="59"/>
    </row>
    <row r="23" spans="1:19" s="75" customFormat="1" ht="36" x14ac:dyDescent="0.25">
      <c r="A23" s="73"/>
      <c r="B23" s="47">
        <f t="shared" si="0"/>
        <v>14</v>
      </c>
      <c r="C23" s="54" t="s">
        <v>215</v>
      </c>
      <c r="D23" s="51" t="s">
        <v>30</v>
      </c>
      <c r="E23" s="51" t="s">
        <v>216</v>
      </c>
      <c r="F23" s="51" t="s">
        <v>171</v>
      </c>
      <c r="G23" s="51" t="s">
        <v>217</v>
      </c>
      <c r="H23" s="51" t="s">
        <v>184</v>
      </c>
      <c r="I23" s="51" t="s">
        <v>172</v>
      </c>
      <c r="J23" s="51" t="s">
        <v>218</v>
      </c>
      <c r="K23" s="51" t="s">
        <v>172</v>
      </c>
      <c r="L23" s="51">
        <v>1</v>
      </c>
      <c r="M23" s="37">
        <f t="shared" si="1"/>
        <v>500</v>
      </c>
      <c r="N23" s="37">
        <v>501</v>
      </c>
      <c r="O23" s="60" t="s">
        <v>173</v>
      </c>
      <c r="P23" s="52">
        <v>0.47410000000000002</v>
      </c>
      <c r="Q23" s="52">
        <f t="shared" ref="Q23" si="8">P23*N23</f>
        <v>237.5241</v>
      </c>
      <c r="R23" s="51"/>
      <c r="S23" s="59"/>
    </row>
    <row r="24" spans="1:19" s="75" customFormat="1" ht="25.5" x14ac:dyDescent="0.25">
      <c r="A24" s="73"/>
      <c r="B24" s="46">
        <f>ROW(B24) - ROW($B$9)</f>
        <v>15</v>
      </c>
      <c r="C24" s="53" t="s">
        <v>180</v>
      </c>
      <c r="D24" s="62" t="s">
        <v>31</v>
      </c>
      <c r="E24" s="62" t="s">
        <v>54</v>
      </c>
      <c r="F24" s="62" t="s">
        <v>171</v>
      </c>
      <c r="G24" s="62" t="s">
        <v>172</v>
      </c>
      <c r="H24" s="62" t="s">
        <v>172</v>
      </c>
      <c r="I24" s="62" t="s">
        <v>172</v>
      </c>
      <c r="J24" s="62" t="s">
        <v>172</v>
      </c>
      <c r="K24" s="62" t="s">
        <v>172</v>
      </c>
      <c r="L24" s="62">
        <v>1</v>
      </c>
      <c r="M24" s="37">
        <f t="shared" si="1"/>
        <v>500</v>
      </c>
      <c r="N24" s="62" t="s">
        <v>172</v>
      </c>
      <c r="O24" s="62" t="s">
        <v>172</v>
      </c>
      <c r="P24" s="62" t="s">
        <v>172</v>
      </c>
      <c r="Q24" s="62" t="s">
        <v>172</v>
      </c>
      <c r="R24" s="62"/>
      <c r="S24" s="59"/>
    </row>
    <row r="25" spans="1:19" s="75" customFormat="1" ht="25.5" x14ac:dyDescent="0.25">
      <c r="A25" s="73"/>
      <c r="B25" s="47">
        <f t="shared" si="0"/>
        <v>16</v>
      </c>
      <c r="C25" s="54" t="s">
        <v>12</v>
      </c>
      <c r="D25" s="64" t="s">
        <v>32</v>
      </c>
      <c r="E25" s="64" t="s">
        <v>55</v>
      </c>
      <c r="F25" s="64" t="s">
        <v>171</v>
      </c>
      <c r="G25" s="64" t="s">
        <v>98</v>
      </c>
      <c r="H25" s="62" t="s">
        <v>172</v>
      </c>
      <c r="I25" s="62" t="s">
        <v>172</v>
      </c>
      <c r="J25" s="62" t="s">
        <v>172</v>
      </c>
      <c r="K25" s="62" t="s">
        <v>172</v>
      </c>
      <c r="L25" s="64">
        <v>1</v>
      </c>
      <c r="M25" s="37">
        <f t="shared" si="1"/>
        <v>500</v>
      </c>
      <c r="N25" s="62" t="s">
        <v>172</v>
      </c>
      <c r="O25" s="62" t="s">
        <v>172</v>
      </c>
      <c r="P25" s="62" t="s">
        <v>172</v>
      </c>
      <c r="Q25" s="62" t="s">
        <v>172</v>
      </c>
      <c r="R25" s="51"/>
      <c r="S25" s="59"/>
    </row>
    <row r="26" spans="1:19" s="75" customFormat="1" ht="48" x14ac:dyDescent="0.25">
      <c r="A26" s="73"/>
      <c r="B26" s="46">
        <f>ROW(B26) - ROW($B$9)</f>
        <v>17</v>
      </c>
      <c r="C26" s="53" t="s">
        <v>13</v>
      </c>
      <c r="D26" s="37" t="s">
        <v>201</v>
      </c>
      <c r="E26" s="37" t="s">
        <v>56</v>
      </c>
      <c r="F26" s="37" t="s">
        <v>171</v>
      </c>
      <c r="G26" s="37" t="s">
        <v>79</v>
      </c>
      <c r="H26" s="37" t="s">
        <v>120</v>
      </c>
      <c r="I26" s="37" t="s">
        <v>172</v>
      </c>
      <c r="J26" s="37" t="s">
        <v>135</v>
      </c>
      <c r="K26" s="37" t="s">
        <v>172</v>
      </c>
      <c r="L26" s="37">
        <v>2</v>
      </c>
      <c r="M26" s="37">
        <f t="shared" si="1"/>
        <v>1000</v>
      </c>
      <c r="N26" s="37">
        <v>1001</v>
      </c>
      <c r="O26" s="61" t="s">
        <v>173</v>
      </c>
      <c r="P26" s="38">
        <v>0.20610000000000001</v>
      </c>
      <c r="Q26" s="38">
        <f>P26*N26</f>
        <v>206.30610000000001</v>
      </c>
      <c r="R26" s="37"/>
      <c r="S26" s="59"/>
    </row>
    <row r="27" spans="1:19" s="75" customFormat="1" ht="24" x14ac:dyDescent="0.25">
      <c r="A27" s="73"/>
      <c r="B27" s="46">
        <f>ROW(B27) - ROW($B$9)</f>
        <v>18</v>
      </c>
      <c r="C27" s="53" t="s">
        <v>14</v>
      </c>
      <c r="D27" s="37" t="s">
        <v>33</v>
      </c>
      <c r="E27" s="37" t="s">
        <v>57</v>
      </c>
      <c r="F27" s="37" t="s">
        <v>80</v>
      </c>
      <c r="G27" s="37" t="s">
        <v>99</v>
      </c>
      <c r="H27" s="37" t="s">
        <v>121</v>
      </c>
      <c r="I27" s="37" t="s">
        <v>172</v>
      </c>
      <c r="J27" s="37" t="s">
        <v>136</v>
      </c>
      <c r="K27" s="37" t="s">
        <v>172</v>
      </c>
      <c r="L27" s="37">
        <v>1</v>
      </c>
      <c r="M27" s="37">
        <f t="shared" si="1"/>
        <v>500</v>
      </c>
      <c r="N27" s="37">
        <v>520</v>
      </c>
      <c r="O27" s="61" t="s">
        <v>173</v>
      </c>
      <c r="P27" s="38">
        <v>2.5100000000000001E-2</v>
      </c>
      <c r="Q27" s="38">
        <f>P27*N27</f>
        <v>13.052</v>
      </c>
      <c r="R27" s="37"/>
      <c r="S27" s="59"/>
    </row>
    <row r="28" spans="1:19" s="75" customFormat="1" ht="24" x14ac:dyDescent="0.25">
      <c r="A28" s="73"/>
      <c r="B28" s="47">
        <f t="shared" si="0"/>
        <v>19</v>
      </c>
      <c r="C28" s="54" t="s">
        <v>14</v>
      </c>
      <c r="D28" s="51" t="s">
        <v>34</v>
      </c>
      <c r="E28" s="51" t="s">
        <v>58</v>
      </c>
      <c r="F28" s="51" t="s">
        <v>80</v>
      </c>
      <c r="G28" s="51" t="s">
        <v>100</v>
      </c>
      <c r="H28" s="51" t="s">
        <v>121</v>
      </c>
      <c r="I28" s="51" t="s">
        <v>172</v>
      </c>
      <c r="J28" s="51" t="s">
        <v>137</v>
      </c>
      <c r="K28" s="51" t="s">
        <v>172</v>
      </c>
      <c r="L28" s="51">
        <v>1</v>
      </c>
      <c r="M28" s="37">
        <f t="shared" si="1"/>
        <v>500</v>
      </c>
      <c r="N28" s="51">
        <v>510</v>
      </c>
      <c r="O28" s="61" t="s">
        <v>173</v>
      </c>
      <c r="P28" s="52">
        <v>3.8100000000000002E-2</v>
      </c>
      <c r="Q28" s="52">
        <f t="shared" ref="Q28" si="9">P28*N28</f>
        <v>19.431000000000001</v>
      </c>
      <c r="R28" s="51"/>
      <c r="S28" s="59"/>
    </row>
    <row r="29" spans="1:19" s="75" customFormat="1" ht="48" x14ac:dyDescent="0.25">
      <c r="A29" s="73"/>
      <c r="B29" s="46">
        <f>ROW(B29) - ROW($B$9)</f>
        <v>20</v>
      </c>
      <c r="C29" s="53" t="s">
        <v>203</v>
      </c>
      <c r="D29" s="37" t="s">
        <v>35</v>
      </c>
      <c r="E29" s="37" t="s">
        <v>59</v>
      </c>
      <c r="F29" s="37" t="s">
        <v>81</v>
      </c>
      <c r="G29" s="37" t="s">
        <v>101</v>
      </c>
      <c r="H29" s="37" t="s">
        <v>122</v>
      </c>
      <c r="I29" s="37" t="s">
        <v>172</v>
      </c>
      <c r="J29" s="37" t="s">
        <v>138</v>
      </c>
      <c r="K29" s="37" t="s">
        <v>172</v>
      </c>
      <c r="L29" s="37">
        <v>4</v>
      </c>
      <c r="M29" s="37">
        <f t="shared" si="1"/>
        <v>2000</v>
      </c>
      <c r="N29" s="37">
        <v>2020</v>
      </c>
      <c r="O29" s="61" t="s">
        <v>173</v>
      </c>
      <c r="P29" s="38">
        <v>1.9E-2</v>
      </c>
      <c r="Q29" s="38">
        <f>P29*N29</f>
        <v>38.380000000000003</v>
      </c>
      <c r="R29" s="37"/>
      <c r="S29" s="59"/>
    </row>
    <row r="30" spans="1:19" s="75" customFormat="1" x14ac:dyDescent="0.25">
      <c r="A30" s="73"/>
      <c r="B30" s="46">
        <f>ROW(B30) - ROW($B$9)</f>
        <v>21</v>
      </c>
      <c r="C30" s="53" t="s">
        <v>15</v>
      </c>
      <c r="D30" s="37" t="s">
        <v>205</v>
      </c>
      <c r="E30" s="37" t="s">
        <v>65</v>
      </c>
      <c r="F30" s="37" t="s">
        <v>82</v>
      </c>
      <c r="G30" s="37" t="s">
        <v>107</v>
      </c>
      <c r="H30" s="37" t="s">
        <v>113</v>
      </c>
      <c r="I30" s="37" t="s">
        <v>172</v>
      </c>
      <c r="J30" s="37" t="s">
        <v>144</v>
      </c>
      <c r="K30" s="37" t="s">
        <v>160</v>
      </c>
      <c r="L30" s="37">
        <v>3</v>
      </c>
      <c r="M30" s="37">
        <f t="shared" si="1"/>
        <v>1500</v>
      </c>
      <c r="N30" s="37">
        <v>1600</v>
      </c>
      <c r="O30" s="61" t="s">
        <v>173</v>
      </c>
      <c r="P30" s="38">
        <v>1.5E-3</v>
      </c>
      <c r="Q30" s="38">
        <f>P30*N30</f>
        <v>2.4</v>
      </c>
      <c r="R30" s="37"/>
      <c r="S30" s="59"/>
    </row>
    <row r="31" spans="1:19" s="75" customFormat="1" x14ac:dyDescent="0.25">
      <c r="A31" s="73"/>
      <c r="B31" s="46">
        <f>ROW(B31) - ROW($B$9)</f>
        <v>22</v>
      </c>
      <c r="C31" s="53" t="s">
        <v>15</v>
      </c>
      <c r="D31" s="37" t="s">
        <v>36</v>
      </c>
      <c r="E31" s="37" t="s">
        <v>61</v>
      </c>
      <c r="F31" s="37" t="s">
        <v>82</v>
      </c>
      <c r="G31" s="37" t="s">
        <v>103</v>
      </c>
      <c r="H31" s="37" t="s">
        <v>113</v>
      </c>
      <c r="I31" s="37" t="s">
        <v>172</v>
      </c>
      <c r="J31" s="37" t="s">
        <v>140</v>
      </c>
      <c r="K31" s="37" t="s">
        <v>156</v>
      </c>
      <c r="L31" s="37">
        <v>2</v>
      </c>
      <c r="M31" s="37">
        <f t="shared" si="1"/>
        <v>1000</v>
      </c>
      <c r="N31" s="37">
        <v>1100</v>
      </c>
      <c r="O31" s="61" t="s">
        <v>173</v>
      </c>
      <c r="P31" s="38">
        <v>1E-3</v>
      </c>
      <c r="Q31" s="38">
        <f>P31*N31</f>
        <v>1.1000000000000001</v>
      </c>
      <c r="R31" s="37"/>
      <c r="S31" s="59"/>
    </row>
    <row r="32" spans="1:19" s="75" customFormat="1" x14ac:dyDescent="0.25">
      <c r="A32" s="73"/>
      <c r="B32" s="47">
        <f t="shared" si="0"/>
        <v>23</v>
      </c>
      <c r="C32" s="54" t="s">
        <v>15</v>
      </c>
      <c r="D32" s="37" t="s">
        <v>206</v>
      </c>
      <c r="E32" s="51" t="s">
        <v>60</v>
      </c>
      <c r="F32" s="51" t="s">
        <v>82</v>
      </c>
      <c r="G32" s="51" t="s">
        <v>102</v>
      </c>
      <c r="H32" s="51" t="s">
        <v>113</v>
      </c>
      <c r="I32" s="51" t="s">
        <v>172</v>
      </c>
      <c r="J32" s="51" t="s">
        <v>139</v>
      </c>
      <c r="K32" s="51" t="s">
        <v>155</v>
      </c>
      <c r="L32" s="51">
        <v>2</v>
      </c>
      <c r="M32" s="37">
        <f t="shared" si="1"/>
        <v>1000</v>
      </c>
      <c r="N32" s="51">
        <v>1100</v>
      </c>
      <c r="O32" s="61" t="s">
        <v>173</v>
      </c>
      <c r="P32" s="52">
        <v>1E-3</v>
      </c>
      <c r="Q32" s="52">
        <f t="shared" ref="Q32:Q33" si="10">P32*N32</f>
        <v>1.1000000000000001</v>
      </c>
      <c r="R32" s="51"/>
      <c r="S32" s="59"/>
    </row>
    <row r="33" spans="1:19" s="75" customFormat="1" x14ac:dyDescent="0.25">
      <c r="A33" s="73"/>
      <c r="B33" s="47">
        <f t="shared" si="0"/>
        <v>24</v>
      </c>
      <c r="C33" s="54" t="s">
        <v>15</v>
      </c>
      <c r="D33" s="51" t="s">
        <v>37</v>
      </c>
      <c r="E33" s="51" t="s">
        <v>62</v>
      </c>
      <c r="F33" s="51" t="s">
        <v>82</v>
      </c>
      <c r="G33" s="51" t="s">
        <v>104</v>
      </c>
      <c r="H33" s="51" t="s">
        <v>113</v>
      </c>
      <c r="I33" s="51" t="s">
        <v>172</v>
      </c>
      <c r="J33" s="51" t="s">
        <v>141</v>
      </c>
      <c r="K33" s="51" t="s">
        <v>157</v>
      </c>
      <c r="L33" s="51">
        <v>2</v>
      </c>
      <c r="M33" s="37">
        <f t="shared" si="1"/>
        <v>1000</v>
      </c>
      <c r="N33" s="51">
        <v>1100</v>
      </c>
      <c r="O33" s="61" t="s">
        <v>173</v>
      </c>
      <c r="P33" s="52">
        <v>1E-3</v>
      </c>
      <c r="Q33" s="52">
        <f t="shared" si="10"/>
        <v>1.1000000000000001</v>
      </c>
      <c r="R33" s="51"/>
      <c r="S33" s="59"/>
    </row>
    <row r="34" spans="1:19" s="75" customFormat="1" x14ac:dyDescent="0.25">
      <c r="A34" s="73"/>
      <c r="B34" s="46">
        <f>ROW(B34) - ROW($B$9)</f>
        <v>25</v>
      </c>
      <c r="C34" s="53" t="s">
        <v>15</v>
      </c>
      <c r="D34" s="37" t="s">
        <v>38</v>
      </c>
      <c r="E34" s="37" t="s">
        <v>63</v>
      </c>
      <c r="F34" s="37" t="s">
        <v>82</v>
      </c>
      <c r="G34" s="37" t="s">
        <v>105</v>
      </c>
      <c r="H34" s="37" t="s">
        <v>113</v>
      </c>
      <c r="I34" s="37" t="s">
        <v>172</v>
      </c>
      <c r="J34" s="37" t="s">
        <v>142</v>
      </c>
      <c r="K34" s="37" t="s">
        <v>158</v>
      </c>
      <c r="L34" s="37">
        <v>4</v>
      </c>
      <c r="M34" s="37">
        <f t="shared" si="1"/>
        <v>2000</v>
      </c>
      <c r="N34" s="37">
        <v>2100</v>
      </c>
      <c r="O34" s="61" t="s">
        <v>173</v>
      </c>
      <c r="P34" s="38">
        <v>8.9999999999999998E-4</v>
      </c>
      <c r="Q34" s="38">
        <f>P34*N34</f>
        <v>1.89</v>
      </c>
      <c r="R34" s="37"/>
      <c r="S34" s="59"/>
    </row>
    <row r="35" spans="1:19" s="75" customFormat="1" x14ac:dyDescent="0.25">
      <c r="A35" s="73"/>
      <c r="B35" s="47">
        <f t="shared" si="0"/>
        <v>26</v>
      </c>
      <c r="C35" s="53" t="s">
        <v>15</v>
      </c>
      <c r="D35" s="51" t="s">
        <v>39</v>
      </c>
      <c r="E35" s="51" t="s">
        <v>64</v>
      </c>
      <c r="F35" s="51" t="s">
        <v>82</v>
      </c>
      <c r="G35" s="51" t="s">
        <v>106</v>
      </c>
      <c r="H35" s="51" t="s">
        <v>113</v>
      </c>
      <c r="I35" s="51" t="s">
        <v>172</v>
      </c>
      <c r="J35" s="51" t="s">
        <v>143</v>
      </c>
      <c r="K35" s="51" t="s">
        <v>159</v>
      </c>
      <c r="L35" s="51">
        <v>4</v>
      </c>
      <c r="M35" s="37">
        <f t="shared" si="1"/>
        <v>2000</v>
      </c>
      <c r="N35" s="51">
        <v>2100</v>
      </c>
      <c r="O35" s="61" t="s">
        <v>173</v>
      </c>
      <c r="P35" s="52">
        <v>8.0000000000000004E-4</v>
      </c>
      <c r="Q35" s="52">
        <f t="shared" ref="Q35:Q36" si="11">P35*N35</f>
        <v>1.6800000000000002</v>
      </c>
      <c r="R35" s="51"/>
      <c r="S35" s="59"/>
    </row>
    <row r="36" spans="1:19" s="75" customFormat="1" ht="30" x14ac:dyDescent="0.25">
      <c r="A36" s="73"/>
      <c r="B36" s="47">
        <f t="shared" si="0"/>
        <v>27</v>
      </c>
      <c r="C36" s="54" t="s">
        <v>16</v>
      </c>
      <c r="D36" s="51" t="s">
        <v>40</v>
      </c>
      <c r="E36" s="51" t="s">
        <v>66</v>
      </c>
      <c r="F36" s="51" t="s">
        <v>171</v>
      </c>
      <c r="G36" s="51" t="s">
        <v>83</v>
      </c>
      <c r="H36" s="51" t="s">
        <v>123</v>
      </c>
      <c r="I36" s="51" t="s">
        <v>172</v>
      </c>
      <c r="J36" s="51" t="s">
        <v>145</v>
      </c>
      <c r="K36" s="51" t="s">
        <v>172</v>
      </c>
      <c r="L36" s="51">
        <v>1</v>
      </c>
      <c r="M36" s="37">
        <f t="shared" si="1"/>
        <v>500</v>
      </c>
      <c r="N36" s="51">
        <v>501</v>
      </c>
      <c r="O36" s="61" t="s">
        <v>239</v>
      </c>
      <c r="P36" s="52">
        <v>34.012979999999999</v>
      </c>
      <c r="Q36" s="52">
        <f t="shared" si="11"/>
        <v>17040.502980000001</v>
      </c>
      <c r="R36" s="51"/>
      <c r="S36" s="59"/>
    </row>
    <row r="37" spans="1:19" s="75" customFormat="1" ht="36" x14ac:dyDescent="0.25">
      <c r="A37" s="73"/>
      <c r="B37" s="46">
        <f>ROW(B37) - ROW($B$9)</f>
        <v>28</v>
      </c>
      <c r="C37" s="53" t="s">
        <v>16</v>
      </c>
      <c r="D37" s="37" t="s">
        <v>41</v>
      </c>
      <c r="E37" s="37" t="s">
        <v>67</v>
      </c>
      <c r="F37" s="37" t="s">
        <v>84</v>
      </c>
      <c r="G37" s="37" t="s">
        <v>108</v>
      </c>
      <c r="H37" s="37" t="s">
        <v>124</v>
      </c>
      <c r="I37" s="37" t="s">
        <v>172</v>
      </c>
      <c r="J37" s="37" t="s">
        <v>146</v>
      </c>
      <c r="K37" s="37" t="s">
        <v>172</v>
      </c>
      <c r="L37" s="37">
        <v>1</v>
      </c>
      <c r="M37" s="37">
        <f t="shared" si="1"/>
        <v>500</v>
      </c>
      <c r="N37" s="37">
        <v>501</v>
      </c>
      <c r="O37" s="61" t="s">
        <v>173</v>
      </c>
      <c r="P37" s="38">
        <v>0.37809999999999999</v>
      </c>
      <c r="Q37" s="38">
        <f>P37*N37</f>
        <v>189.4281</v>
      </c>
      <c r="R37" s="37"/>
      <c r="S37" s="59"/>
    </row>
    <row r="38" spans="1:19" s="75" customFormat="1" ht="24" x14ac:dyDescent="0.25">
      <c r="A38" s="73"/>
      <c r="B38" s="46">
        <f>ROW(B38) - ROW($B$9)</f>
        <v>29</v>
      </c>
      <c r="C38" s="53" t="s">
        <v>17</v>
      </c>
      <c r="D38" s="37" t="s">
        <v>202</v>
      </c>
      <c r="E38" s="37" t="s">
        <v>68</v>
      </c>
      <c r="F38" s="37" t="s">
        <v>85</v>
      </c>
      <c r="G38" s="37" t="s">
        <v>109</v>
      </c>
      <c r="H38" s="37" t="s">
        <v>125</v>
      </c>
      <c r="I38" s="37" t="s">
        <v>172</v>
      </c>
      <c r="J38" s="37" t="s">
        <v>147</v>
      </c>
      <c r="K38" s="37" t="s">
        <v>172</v>
      </c>
      <c r="L38" s="37">
        <v>2</v>
      </c>
      <c r="M38" s="37">
        <f t="shared" si="1"/>
        <v>1000</v>
      </c>
      <c r="N38" s="37">
        <v>1020</v>
      </c>
      <c r="O38" s="61" t="s">
        <v>173</v>
      </c>
      <c r="P38" s="38">
        <v>3.7100000000000001E-2</v>
      </c>
      <c r="Q38" s="38">
        <f>P38*N38</f>
        <v>37.841999999999999</v>
      </c>
      <c r="R38" s="37"/>
      <c r="S38" s="59"/>
    </row>
    <row r="39" spans="1:19" s="75" customFormat="1" ht="24.75" thickBot="1" x14ac:dyDescent="0.3">
      <c r="A39" s="73"/>
      <c r="B39" s="47">
        <f t="shared" si="0"/>
        <v>30</v>
      </c>
      <c r="C39" s="54" t="s">
        <v>16</v>
      </c>
      <c r="D39" s="51" t="s">
        <v>42</v>
      </c>
      <c r="E39" s="51" t="s">
        <v>69</v>
      </c>
      <c r="F39" s="51" t="s">
        <v>86</v>
      </c>
      <c r="G39" s="51" t="s">
        <v>110</v>
      </c>
      <c r="H39" s="51" t="s">
        <v>126</v>
      </c>
      <c r="I39" s="51" t="s">
        <v>172</v>
      </c>
      <c r="J39" s="51" t="s">
        <v>148</v>
      </c>
      <c r="K39" s="51" t="s">
        <v>172</v>
      </c>
      <c r="L39" s="51">
        <v>1</v>
      </c>
      <c r="M39" s="37">
        <f t="shared" si="1"/>
        <v>500</v>
      </c>
      <c r="N39" s="51">
        <v>501</v>
      </c>
      <c r="O39" s="61" t="s">
        <v>173</v>
      </c>
      <c r="P39" s="52">
        <v>0.43280000000000002</v>
      </c>
      <c r="Q39" s="52">
        <f t="shared" ref="Q39:Q41" si="12">P39*N39</f>
        <v>216.83280000000002</v>
      </c>
      <c r="R39" s="51"/>
      <c r="S39" s="39"/>
    </row>
    <row r="40" spans="1:19" s="75" customFormat="1" ht="24.75" thickBot="1" x14ac:dyDescent="0.3">
      <c r="A40" s="73"/>
      <c r="B40" s="47">
        <f t="shared" si="0"/>
        <v>31</v>
      </c>
      <c r="C40" s="54" t="s">
        <v>182</v>
      </c>
      <c r="D40" s="51" t="s">
        <v>172</v>
      </c>
      <c r="E40" s="51" t="s">
        <v>207</v>
      </c>
      <c r="F40" s="51" t="s">
        <v>172</v>
      </c>
      <c r="G40" s="51" t="s">
        <v>208</v>
      </c>
      <c r="H40" s="51" t="s">
        <v>209</v>
      </c>
      <c r="I40" s="51" t="s">
        <v>172</v>
      </c>
      <c r="J40" s="51" t="s">
        <v>210</v>
      </c>
      <c r="K40" s="51" t="s">
        <v>172</v>
      </c>
      <c r="L40" s="51">
        <v>1</v>
      </c>
      <c r="M40" s="37">
        <f t="shared" si="1"/>
        <v>500</v>
      </c>
      <c r="N40" s="51">
        <v>500</v>
      </c>
      <c r="O40" s="61" t="s">
        <v>173</v>
      </c>
      <c r="P40" s="52">
        <v>1.4732000000000001</v>
      </c>
      <c r="Q40" s="52">
        <f t="shared" si="12"/>
        <v>736.6</v>
      </c>
      <c r="R40" s="51"/>
      <c r="S40" s="39"/>
    </row>
    <row r="41" spans="1:19" s="75" customFormat="1" ht="15.75" thickBot="1" x14ac:dyDescent="0.3">
      <c r="A41" s="73"/>
      <c r="B41" s="47">
        <f t="shared" si="0"/>
        <v>32</v>
      </c>
      <c r="C41" s="54" t="s">
        <v>182</v>
      </c>
      <c r="D41" s="51" t="s">
        <v>172</v>
      </c>
      <c r="E41" s="51" t="s">
        <v>213</v>
      </c>
      <c r="F41" s="51"/>
      <c r="G41" s="51" t="s">
        <v>211</v>
      </c>
      <c r="H41" s="51" t="s">
        <v>212</v>
      </c>
      <c r="I41" s="51" t="s">
        <v>172</v>
      </c>
      <c r="J41" s="51" t="s">
        <v>214</v>
      </c>
      <c r="K41" s="51" t="s">
        <v>172</v>
      </c>
      <c r="L41" s="51">
        <v>1</v>
      </c>
      <c r="M41" s="37">
        <f t="shared" si="1"/>
        <v>500</v>
      </c>
      <c r="N41" s="51">
        <v>500</v>
      </c>
      <c r="O41" s="61" t="s">
        <v>173</v>
      </c>
      <c r="P41" s="52">
        <v>0.59409999999999996</v>
      </c>
      <c r="Q41" s="52">
        <f t="shared" si="12"/>
        <v>297.04999999999995</v>
      </c>
      <c r="R41" s="51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4" t="s">
        <v>5</v>
      </c>
      <c r="O42" s="85"/>
      <c r="P42" s="85"/>
      <c r="Q42" s="48">
        <f>SUM(Q10:Q41)</f>
        <v>19727.451580000001</v>
      </c>
      <c r="R42" s="80"/>
      <c r="S42" s="81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4" t="s">
        <v>6</v>
      </c>
      <c r="O43" s="85"/>
      <c r="P43" s="85"/>
      <c r="Q43" s="49">
        <f>Q42/500</f>
        <v>39.454903160000001</v>
      </c>
      <c r="R43" s="82"/>
      <c r="S43" s="83"/>
    </row>
  </sheetData>
  <mergeCells count="5">
    <mergeCell ref="K1:S1"/>
    <mergeCell ref="S3:S8"/>
    <mergeCell ref="N42:P42"/>
    <mergeCell ref="R42:S43"/>
    <mergeCell ref="N43:P43"/>
  </mergeCells>
  <hyperlinks>
    <hyperlink ref="O15" r:id="rId1"/>
    <hyperlink ref="O16" r:id="rId2"/>
    <hyperlink ref="O17" r:id="rId3"/>
    <hyperlink ref="O19" r:id="rId4"/>
    <hyperlink ref="O20" r:id="rId5"/>
    <hyperlink ref="O21" r:id="rId6"/>
    <hyperlink ref="O22" r:id="rId7"/>
    <hyperlink ref="O26" r:id="rId8"/>
    <hyperlink ref="O27" r:id="rId9"/>
    <hyperlink ref="O28" r:id="rId10"/>
    <hyperlink ref="O29" r:id="rId11"/>
    <hyperlink ref="O32" r:id="rId12"/>
    <hyperlink ref="O31" r:id="rId13"/>
    <hyperlink ref="O33" r:id="rId14"/>
    <hyperlink ref="O34" r:id="rId15"/>
    <hyperlink ref="O35" r:id="rId16"/>
    <hyperlink ref="O30" r:id="rId17"/>
    <hyperlink ref="O37" r:id="rId18"/>
    <hyperlink ref="O38" r:id="rId19"/>
    <hyperlink ref="O39" r:id="rId20"/>
    <hyperlink ref="O12" r:id="rId21"/>
    <hyperlink ref="O13" r:id="rId22"/>
    <hyperlink ref="O18" r:id="rId23"/>
    <hyperlink ref="O14" r:id="rId24"/>
    <hyperlink ref="O10" r:id="rId25"/>
    <hyperlink ref="O11" r:id="rId26"/>
    <hyperlink ref="O40" r:id="rId27"/>
    <hyperlink ref="O41" r:id="rId28"/>
    <hyperlink ref="O23" r:id="rId29"/>
    <hyperlink ref="O36" r:id="rId30"/>
  </hyperlinks>
  <pageMargins left="0.7" right="0.7" top="0.75" bottom="0.75" header="0.3" footer="0.3"/>
  <drawing r:id="rId3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24" workbookViewId="0">
      <selection activeCell="E46" sqref="E46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9.7109375" customWidth="1"/>
    <col min="6" max="6" width="14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7.5703125" bestFit="1" customWidth="1"/>
    <col min="16" max="16" width="21.85546875" bestFit="1" customWidth="1"/>
    <col min="17" max="17" width="22.42578125" bestFit="1" customWidth="1"/>
    <col min="18" max="18" width="10" customWidth="1"/>
    <col min="19" max="19" width="26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190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32"/>
      <c r="D4" s="13" t="s">
        <v>2</v>
      </c>
      <c r="E4" s="13"/>
      <c r="F4" s="57" t="s">
        <v>183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43</v>
      </c>
      <c r="F9" s="30" t="s">
        <v>70</v>
      </c>
      <c r="G9" s="30" t="s">
        <v>87</v>
      </c>
      <c r="H9" s="30" t="s">
        <v>111</v>
      </c>
      <c r="I9" s="30" t="s">
        <v>162</v>
      </c>
      <c r="J9" s="30" t="s">
        <v>127</v>
      </c>
      <c r="K9" s="30" t="s">
        <v>163</v>
      </c>
      <c r="L9" s="30" t="s">
        <v>161</v>
      </c>
      <c r="M9" s="30" t="s">
        <v>235</v>
      </c>
      <c r="N9" s="30" t="s">
        <v>236</v>
      </c>
      <c r="O9" s="30" t="s">
        <v>166</v>
      </c>
      <c r="P9" s="30" t="s">
        <v>237</v>
      </c>
      <c r="Q9" s="30" t="s">
        <v>238</v>
      </c>
      <c r="R9" s="30" t="s">
        <v>169</v>
      </c>
      <c r="S9" s="30" t="s">
        <v>170</v>
      </c>
    </row>
    <row r="10" spans="1:19" s="75" customFormat="1" ht="36" x14ac:dyDescent="0.25">
      <c r="A10" s="73"/>
      <c r="B10" s="46">
        <f>ROW(B10) - ROW($B$9)</f>
        <v>1</v>
      </c>
      <c r="C10" s="53" t="s">
        <v>192</v>
      </c>
      <c r="D10" s="37" t="s">
        <v>193</v>
      </c>
      <c r="E10" s="37" t="s">
        <v>194</v>
      </c>
      <c r="F10" s="37" t="s">
        <v>171</v>
      </c>
      <c r="G10" s="37" t="s">
        <v>195</v>
      </c>
      <c r="H10" s="37" t="s">
        <v>196</v>
      </c>
      <c r="I10" s="37" t="s">
        <v>172</v>
      </c>
      <c r="J10" s="37" t="s">
        <v>172</v>
      </c>
      <c r="K10" s="37" t="s">
        <v>172</v>
      </c>
      <c r="L10" s="37">
        <v>1</v>
      </c>
      <c r="M10" s="37">
        <f>L10*1000</f>
        <v>1000</v>
      </c>
      <c r="N10" s="37">
        <v>1002</v>
      </c>
      <c r="O10" s="61" t="s">
        <v>204</v>
      </c>
      <c r="P10" s="38">
        <v>0.78300000000000003</v>
      </c>
      <c r="Q10" s="38">
        <f>P10*N10</f>
        <v>784.56600000000003</v>
      </c>
      <c r="R10" s="63" t="s">
        <v>181</v>
      </c>
      <c r="S10" s="74"/>
    </row>
    <row r="11" spans="1:19" s="75" customFormat="1" x14ac:dyDescent="0.25">
      <c r="A11" s="73"/>
      <c r="B11" s="47">
        <f t="shared" ref="B11:B41" si="0">ROW(B11) - ROW($B$9)</f>
        <v>2</v>
      </c>
      <c r="C11" s="54" t="s">
        <v>9</v>
      </c>
      <c r="D11" s="51" t="s">
        <v>19</v>
      </c>
      <c r="E11" s="51" t="s">
        <v>197</v>
      </c>
      <c r="F11" s="51" t="s">
        <v>71</v>
      </c>
      <c r="G11" s="51" t="s">
        <v>198</v>
      </c>
      <c r="H11" s="51" t="s">
        <v>113</v>
      </c>
      <c r="I11" s="51" t="s">
        <v>172</v>
      </c>
      <c r="J11" s="51" t="s">
        <v>199</v>
      </c>
      <c r="K11" s="51" t="s">
        <v>200</v>
      </c>
      <c r="L11" s="51">
        <v>1</v>
      </c>
      <c r="M11" s="37">
        <f t="shared" ref="M11:M41" si="1">L11*1000</f>
        <v>1000</v>
      </c>
      <c r="N11" s="51">
        <v>1100</v>
      </c>
      <c r="O11" s="60" t="s">
        <v>173</v>
      </c>
      <c r="P11" s="52">
        <v>3.2000000000000002E-3</v>
      </c>
      <c r="Q11" s="52">
        <f t="shared" ref="Q11" si="2">P11*N11</f>
        <v>3.52</v>
      </c>
      <c r="R11" s="51"/>
      <c r="S11" s="51"/>
    </row>
    <row r="12" spans="1:19" s="75" customFormat="1" x14ac:dyDescent="0.25">
      <c r="A12" s="73"/>
      <c r="B12" s="46">
        <f>ROW(B12) - ROW($B$9)</f>
        <v>3</v>
      </c>
      <c r="C12" s="54" t="s">
        <v>9</v>
      </c>
      <c r="D12" s="37" t="s">
        <v>20</v>
      </c>
      <c r="E12" s="37" t="s">
        <v>44</v>
      </c>
      <c r="F12" s="37" t="s">
        <v>72</v>
      </c>
      <c r="G12" s="62" t="s">
        <v>88</v>
      </c>
      <c r="H12" s="37" t="s">
        <v>112</v>
      </c>
      <c r="I12" s="37" t="s">
        <v>174</v>
      </c>
      <c r="J12" s="37" t="s">
        <v>175</v>
      </c>
      <c r="K12" s="37" t="s">
        <v>149</v>
      </c>
      <c r="L12" s="37">
        <v>1</v>
      </c>
      <c r="M12" s="37">
        <f t="shared" si="1"/>
        <v>1000</v>
      </c>
      <c r="N12" s="37">
        <v>1100</v>
      </c>
      <c r="O12" s="61" t="s">
        <v>173</v>
      </c>
      <c r="P12" s="38">
        <v>1.2999999999999999E-3</v>
      </c>
      <c r="Q12" s="38">
        <f>P12*N12</f>
        <v>1.43</v>
      </c>
      <c r="R12" s="37"/>
      <c r="S12" s="59"/>
    </row>
    <row r="13" spans="1:19" s="75" customFormat="1" x14ac:dyDescent="0.25">
      <c r="A13" s="73"/>
      <c r="B13" s="47">
        <f t="shared" si="0"/>
        <v>4</v>
      </c>
      <c r="C13" s="54" t="s">
        <v>9</v>
      </c>
      <c r="D13" s="51" t="s">
        <v>191</v>
      </c>
      <c r="E13" s="51" t="s">
        <v>45</v>
      </c>
      <c r="F13" s="51" t="s">
        <v>71</v>
      </c>
      <c r="G13" s="62" t="s">
        <v>89</v>
      </c>
      <c r="H13" s="51" t="s">
        <v>113</v>
      </c>
      <c r="I13" s="51" t="s">
        <v>176</v>
      </c>
      <c r="J13" s="51" t="s">
        <v>177</v>
      </c>
      <c r="K13" s="51" t="s">
        <v>150</v>
      </c>
      <c r="L13" s="51">
        <v>6</v>
      </c>
      <c r="M13" s="37">
        <f t="shared" si="1"/>
        <v>6000</v>
      </c>
      <c r="N13" s="51">
        <v>6100</v>
      </c>
      <c r="O13" s="60" t="s">
        <v>173</v>
      </c>
      <c r="P13" s="52">
        <v>2.3999999999999998E-3</v>
      </c>
      <c r="Q13" s="52">
        <f t="shared" ref="Q13" si="3">P13*N13</f>
        <v>14.639999999999999</v>
      </c>
      <c r="R13" s="51"/>
      <c r="S13" s="59"/>
    </row>
    <row r="14" spans="1:19" s="75" customFormat="1" x14ac:dyDescent="0.25">
      <c r="A14" s="73"/>
      <c r="B14" s="46">
        <f>ROW(B14) - ROW($B$9)</f>
        <v>5</v>
      </c>
      <c r="C14" s="53" t="s">
        <v>9</v>
      </c>
      <c r="D14" s="37" t="s">
        <v>21</v>
      </c>
      <c r="E14" s="37" t="s">
        <v>185</v>
      </c>
      <c r="F14" s="37" t="s">
        <v>186</v>
      </c>
      <c r="G14" s="37" t="s">
        <v>187</v>
      </c>
      <c r="H14" s="37" t="s">
        <v>188</v>
      </c>
      <c r="I14" s="37" t="s">
        <v>172</v>
      </c>
      <c r="J14" s="37" t="s">
        <v>189</v>
      </c>
      <c r="K14" s="37" t="s">
        <v>151</v>
      </c>
      <c r="L14" s="37">
        <v>1</v>
      </c>
      <c r="M14" s="37">
        <f t="shared" si="1"/>
        <v>1000</v>
      </c>
      <c r="N14" s="37">
        <v>1005</v>
      </c>
      <c r="O14" s="61" t="s">
        <v>173</v>
      </c>
      <c r="P14" s="38">
        <v>0.12709999999999999</v>
      </c>
      <c r="Q14" s="38">
        <f>P14*N14</f>
        <v>127.73549999999999</v>
      </c>
      <c r="R14" s="37"/>
      <c r="S14" s="59"/>
    </row>
    <row r="15" spans="1:19" s="75" customFormat="1" x14ac:dyDescent="0.25">
      <c r="A15" s="73"/>
      <c r="B15" s="47">
        <f t="shared" si="0"/>
        <v>6</v>
      </c>
      <c r="C15" s="53" t="s">
        <v>9</v>
      </c>
      <c r="D15" s="51" t="s">
        <v>22</v>
      </c>
      <c r="E15" s="51" t="s">
        <v>46</v>
      </c>
      <c r="F15" s="51" t="s">
        <v>71</v>
      </c>
      <c r="G15" s="51" t="s">
        <v>90</v>
      </c>
      <c r="H15" s="51" t="s">
        <v>113</v>
      </c>
      <c r="I15" s="51" t="s">
        <v>172</v>
      </c>
      <c r="J15" s="51" t="s">
        <v>128</v>
      </c>
      <c r="K15" s="51" t="s">
        <v>152</v>
      </c>
      <c r="L15" s="51">
        <v>1</v>
      </c>
      <c r="M15" s="37">
        <f t="shared" si="1"/>
        <v>1000</v>
      </c>
      <c r="N15" s="51">
        <v>1100</v>
      </c>
      <c r="O15" s="60" t="s">
        <v>173</v>
      </c>
      <c r="P15" s="52">
        <v>4.1000000000000003E-3</v>
      </c>
      <c r="Q15" s="52">
        <f t="shared" ref="Q15" si="4">P15*N15</f>
        <v>4.5100000000000007</v>
      </c>
      <c r="R15" s="51"/>
      <c r="S15" s="59"/>
    </row>
    <row r="16" spans="1:19" s="75" customFormat="1" x14ac:dyDescent="0.25">
      <c r="A16" s="73"/>
      <c r="B16" s="46">
        <f>ROW(B16) - ROW($B$9)</f>
        <v>7</v>
      </c>
      <c r="C16" s="53" t="s">
        <v>9</v>
      </c>
      <c r="D16" s="37" t="s">
        <v>23</v>
      </c>
      <c r="E16" s="37" t="s">
        <v>47</v>
      </c>
      <c r="F16" s="37" t="s">
        <v>72</v>
      </c>
      <c r="G16" s="37" t="s">
        <v>91</v>
      </c>
      <c r="H16" s="37" t="s">
        <v>113</v>
      </c>
      <c r="I16" s="37" t="s">
        <v>172</v>
      </c>
      <c r="J16" s="37" t="s">
        <v>129</v>
      </c>
      <c r="K16" s="37" t="s">
        <v>153</v>
      </c>
      <c r="L16" s="37">
        <v>3</v>
      </c>
      <c r="M16" s="37">
        <f t="shared" si="1"/>
        <v>3000</v>
      </c>
      <c r="N16" s="37">
        <v>3100</v>
      </c>
      <c r="O16" s="61" t="s">
        <v>173</v>
      </c>
      <c r="P16" s="38">
        <v>6.9999999999999999E-4</v>
      </c>
      <c r="Q16" s="38">
        <f>P16*N16</f>
        <v>2.17</v>
      </c>
      <c r="R16" s="37"/>
      <c r="S16" s="59"/>
    </row>
    <row r="17" spans="1:19" s="75" customFormat="1" x14ac:dyDescent="0.25">
      <c r="A17" s="73"/>
      <c r="B17" s="47">
        <f t="shared" si="0"/>
        <v>8</v>
      </c>
      <c r="C17" s="54" t="s">
        <v>9</v>
      </c>
      <c r="D17" s="51" t="s">
        <v>24</v>
      </c>
      <c r="E17" s="51" t="s">
        <v>48</v>
      </c>
      <c r="F17" s="51" t="s">
        <v>73</v>
      </c>
      <c r="G17" s="51" t="s">
        <v>92</v>
      </c>
      <c r="H17" s="51" t="s">
        <v>114</v>
      </c>
      <c r="I17" s="51" t="s">
        <v>172</v>
      </c>
      <c r="J17" s="51" t="s">
        <v>130</v>
      </c>
      <c r="K17" s="51" t="s">
        <v>154</v>
      </c>
      <c r="L17" s="51">
        <v>2</v>
      </c>
      <c r="M17" s="37">
        <f t="shared" si="1"/>
        <v>2000</v>
      </c>
      <c r="N17" s="51">
        <v>2050</v>
      </c>
      <c r="O17" s="61" t="s">
        <v>173</v>
      </c>
      <c r="P17" s="52">
        <v>9.4999999999999998E-3</v>
      </c>
      <c r="Q17" s="52">
        <f t="shared" ref="Q17" si="5">P17*N17</f>
        <v>19.474999999999998</v>
      </c>
      <c r="R17" s="51"/>
      <c r="S17" s="59"/>
    </row>
    <row r="18" spans="1:19" s="75" customFormat="1" ht="24" x14ac:dyDescent="0.25">
      <c r="A18" s="73"/>
      <c r="B18" s="46">
        <f>ROW(B18) - ROW($B$9)</f>
        <v>9</v>
      </c>
      <c r="C18" s="53" t="s">
        <v>10</v>
      </c>
      <c r="D18" s="37" t="s">
        <v>25</v>
      </c>
      <c r="E18" s="37" t="s">
        <v>49</v>
      </c>
      <c r="F18" s="37" t="s">
        <v>74</v>
      </c>
      <c r="G18" s="62" t="s">
        <v>93</v>
      </c>
      <c r="H18" s="37" t="s">
        <v>115</v>
      </c>
      <c r="I18" s="37" t="s">
        <v>178</v>
      </c>
      <c r="J18" s="37" t="s">
        <v>179</v>
      </c>
      <c r="K18" s="37" t="s">
        <v>172</v>
      </c>
      <c r="L18" s="37">
        <v>1</v>
      </c>
      <c r="M18" s="37">
        <f t="shared" si="1"/>
        <v>1000</v>
      </c>
      <c r="N18" s="37">
        <v>1005</v>
      </c>
      <c r="O18" s="61" t="s">
        <v>173</v>
      </c>
      <c r="P18" s="38">
        <v>6.5199999999999994E-2</v>
      </c>
      <c r="Q18" s="38">
        <f>P18*N18</f>
        <v>65.525999999999996</v>
      </c>
      <c r="R18" s="37"/>
      <c r="S18" s="59"/>
    </row>
    <row r="19" spans="1:19" s="75" customFormat="1" ht="24" x14ac:dyDescent="0.25">
      <c r="A19" s="73"/>
      <c r="B19" s="47">
        <f t="shared" si="0"/>
        <v>10</v>
      </c>
      <c r="C19" s="54" t="s">
        <v>10</v>
      </c>
      <c r="D19" s="51" t="s">
        <v>26</v>
      </c>
      <c r="E19" s="51" t="s">
        <v>50</v>
      </c>
      <c r="F19" s="51" t="s">
        <v>75</v>
      </c>
      <c r="G19" s="51" t="s">
        <v>94</v>
      </c>
      <c r="H19" s="51" t="s">
        <v>116</v>
      </c>
      <c r="I19" s="51" t="s">
        <v>172</v>
      </c>
      <c r="J19" s="51" t="s">
        <v>131</v>
      </c>
      <c r="K19" s="51" t="s">
        <v>172</v>
      </c>
      <c r="L19" s="51">
        <v>2</v>
      </c>
      <c r="M19" s="37">
        <f t="shared" si="1"/>
        <v>2000</v>
      </c>
      <c r="N19" s="51">
        <v>2060</v>
      </c>
      <c r="O19" s="61" t="s">
        <v>173</v>
      </c>
      <c r="P19" s="52">
        <v>1.7600000000000001E-2</v>
      </c>
      <c r="Q19" s="52">
        <f t="shared" ref="Q19" si="6">P19*N19</f>
        <v>36.256</v>
      </c>
      <c r="R19" s="51"/>
      <c r="S19" s="59"/>
    </row>
    <row r="20" spans="1:19" s="75" customFormat="1" x14ac:dyDescent="0.25">
      <c r="A20" s="73"/>
      <c r="B20" s="46">
        <f>ROW(B20) - ROW($B$9)</f>
        <v>11</v>
      </c>
      <c r="C20" s="53" t="s">
        <v>10</v>
      </c>
      <c r="D20" s="37" t="s">
        <v>27</v>
      </c>
      <c r="E20" s="37" t="s">
        <v>51</v>
      </c>
      <c r="F20" s="37" t="s">
        <v>76</v>
      </c>
      <c r="G20" s="37" t="s">
        <v>95</v>
      </c>
      <c r="H20" s="37" t="s">
        <v>117</v>
      </c>
      <c r="I20" s="37" t="s">
        <v>172</v>
      </c>
      <c r="J20" s="37" t="s">
        <v>132</v>
      </c>
      <c r="K20" s="37" t="s">
        <v>172</v>
      </c>
      <c r="L20" s="37">
        <v>1</v>
      </c>
      <c r="M20" s="37">
        <f t="shared" si="1"/>
        <v>1000</v>
      </c>
      <c r="N20" s="37">
        <v>1010</v>
      </c>
      <c r="O20" s="61" t="s">
        <v>173</v>
      </c>
      <c r="P20" s="38">
        <v>3.4700000000000002E-2</v>
      </c>
      <c r="Q20" s="38">
        <f>P20*N20</f>
        <v>35.047000000000004</v>
      </c>
      <c r="R20" s="37"/>
      <c r="S20" s="59"/>
    </row>
    <row r="21" spans="1:19" s="75" customFormat="1" ht="24" x14ac:dyDescent="0.25">
      <c r="A21" s="73"/>
      <c r="B21" s="47">
        <f t="shared" si="0"/>
        <v>12</v>
      </c>
      <c r="C21" s="54" t="s">
        <v>10</v>
      </c>
      <c r="D21" s="51" t="s">
        <v>28</v>
      </c>
      <c r="E21" s="51" t="s">
        <v>52</v>
      </c>
      <c r="F21" s="51" t="s">
        <v>77</v>
      </c>
      <c r="G21" s="51" t="s">
        <v>96</v>
      </c>
      <c r="H21" s="51" t="s">
        <v>118</v>
      </c>
      <c r="I21" s="51" t="s">
        <v>172</v>
      </c>
      <c r="J21" s="51" t="s">
        <v>133</v>
      </c>
      <c r="K21" s="51" t="s">
        <v>172</v>
      </c>
      <c r="L21" s="51">
        <v>1</v>
      </c>
      <c r="M21" s="37">
        <f t="shared" si="1"/>
        <v>1000</v>
      </c>
      <c r="N21" s="51">
        <v>1010</v>
      </c>
      <c r="O21" s="61" t="s">
        <v>173</v>
      </c>
      <c r="P21" s="52">
        <v>5.0599999999999999E-2</v>
      </c>
      <c r="Q21" s="52">
        <f t="shared" ref="Q21" si="7">P21*N21</f>
        <v>51.106000000000002</v>
      </c>
      <c r="R21" s="51"/>
      <c r="S21" s="59"/>
    </row>
    <row r="22" spans="1:19" s="75" customFormat="1" ht="24" x14ac:dyDescent="0.25">
      <c r="A22" s="73"/>
      <c r="B22" s="46">
        <f>ROW(B22) - ROW($B$9)</f>
        <v>13</v>
      </c>
      <c r="C22" s="53" t="s">
        <v>11</v>
      </c>
      <c r="D22" s="37" t="s">
        <v>29</v>
      </c>
      <c r="E22" s="37" t="s">
        <v>53</v>
      </c>
      <c r="F22" s="37" t="s">
        <v>78</v>
      </c>
      <c r="G22" s="37" t="s">
        <v>97</v>
      </c>
      <c r="H22" s="37" t="s">
        <v>119</v>
      </c>
      <c r="I22" s="37" t="s">
        <v>172</v>
      </c>
      <c r="J22" s="37" t="s">
        <v>134</v>
      </c>
      <c r="K22" s="37" t="s">
        <v>172</v>
      </c>
      <c r="L22" s="37">
        <v>1</v>
      </c>
      <c r="M22" s="37">
        <f t="shared" si="1"/>
        <v>1000</v>
      </c>
      <c r="N22" s="37">
        <v>1010</v>
      </c>
      <c r="O22" s="61" t="s">
        <v>173</v>
      </c>
      <c r="P22" s="38">
        <v>3.1099999999999999E-2</v>
      </c>
      <c r="Q22" s="38">
        <f>P22*N22</f>
        <v>31.410999999999998</v>
      </c>
      <c r="R22" s="37"/>
      <c r="S22" s="59"/>
    </row>
    <row r="23" spans="1:19" s="75" customFormat="1" ht="36" x14ac:dyDescent="0.25">
      <c r="A23" s="73"/>
      <c r="B23" s="47">
        <f t="shared" si="0"/>
        <v>14</v>
      </c>
      <c r="C23" s="54" t="s">
        <v>215</v>
      </c>
      <c r="D23" s="51" t="s">
        <v>30</v>
      </c>
      <c r="E23" s="51" t="s">
        <v>216</v>
      </c>
      <c r="F23" s="51" t="s">
        <v>171</v>
      </c>
      <c r="G23" s="51" t="s">
        <v>217</v>
      </c>
      <c r="H23" s="51" t="s">
        <v>184</v>
      </c>
      <c r="I23" s="51" t="s">
        <v>172</v>
      </c>
      <c r="J23" s="51" t="s">
        <v>218</v>
      </c>
      <c r="K23" s="51" t="s">
        <v>172</v>
      </c>
      <c r="L23" s="51">
        <v>1</v>
      </c>
      <c r="M23" s="37">
        <f t="shared" si="1"/>
        <v>1000</v>
      </c>
      <c r="N23" s="37">
        <v>1001</v>
      </c>
      <c r="O23" s="60" t="s">
        <v>173</v>
      </c>
      <c r="P23" s="52">
        <v>0.45190000000000002</v>
      </c>
      <c r="Q23" s="52">
        <f t="shared" ref="Q23" si="8">P23*N23</f>
        <v>452.3519</v>
      </c>
      <c r="R23" s="51"/>
      <c r="S23" s="59"/>
    </row>
    <row r="24" spans="1:19" s="75" customFormat="1" ht="25.5" x14ac:dyDescent="0.25">
      <c r="A24" s="73"/>
      <c r="B24" s="46">
        <f>ROW(B24) - ROW($B$9)</f>
        <v>15</v>
      </c>
      <c r="C24" s="53" t="s">
        <v>180</v>
      </c>
      <c r="D24" s="62" t="s">
        <v>31</v>
      </c>
      <c r="E24" s="62" t="s">
        <v>54</v>
      </c>
      <c r="F24" s="62" t="s">
        <v>171</v>
      </c>
      <c r="G24" s="62" t="s">
        <v>172</v>
      </c>
      <c r="H24" s="62" t="s">
        <v>172</v>
      </c>
      <c r="I24" s="62" t="s">
        <v>172</v>
      </c>
      <c r="J24" s="62" t="s">
        <v>172</v>
      </c>
      <c r="K24" s="62" t="s">
        <v>172</v>
      </c>
      <c r="L24" s="62">
        <v>1</v>
      </c>
      <c r="M24" s="37">
        <f t="shared" si="1"/>
        <v>1000</v>
      </c>
      <c r="N24" s="62" t="s">
        <v>172</v>
      </c>
      <c r="O24" s="62" t="s">
        <v>172</v>
      </c>
      <c r="P24" s="62" t="s">
        <v>172</v>
      </c>
      <c r="Q24" s="62" t="s">
        <v>172</v>
      </c>
      <c r="R24" s="62"/>
      <c r="S24" s="59"/>
    </row>
    <row r="25" spans="1:19" s="75" customFormat="1" ht="25.5" x14ac:dyDescent="0.25">
      <c r="A25" s="73"/>
      <c r="B25" s="47">
        <f t="shared" si="0"/>
        <v>16</v>
      </c>
      <c r="C25" s="54" t="s">
        <v>12</v>
      </c>
      <c r="D25" s="64" t="s">
        <v>32</v>
      </c>
      <c r="E25" s="64" t="s">
        <v>55</v>
      </c>
      <c r="F25" s="64" t="s">
        <v>171</v>
      </c>
      <c r="G25" s="64" t="s">
        <v>98</v>
      </c>
      <c r="H25" s="62" t="s">
        <v>172</v>
      </c>
      <c r="I25" s="62" t="s">
        <v>172</v>
      </c>
      <c r="J25" s="62" t="s">
        <v>172</v>
      </c>
      <c r="K25" s="62" t="s">
        <v>172</v>
      </c>
      <c r="L25" s="64">
        <v>1</v>
      </c>
      <c r="M25" s="37">
        <f t="shared" si="1"/>
        <v>1000</v>
      </c>
      <c r="N25" s="62" t="s">
        <v>172</v>
      </c>
      <c r="O25" s="62" t="s">
        <v>172</v>
      </c>
      <c r="P25" s="62" t="s">
        <v>172</v>
      </c>
      <c r="Q25" s="62" t="s">
        <v>172</v>
      </c>
      <c r="R25" s="51"/>
      <c r="S25" s="59"/>
    </row>
    <row r="26" spans="1:19" s="75" customFormat="1" ht="48" x14ac:dyDescent="0.25">
      <c r="A26" s="73"/>
      <c r="B26" s="46">
        <f>ROW(B26) - ROW($B$9)</f>
        <v>17</v>
      </c>
      <c r="C26" s="53" t="s">
        <v>13</v>
      </c>
      <c r="D26" s="37" t="s">
        <v>201</v>
      </c>
      <c r="E26" s="37" t="s">
        <v>56</v>
      </c>
      <c r="F26" s="37" t="s">
        <v>171</v>
      </c>
      <c r="G26" s="37" t="s">
        <v>79</v>
      </c>
      <c r="H26" s="37" t="s">
        <v>120</v>
      </c>
      <c r="I26" s="37" t="s">
        <v>172</v>
      </c>
      <c r="J26" s="37" t="s">
        <v>135</v>
      </c>
      <c r="K26" s="37" t="s">
        <v>172</v>
      </c>
      <c r="L26" s="37">
        <v>2</v>
      </c>
      <c r="M26" s="37">
        <f t="shared" si="1"/>
        <v>2000</v>
      </c>
      <c r="N26" s="37">
        <v>2001</v>
      </c>
      <c r="O26" s="61" t="s">
        <v>173</v>
      </c>
      <c r="P26" s="38">
        <v>0.1981</v>
      </c>
      <c r="Q26" s="38">
        <f>P26*N26</f>
        <v>396.3981</v>
      </c>
      <c r="R26" s="37"/>
      <c r="S26" s="59"/>
    </row>
    <row r="27" spans="1:19" s="75" customFormat="1" ht="24" x14ac:dyDescent="0.25">
      <c r="A27" s="73"/>
      <c r="B27" s="46">
        <f>ROW(B27) - ROW($B$9)</f>
        <v>18</v>
      </c>
      <c r="C27" s="53" t="s">
        <v>14</v>
      </c>
      <c r="D27" s="37" t="s">
        <v>33</v>
      </c>
      <c r="E27" s="37" t="s">
        <v>57</v>
      </c>
      <c r="F27" s="37" t="s">
        <v>80</v>
      </c>
      <c r="G27" s="37" t="s">
        <v>99</v>
      </c>
      <c r="H27" s="37" t="s">
        <v>121</v>
      </c>
      <c r="I27" s="37" t="s">
        <v>172</v>
      </c>
      <c r="J27" s="37" t="s">
        <v>136</v>
      </c>
      <c r="K27" s="37" t="s">
        <v>172</v>
      </c>
      <c r="L27" s="37">
        <v>1</v>
      </c>
      <c r="M27" s="37">
        <f t="shared" si="1"/>
        <v>1000</v>
      </c>
      <c r="N27" s="37">
        <v>1020</v>
      </c>
      <c r="O27" s="61" t="s">
        <v>173</v>
      </c>
      <c r="P27" s="38">
        <v>2.1700000000000001E-2</v>
      </c>
      <c r="Q27" s="38">
        <f>P27*N27</f>
        <v>22.134</v>
      </c>
      <c r="R27" s="37"/>
      <c r="S27" s="59"/>
    </row>
    <row r="28" spans="1:19" s="75" customFormat="1" ht="24" x14ac:dyDescent="0.25">
      <c r="A28" s="73"/>
      <c r="B28" s="47">
        <f t="shared" si="0"/>
        <v>19</v>
      </c>
      <c r="C28" s="54" t="s">
        <v>14</v>
      </c>
      <c r="D28" s="51" t="s">
        <v>34</v>
      </c>
      <c r="E28" s="51" t="s">
        <v>58</v>
      </c>
      <c r="F28" s="51" t="s">
        <v>80</v>
      </c>
      <c r="G28" s="51" t="s">
        <v>100</v>
      </c>
      <c r="H28" s="51" t="s">
        <v>121</v>
      </c>
      <c r="I28" s="51" t="s">
        <v>172</v>
      </c>
      <c r="J28" s="51" t="s">
        <v>137</v>
      </c>
      <c r="K28" s="51" t="s">
        <v>172</v>
      </c>
      <c r="L28" s="51">
        <v>1</v>
      </c>
      <c r="M28" s="37">
        <f t="shared" si="1"/>
        <v>1000</v>
      </c>
      <c r="N28" s="51">
        <v>1010</v>
      </c>
      <c r="O28" s="61" t="s">
        <v>173</v>
      </c>
      <c r="P28" s="52">
        <v>3.8100000000000002E-2</v>
      </c>
      <c r="Q28" s="52">
        <f t="shared" ref="Q28" si="9">P28*N28</f>
        <v>38.481000000000002</v>
      </c>
      <c r="R28" s="51"/>
      <c r="S28" s="59"/>
    </row>
    <row r="29" spans="1:19" s="75" customFormat="1" ht="48" x14ac:dyDescent="0.25">
      <c r="A29" s="73"/>
      <c r="B29" s="46">
        <f>ROW(B29) - ROW($B$9)</f>
        <v>20</v>
      </c>
      <c r="C29" s="53" t="s">
        <v>203</v>
      </c>
      <c r="D29" s="37" t="s">
        <v>35</v>
      </c>
      <c r="E29" s="37" t="s">
        <v>59</v>
      </c>
      <c r="F29" s="37" t="s">
        <v>81</v>
      </c>
      <c r="G29" s="37" t="s">
        <v>101</v>
      </c>
      <c r="H29" s="37" t="s">
        <v>122</v>
      </c>
      <c r="I29" s="37" t="s">
        <v>172</v>
      </c>
      <c r="J29" s="37" t="s">
        <v>138</v>
      </c>
      <c r="K29" s="37" t="s">
        <v>172</v>
      </c>
      <c r="L29" s="37">
        <v>4</v>
      </c>
      <c r="M29" s="37">
        <f t="shared" si="1"/>
        <v>4000</v>
      </c>
      <c r="N29" s="37">
        <v>4020</v>
      </c>
      <c r="O29" s="61" t="s">
        <v>173</v>
      </c>
      <c r="P29" s="38">
        <v>1.9E-2</v>
      </c>
      <c r="Q29" s="38">
        <f>P29*N29</f>
        <v>76.38</v>
      </c>
      <c r="R29" s="37"/>
      <c r="S29" s="59"/>
    </row>
    <row r="30" spans="1:19" s="75" customFormat="1" x14ac:dyDescent="0.25">
      <c r="A30" s="73"/>
      <c r="B30" s="46">
        <f>ROW(B30) - ROW($B$9)</f>
        <v>21</v>
      </c>
      <c r="C30" s="53" t="s">
        <v>15</v>
      </c>
      <c r="D30" s="37" t="s">
        <v>205</v>
      </c>
      <c r="E30" s="37" t="s">
        <v>65</v>
      </c>
      <c r="F30" s="37" t="s">
        <v>82</v>
      </c>
      <c r="G30" s="37" t="s">
        <v>107</v>
      </c>
      <c r="H30" s="37" t="s">
        <v>113</v>
      </c>
      <c r="I30" s="37" t="s">
        <v>172</v>
      </c>
      <c r="J30" s="37" t="s">
        <v>144</v>
      </c>
      <c r="K30" s="37" t="s">
        <v>160</v>
      </c>
      <c r="L30" s="37">
        <v>3</v>
      </c>
      <c r="M30" s="37">
        <f t="shared" si="1"/>
        <v>3000</v>
      </c>
      <c r="N30" s="37">
        <v>3100</v>
      </c>
      <c r="O30" s="61" t="s">
        <v>173</v>
      </c>
      <c r="P30" s="38">
        <v>1.1999999999999999E-3</v>
      </c>
      <c r="Q30" s="38">
        <f>P30*N30</f>
        <v>3.7199999999999998</v>
      </c>
      <c r="R30" s="37"/>
      <c r="S30" s="59"/>
    </row>
    <row r="31" spans="1:19" s="75" customFormat="1" x14ac:dyDescent="0.25">
      <c r="A31" s="73"/>
      <c r="B31" s="46">
        <f>ROW(B31) - ROW($B$9)</f>
        <v>22</v>
      </c>
      <c r="C31" s="53" t="s">
        <v>15</v>
      </c>
      <c r="D31" s="37" t="s">
        <v>36</v>
      </c>
      <c r="E31" s="37" t="s">
        <v>61</v>
      </c>
      <c r="F31" s="37" t="s">
        <v>82</v>
      </c>
      <c r="G31" s="37" t="s">
        <v>103</v>
      </c>
      <c r="H31" s="37" t="s">
        <v>113</v>
      </c>
      <c r="I31" s="37" t="s">
        <v>172</v>
      </c>
      <c r="J31" s="37" t="s">
        <v>140</v>
      </c>
      <c r="K31" s="37" t="s">
        <v>156</v>
      </c>
      <c r="L31" s="37">
        <v>2</v>
      </c>
      <c r="M31" s="37">
        <f t="shared" si="1"/>
        <v>2000</v>
      </c>
      <c r="N31" s="37">
        <v>2100</v>
      </c>
      <c r="O31" s="61" t="s">
        <v>173</v>
      </c>
      <c r="P31" s="38">
        <v>1.1999999999999999E-3</v>
      </c>
      <c r="Q31" s="38">
        <f>P31*N31</f>
        <v>2.5199999999999996</v>
      </c>
      <c r="R31" s="37"/>
      <c r="S31" s="59"/>
    </row>
    <row r="32" spans="1:19" s="75" customFormat="1" x14ac:dyDescent="0.25">
      <c r="A32" s="73"/>
      <c r="B32" s="47">
        <f t="shared" si="0"/>
        <v>23</v>
      </c>
      <c r="C32" s="54" t="s">
        <v>15</v>
      </c>
      <c r="D32" s="37" t="s">
        <v>206</v>
      </c>
      <c r="E32" s="51" t="s">
        <v>60</v>
      </c>
      <c r="F32" s="51" t="s">
        <v>82</v>
      </c>
      <c r="G32" s="51" t="s">
        <v>102</v>
      </c>
      <c r="H32" s="51" t="s">
        <v>113</v>
      </c>
      <c r="I32" s="51" t="s">
        <v>172</v>
      </c>
      <c r="J32" s="51" t="s">
        <v>139</v>
      </c>
      <c r="K32" s="51" t="s">
        <v>155</v>
      </c>
      <c r="L32" s="51">
        <v>2</v>
      </c>
      <c r="M32" s="37">
        <f t="shared" si="1"/>
        <v>2000</v>
      </c>
      <c r="N32" s="51">
        <v>2100</v>
      </c>
      <c r="O32" s="61" t="s">
        <v>173</v>
      </c>
      <c r="P32" s="52">
        <v>1E-3</v>
      </c>
      <c r="Q32" s="52">
        <f t="shared" ref="Q32:Q33" si="10">P32*N32</f>
        <v>2.1</v>
      </c>
      <c r="R32" s="51"/>
      <c r="S32" s="59"/>
    </row>
    <row r="33" spans="1:19" s="75" customFormat="1" x14ac:dyDescent="0.25">
      <c r="A33" s="73"/>
      <c r="B33" s="47">
        <f t="shared" si="0"/>
        <v>24</v>
      </c>
      <c r="C33" s="54" t="s">
        <v>15</v>
      </c>
      <c r="D33" s="51" t="s">
        <v>37</v>
      </c>
      <c r="E33" s="51" t="s">
        <v>62</v>
      </c>
      <c r="F33" s="51" t="s">
        <v>82</v>
      </c>
      <c r="G33" s="51" t="s">
        <v>104</v>
      </c>
      <c r="H33" s="51" t="s">
        <v>113</v>
      </c>
      <c r="I33" s="51" t="s">
        <v>172</v>
      </c>
      <c r="J33" s="51" t="s">
        <v>141</v>
      </c>
      <c r="K33" s="51" t="s">
        <v>157</v>
      </c>
      <c r="L33" s="51">
        <v>2</v>
      </c>
      <c r="M33" s="37">
        <f t="shared" si="1"/>
        <v>2000</v>
      </c>
      <c r="N33" s="51">
        <v>2100</v>
      </c>
      <c r="O33" s="61" t="s">
        <v>173</v>
      </c>
      <c r="P33" s="52">
        <v>1E-3</v>
      </c>
      <c r="Q33" s="52">
        <f t="shared" si="10"/>
        <v>2.1</v>
      </c>
      <c r="R33" s="51"/>
      <c r="S33" s="59"/>
    </row>
    <row r="34" spans="1:19" s="75" customFormat="1" x14ac:dyDescent="0.25">
      <c r="A34" s="73"/>
      <c r="B34" s="46">
        <f>ROW(B34) - ROW($B$9)</f>
        <v>25</v>
      </c>
      <c r="C34" s="53" t="s">
        <v>15</v>
      </c>
      <c r="D34" s="37" t="s">
        <v>38</v>
      </c>
      <c r="E34" s="37" t="s">
        <v>63</v>
      </c>
      <c r="F34" s="37" t="s">
        <v>82</v>
      </c>
      <c r="G34" s="37" t="s">
        <v>105</v>
      </c>
      <c r="H34" s="37" t="s">
        <v>113</v>
      </c>
      <c r="I34" s="37" t="s">
        <v>172</v>
      </c>
      <c r="J34" s="37" t="s">
        <v>142</v>
      </c>
      <c r="K34" s="37" t="s">
        <v>158</v>
      </c>
      <c r="L34" s="37">
        <v>4</v>
      </c>
      <c r="M34" s="37">
        <f t="shared" si="1"/>
        <v>4000</v>
      </c>
      <c r="N34" s="37">
        <v>4100</v>
      </c>
      <c r="O34" s="61" t="s">
        <v>173</v>
      </c>
      <c r="P34" s="38">
        <v>8.9999999999999998E-4</v>
      </c>
      <c r="Q34" s="38">
        <f>P34*N34</f>
        <v>3.69</v>
      </c>
      <c r="R34" s="37"/>
      <c r="S34" s="59"/>
    </row>
    <row r="35" spans="1:19" s="75" customFormat="1" x14ac:dyDescent="0.25">
      <c r="A35" s="73"/>
      <c r="B35" s="47">
        <f t="shared" si="0"/>
        <v>26</v>
      </c>
      <c r="C35" s="53" t="s">
        <v>15</v>
      </c>
      <c r="D35" s="51" t="s">
        <v>39</v>
      </c>
      <c r="E35" s="51" t="s">
        <v>64</v>
      </c>
      <c r="F35" s="51" t="s">
        <v>82</v>
      </c>
      <c r="G35" s="51" t="s">
        <v>106</v>
      </c>
      <c r="H35" s="51" t="s">
        <v>113</v>
      </c>
      <c r="I35" s="51" t="s">
        <v>172</v>
      </c>
      <c r="J35" s="51" t="s">
        <v>143</v>
      </c>
      <c r="K35" s="51" t="s">
        <v>159</v>
      </c>
      <c r="L35" s="51">
        <v>4</v>
      </c>
      <c r="M35" s="37">
        <f t="shared" si="1"/>
        <v>4000</v>
      </c>
      <c r="N35" s="51">
        <v>4100</v>
      </c>
      <c r="O35" s="61" t="s">
        <v>173</v>
      </c>
      <c r="P35" s="52">
        <v>8.0000000000000004E-4</v>
      </c>
      <c r="Q35" s="52">
        <f t="shared" ref="Q35:Q36" si="11">P35*N35</f>
        <v>3.2800000000000002</v>
      </c>
      <c r="R35" s="51"/>
      <c r="S35" s="59"/>
    </row>
    <row r="36" spans="1:19" s="75" customFormat="1" ht="30" x14ac:dyDescent="0.25">
      <c r="A36" s="73"/>
      <c r="B36" s="47">
        <f t="shared" si="0"/>
        <v>27</v>
      </c>
      <c r="C36" s="54" t="s">
        <v>16</v>
      </c>
      <c r="D36" s="51" t="s">
        <v>40</v>
      </c>
      <c r="E36" s="51" t="s">
        <v>66</v>
      </c>
      <c r="F36" s="51" t="s">
        <v>171</v>
      </c>
      <c r="G36" s="51" t="s">
        <v>83</v>
      </c>
      <c r="H36" s="51" t="s">
        <v>123</v>
      </c>
      <c r="I36" s="51" t="s">
        <v>172</v>
      </c>
      <c r="J36" s="51" t="s">
        <v>145</v>
      </c>
      <c r="K36" s="51" t="s">
        <v>172</v>
      </c>
      <c r="L36" s="51">
        <v>1</v>
      </c>
      <c r="M36" s="37">
        <f t="shared" si="1"/>
        <v>1000</v>
      </c>
      <c r="N36" s="51">
        <v>1001</v>
      </c>
      <c r="O36" s="61" t="s">
        <v>239</v>
      </c>
      <c r="P36" s="52">
        <v>31.493500000000001</v>
      </c>
      <c r="Q36" s="52">
        <f t="shared" si="11"/>
        <v>31524.9935</v>
      </c>
      <c r="R36" s="51"/>
      <c r="S36" s="59"/>
    </row>
    <row r="37" spans="1:19" s="75" customFormat="1" ht="36" x14ac:dyDescent="0.25">
      <c r="A37" s="73"/>
      <c r="B37" s="46">
        <f>ROW(B37) - ROW($B$9)</f>
        <v>28</v>
      </c>
      <c r="C37" s="53" t="s">
        <v>16</v>
      </c>
      <c r="D37" s="37" t="s">
        <v>41</v>
      </c>
      <c r="E37" s="37" t="s">
        <v>67</v>
      </c>
      <c r="F37" s="37" t="s">
        <v>84</v>
      </c>
      <c r="G37" s="37" t="s">
        <v>108</v>
      </c>
      <c r="H37" s="37" t="s">
        <v>124</v>
      </c>
      <c r="I37" s="37" t="s">
        <v>172</v>
      </c>
      <c r="J37" s="37" t="s">
        <v>146</v>
      </c>
      <c r="K37" s="37" t="s">
        <v>172</v>
      </c>
      <c r="L37" s="37">
        <v>1</v>
      </c>
      <c r="M37" s="37">
        <f t="shared" si="1"/>
        <v>1000</v>
      </c>
      <c r="N37" s="37">
        <v>1001</v>
      </c>
      <c r="O37" s="61" t="s">
        <v>173</v>
      </c>
      <c r="P37" s="38">
        <v>0.36080000000000001</v>
      </c>
      <c r="Q37" s="38">
        <f>P37*N37</f>
        <v>361.16079999999999</v>
      </c>
      <c r="R37" s="37"/>
      <c r="S37" s="59"/>
    </row>
    <row r="38" spans="1:19" s="75" customFormat="1" ht="24" x14ac:dyDescent="0.25">
      <c r="A38" s="73"/>
      <c r="B38" s="46">
        <f>ROW(B38) - ROW($B$9)</f>
        <v>29</v>
      </c>
      <c r="C38" s="53" t="s">
        <v>17</v>
      </c>
      <c r="D38" s="37" t="s">
        <v>202</v>
      </c>
      <c r="E38" s="37" t="s">
        <v>68</v>
      </c>
      <c r="F38" s="37" t="s">
        <v>85</v>
      </c>
      <c r="G38" s="37" t="s">
        <v>109</v>
      </c>
      <c r="H38" s="37" t="s">
        <v>125</v>
      </c>
      <c r="I38" s="37" t="s">
        <v>172</v>
      </c>
      <c r="J38" s="37" t="s">
        <v>147</v>
      </c>
      <c r="K38" s="37" t="s">
        <v>172</v>
      </c>
      <c r="L38" s="37">
        <v>2</v>
      </c>
      <c r="M38" s="37">
        <f t="shared" si="1"/>
        <v>2000</v>
      </c>
      <c r="N38" s="37">
        <v>2020</v>
      </c>
      <c r="O38" s="61" t="s">
        <v>173</v>
      </c>
      <c r="P38" s="38">
        <v>3.7100000000000001E-2</v>
      </c>
      <c r="Q38" s="38">
        <f>P38*N38</f>
        <v>74.942000000000007</v>
      </c>
      <c r="R38" s="37"/>
      <c r="S38" s="59"/>
    </row>
    <row r="39" spans="1:19" s="75" customFormat="1" ht="24.75" thickBot="1" x14ac:dyDescent="0.3">
      <c r="A39" s="73"/>
      <c r="B39" s="47">
        <f t="shared" si="0"/>
        <v>30</v>
      </c>
      <c r="C39" s="54" t="s">
        <v>16</v>
      </c>
      <c r="D39" s="51" t="s">
        <v>42</v>
      </c>
      <c r="E39" s="51" t="s">
        <v>69</v>
      </c>
      <c r="F39" s="51" t="s">
        <v>86</v>
      </c>
      <c r="G39" s="51" t="s">
        <v>110</v>
      </c>
      <c r="H39" s="51" t="s">
        <v>126</v>
      </c>
      <c r="I39" s="51" t="s">
        <v>172</v>
      </c>
      <c r="J39" s="51" t="s">
        <v>148</v>
      </c>
      <c r="K39" s="51" t="s">
        <v>172</v>
      </c>
      <c r="L39" s="51">
        <v>1</v>
      </c>
      <c r="M39" s="37">
        <f t="shared" si="1"/>
        <v>1000</v>
      </c>
      <c r="N39" s="51">
        <v>1001</v>
      </c>
      <c r="O39" s="61" t="s">
        <v>173</v>
      </c>
      <c r="P39" s="52">
        <v>0.3866</v>
      </c>
      <c r="Q39" s="52">
        <f t="shared" ref="Q39:Q41" si="12">P39*N39</f>
        <v>386.98660000000001</v>
      </c>
      <c r="R39" s="51"/>
      <c r="S39" s="39"/>
    </row>
    <row r="40" spans="1:19" s="75" customFormat="1" ht="24.75" thickBot="1" x14ac:dyDescent="0.3">
      <c r="A40" s="73"/>
      <c r="B40" s="47">
        <f t="shared" si="0"/>
        <v>31</v>
      </c>
      <c r="C40" s="54" t="s">
        <v>182</v>
      </c>
      <c r="D40" s="51" t="s">
        <v>172</v>
      </c>
      <c r="E40" s="51" t="s">
        <v>207</v>
      </c>
      <c r="F40" s="51" t="s">
        <v>172</v>
      </c>
      <c r="G40" s="51" t="s">
        <v>208</v>
      </c>
      <c r="H40" s="51" t="s">
        <v>209</v>
      </c>
      <c r="I40" s="51" t="s">
        <v>172</v>
      </c>
      <c r="J40" s="51" t="s">
        <v>210</v>
      </c>
      <c r="K40" s="51" t="s">
        <v>172</v>
      </c>
      <c r="L40" s="51">
        <v>1</v>
      </c>
      <c r="M40" s="37">
        <f t="shared" si="1"/>
        <v>1000</v>
      </c>
      <c r="N40" s="51">
        <v>1000</v>
      </c>
      <c r="O40" s="61" t="s">
        <v>173</v>
      </c>
      <c r="P40" s="52">
        <v>1.4732000000000001</v>
      </c>
      <c r="Q40" s="52">
        <f t="shared" si="12"/>
        <v>1473.2</v>
      </c>
      <c r="R40" s="51"/>
      <c r="S40" s="39"/>
    </row>
    <row r="41" spans="1:19" s="75" customFormat="1" ht="24.75" thickBot="1" x14ac:dyDescent="0.3">
      <c r="A41" s="73"/>
      <c r="B41" s="47">
        <f t="shared" si="0"/>
        <v>32</v>
      </c>
      <c r="C41" s="54" t="s">
        <v>182</v>
      </c>
      <c r="D41" s="51" t="s">
        <v>172</v>
      </c>
      <c r="E41" s="51" t="s">
        <v>213</v>
      </c>
      <c r="F41" s="51"/>
      <c r="G41" s="51" t="s">
        <v>211</v>
      </c>
      <c r="H41" s="51" t="s">
        <v>212</v>
      </c>
      <c r="I41" s="51" t="s">
        <v>172</v>
      </c>
      <c r="J41" s="51" t="s">
        <v>214</v>
      </c>
      <c r="K41" s="51" t="s">
        <v>172</v>
      </c>
      <c r="L41" s="51">
        <v>1</v>
      </c>
      <c r="M41" s="37">
        <f t="shared" si="1"/>
        <v>1000</v>
      </c>
      <c r="N41" s="51">
        <v>1000</v>
      </c>
      <c r="O41" s="61" t="s">
        <v>173</v>
      </c>
      <c r="P41" s="52">
        <v>0.57440000000000002</v>
      </c>
      <c r="Q41" s="52">
        <f t="shared" si="12"/>
        <v>574.4</v>
      </c>
      <c r="R41" s="51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4" t="s">
        <v>5</v>
      </c>
      <c r="O42" s="85"/>
      <c r="P42" s="85"/>
      <c r="Q42" s="48">
        <f>SUM(Q10:Q41)</f>
        <v>36576.230399999993</v>
      </c>
      <c r="R42" s="80"/>
      <c r="S42" s="81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4" t="s">
        <v>6</v>
      </c>
      <c r="O43" s="85"/>
      <c r="P43" s="85"/>
      <c r="Q43" s="49">
        <f>Q42/1000</f>
        <v>36.576230399999993</v>
      </c>
      <c r="R43" s="82"/>
      <c r="S43" s="83"/>
    </row>
  </sheetData>
  <mergeCells count="5">
    <mergeCell ref="K1:S1"/>
    <mergeCell ref="S3:S8"/>
    <mergeCell ref="N42:P42"/>
    <mergeCell ref="R42:S43"/>
    <mergeCell ref="N43:P43"/>
  </mergeCells>
  <hyperlinks>
    <hyperlink ref="O15" r:id="rId1"/>
    <hyperlink ref="O16" r:id="rId2"/>
    <hyperlink ref="O17" r:id="rId3"/>
    <hyperlink ref="O19" r:id="rId4"/>
    <hyperlink ref="O20" r:id="rId5"/>
    <hyperlink ref="O21" r:id="rId6"/>
    <hyperlink ref="O22" r:id="rId7"/>
    <hyperlink ref="O26" r:id="rId8"/>
    <hyperlink ref="O27" r:id="rId9"/>
    <hyperlink ref="O28" r:id="rId10"/>
    <hyperlink ref="O29" r:id="rId11"/>
    <hyperlink ref="O32" r:id="rId12"/>
    <hyperlink ref="O31" r:id="rId13"/>
    <hyperlink ref="O33" r:id="rId14"/>
    <hyperlink ref="O34" r:id="rId15"/>
    <hyperlink ref="O35" r:id="rId16"/>
    <hyperlink ref="O30" r:id="rId17"/>
    <hyperlink ref="O37" r:id="rId18"/>
    <hyperlink ref="O38" r:id="rId19"/>
    <hyperlink ref="O39" r:id="rId20"/>
    <hyperlink ref="O12" r:id="rId21"/>
    <hyperlink ref="O13" r:id="rId22"/>
    <hyperlink ref="O18" r:id="rId23"/>
    <hyperlink ref="O14" r:id="rId24"/>
    <hyperlink ref="O10" r:id="rId25"/>
    <hyperlink ref="O11" r:id="rId26"/>
    <hyperlink ref="O40" r:id="rId27"/>
    <hyperlink ref="O41" r:id="rId28"/>
    <hyperlink ref="O23" r:id="rId29"/>
    <hyperlink ref="O36" r:id="rId30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 Boards</vt:lpstr>
      <vt:lpstr>20 Boards</vt:lpstr>
      <vt:lpstr>50 Boards</vt:lpstr>
      <vt:lpstr>100 Boards</vt:lpstr>
      <vt:lpstr>500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2023-12-20T12:51:00Z</dcterms:modified>
</cp:coreProperties>
</file>