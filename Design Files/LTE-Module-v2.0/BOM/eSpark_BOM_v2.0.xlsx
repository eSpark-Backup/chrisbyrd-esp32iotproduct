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 activeTab="3"/>
  </bookViews>
  <sheets>
    <sheet name="5 Boards" sheetId="1" r:id="rId1"/>
    <sheet name="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M11" i="6" l="1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10" i="6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10" i="5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10" i="2"/>
  <c r="B42" i="6" l="1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B25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Q10" i="6"/>
  <c r="B10" i="6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B25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B25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43" i="4" l="1"/>
  <c r="Q44" i="4" s="1"/>
  <c r="Q43" i="2"/>
  <c r="Q44" i="2" s="1"/>
  <c r="Q43" i="6"/>
  <c r="Q44" i="6" s="1"/>
  <c r="Q43" i="5"/>
  <c r="Q44" i="5" s="1"/>
  <c r="Q43" i="3"/>
  <c r="Q44" i="3" s="1"/>
  <c r="Q23" i="1"/>
  <c r="M23" i="1"/>
  <c r="Q41" i="1" l="1"/>
  <c r="M41" i="1"/>
  <c r="B41" i="1"/>
  <c r="M25" i="1" l="1"/>
  <c r="Q40" i="1" l="1"/>
  <c r="M40" i="1" l="1"/>
  <c r="B40" i="1"/>
  <c r="B42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3" i="1" l="1"/>
  <c r="Q44" i="1" s="1"/>
</calcChain>
</file>

<file path=xl/sharedStrings.xml><?xml version="1.0" encoding="utf-8"?>
<sst xmlns="http://schemas.openxmlformats.org/spreadsheetml/2006/main" count="2135" uniqueCount="241">
  <si>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</si>
  <si>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</si>
  <si>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</si>
  <si>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</si>
  <si>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</si>
  <si>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</si>
  <si>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</si>
  <si>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</si>
  <si>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</si>
  <si>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</si>
  <si>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</si>
  <si>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</si>
  <si>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</si>
  <si>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</si>
  <si>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</si>
  <si>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</si>
  <si>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</si>
  <si>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</si>
  <si>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</si>
  <si>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</si>
  <si>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</si>
  <si>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</si>
  <si>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</si>
  <si>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</si>
  <si>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</si>
  <si>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</si>
  <si>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</si>
  <si>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</si>
  <si>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</si>
  <si>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</si>
  <si>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</si>
  <si>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</si>
  <si>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</si>
  <si>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</si>
  <si>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</si>
  <si>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</si>
  <si>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</si>
  <si>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</si>
  <si>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</si>
  <si>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</si>
  <si>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</si>
  <si>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</si>
  <si>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</si>
  <si>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</si>
  <si>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</si>
  <si>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</si>
  <si>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</si>
  <si>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</si>
  <si>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</si>
  <si>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</si>
  <si>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</si>
  <si>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</si>
  <si>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</si>
  <si>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</si>
  <si>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</si>
  <si>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</si>
  <si>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</si>
  <si>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</si>
  <si>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</si>
  <si>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</si>
  <si>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</si>
  <si>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</si>
  <si>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</si>
  <si>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</si>
  <si>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</si>
  <si>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</si>
  <si>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</si>
  <si>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</si>
  <si>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</si>
  <si>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</si>
  <si>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</si>
  <si>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</si>
  <si>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</si>
  <si>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</si>
  <si>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</si>
  <si>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</si>
  <si>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</si>
  <si>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</si>
  <si>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</si>
  <si>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</si>
  <si>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</si>
  <si>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</si>
  <si>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</si>
  <si>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</si>
  <si>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</si>
  <si>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</si>
  <si>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</si>
  <si>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</si>
  <si>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</si>
  <si>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</si>
  <si>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</si>
  <si>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</si>
  <si>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</si>
  <si>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</si>
  <si>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</si>
  <si>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</si>
  <si>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</si>
  <si>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</si>
  <si>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</si>
  <si>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</si>
  <si>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</si>
  <si>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</si>
  <si>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</si>
  <si>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</si>
  <si>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</si>
  <si>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</si>
  <si>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</si>
  <si>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</si>
  <si>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</si>
  <si>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</si>
  <si>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</si>
  <si>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</si>
  <si>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</si>
  <si>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</si>
  <si>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</si>
  <si>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</si>
  <si>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</si>
  <si>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</si>
  <si>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</si>
  <si>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</si>
  <si>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</si>
  <si>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</si>
  <si>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</si>
  <si>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</si>
  <si>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</si>
  <si>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</si>
  <si>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</si>
  <si>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</si>
  <si>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</si>
  <si>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</si>
  <si>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</si>
  <si>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</si>
  <si>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</si>
  <si>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</si>
  <si>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</si>
  <si>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</si>
  <si>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</si>
  <si>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</si>
  <si>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</si>
  <si>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</si>
  <si>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</si>
  <si>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</si>
  <si>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</si>
  <si>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</si>
  <si>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</si>
  <si>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</si>
  <si>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</si>
  <si>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</si>
  <si>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</si>
  <si>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</si>
  <si>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</si>
  <si>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</si>
  <si>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</si>
  <si>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</si>
  <si>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</si>
  <si>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</si>
  <si>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</si>
  <si>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</si>
  <si>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</si>
  <si>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</si>
  <si>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</si>
  <si>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</si>
  <si>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</si>
  <si>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</si>
  <si>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</si>
  <si>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</si>
  <si>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</si>
  <si>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</si>
  <si>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</si>
  <si>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</si>
  <si>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</si>
  <si>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</si>
  <si>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</si>
  <si>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</si>
  <si>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</si>
  <si>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</si>
  <si>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</si>
  <si>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</si>
  <si>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</si>
  <si>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</si>
  <si>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</si>
  <si>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</si>
  <si>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</si>
  <si>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>LTE_MODULE_v2.0</t>
  </si>
  <si>
    <t>HJ Tech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</si>
  <si>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</si>
  <si>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</si>
  <si>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</si>
  <si>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</si>
  <si>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</si>
  <si>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</si>
  <si>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</si>
  <si>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</si>
  <si>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</si>
  <si>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</si>
  <si>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</si>
  <si>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</si>
  <si>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</si>
  <si>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</si>
  <si>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</si>
  <si>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</si>
  <si>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</si>
  <si>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U3,U4</t>
  </si>
  <si>
    <t>Transistor</t>
  </si>
  <si>
    <t xml:space="preserve">Glass Pipe </t>
  </si>
  <si>
    <t>Digikey</t>
  </si>
  <si>
    <t>R1, R2, R12</t>
  </si>
  <si>
    <t>R4, R19</t>
  </si>
  <si>
    <t>2 5dBi 4GAntenna Vertical 2.4GHz 10W - Antennas ROHS</t>
  </si>
  <si>
    <t>801-4G</t>
  </si>
  <si>
    <t xml:space="preserve">DreamLNK </t>
  </si>
  <si>
    <t>C779858</t>
  </si>
  <si>
    <t>BWGSMJWX105-7KJ</t>
  </si>
  <si>
    <t>BAT WIRELESS</t>
  </si>
  <si>
    <t>1.8 3dBi Vertical 50W - Antennas ROHS</t>
  </si>
  <si>
    <t>C497021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</si>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</sst>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2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3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6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www.chipsmall.com/Products/SIM7500E_SIMCom-Wireless-Solutions_2029045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4"/>
  <sheetViews>
    <sheetView topLeftCell="F31" workbookViewId="0">
      <selection activeCell="O36" sqref="O3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164</v>
      </c>
      <c r="N9" s="30" t="s">
        <v>165</v>
      </c>
      <c r="O9" s="30" t="s">
        <v>166</v>
      </c>
      <c r="P9" s="30" t="s">
        <v>167</v>
      </c>
      <c r="Q9" s="30" t="s">
        <v>168</v>
      </c>
      <c r="R9" s="30" t="s">
        <v>169</v>
      </c>
      <c r="S9" s="30" t="s">
        <v>170</v>
      </c>
    </row>
    <row r="10" spans="1:19" ht="24" x14ac:dyDescent="0.25">
      <c r="A10" s="1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</f>
        <v>5</v>
      </c>
      <c r="N10" s="37">
        <v>6</v>
      </c>
      <c r="O10" s="61" t="s">
        <v>205</v>
      </c>
      <c r="P10" s="38">
        <v>1.59</v>
      </c>
      <c r="Q10" s="38">
        <f>P10*N10</f>
        <v>9.5400000000000009</v>
      </c>
      <c r="R10" s="63" t="s">
        <v>181</v>
      </c>
      <c r="S10" s="50"/>
    </row>
    <row r="11" spans="1:19" x14ac:dyDescent="0.25">
      <c r="A11" s="1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51">
        <f t="shared" ref="M11" si="1">L11*5</f>
        <v>5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>L12*5</f>
        <v>5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51">
        <f t="shared" ref="M13" si="3">L13*5</f>
        <v>30</v>
      </c>
      <c r="N13" s="51">
        <v>100</v>
      </c>
      <c r="O13" s="60" t="s">
        <v>173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>L14*5</f>
        <v>5</v>
      </c>
      <c r="N14" s="37">
        <v>10</v>
      </c>
      <c r="O14" s="61" t="s">
        <v>173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51">
        <f t="shared" ref="M15" si="5">L15*5</f>
        <v>5</v>
      </c>
      <c r="N15" s="51">
        <v>100</v>
      </c>
      <c r="O15" s="60" t="s">
        <v>173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>L16*5</f>
        <v>15</v>
      </c>
      <c r="N16" s="37">
        <v>100</v>
      </c>
      <c r="O16" s="61" t="s">
        <v>173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51">
        <f t="shared" ref="M17" si="7">L17*5</f>
        <v>10</v>
      </c>
      <c r="N17" s="51">
        <v>50</v>
      </c>
      <c r="O17" s="61" t="s">
        <v>173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>L18*5</f>
        <v>5</v>
      </c>
      <c r="N18" s="37">
        <v>10</v>
      </c>
      <c r="O18" s="61" t="s">
        <v>173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51">
        <f t="shared" ref="M19" si="9">L19*5</f>
        <v>10</v>
      </c>
      <c r="N19" s="51">
        <v>20</v>
      </c>
      <c r="O19" s="61" t="s">
        <v>173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>L20*5</f>
        <v>5</v>
      </c>
      <c r="N20" s="37">
        <v>10</v>
      </c>
      <c r="O20" s="61" t="s">
        <v>173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51">
        <f t="shared" ref="M21" si="11">L21*5</f>
        <v>5</v>
      </c>
      <c r="N21" s="51">
        <v>10</v>
      </c>
      <c r="O21" s="61" t="s">
        <v>173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>L22*5</f>
        <v>5</v>
      </c>
      <c r="N22" s="37">
        <v>10</v>
      </c>
      <c r="O22" s="61" t="s">
        <v>173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 t="s">
        <v>172</v>
      </c>
      <c r="L23" s="51">
        <v>1</v>
      </c>
      <c r="M23" s="51">
        <f t="shared" ref="M23" si="13">L23*5</f>
        <v>5</v>
      </c>
      <c r="N23" s="37">
        <v>6</v>
      </c>
      <c r="O23" s="60" t="s">
        <v>173</v>
      </c>
      <c r="P23" s="52">
        <v>0.81620000000000004</v>
      </c>
      <c r="Q23" s="52">
        <f t="shared" ref="Q23" si="14">P23*N23</f>
        <v>4.8971999999999998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62">
        <f>L24*5</f>
        <v>5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64">
        <f t="shared" ref="M25" si="15">L25*5</f>
        <v>5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>L26*5</f>
        <v>10</v>
      </c>
      <c r="N26" s="37">
        <v>11</v>
      </c>
      <c r="O26" s="61" t="s">
        <v>173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>L27*5</f>
        <v>5</v>
      </c>
      <c r="N27" s="37">
        <v>20</v>
      </c>
      <c r="O27" s="61" t="s">
        <v>173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51">
        <f t="shared" ref="M28" si="16">L28*5</f>
        <v>5</v>
      </c>
      <c r="N28" s="51">
        <v>10</v>
      </c>
      <c r="O28" s="61" t="s">
        <v>173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>L29*5</f>
        <v>20</v>
      </c>
      <c r="N29" s="37">
        <v>40</v>
      </c>
      <c r="O29" s="61" t="s">
        <v>173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>L30*5</f>
        <v>15</v>
      </c>
      <c r="N30" s="37">
        <v>100</v>
      </c>
      <c r="O30" s="61" t="s">
        <v>173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>L31*5</f>
        <v>10</v>
      </c>
      <c r="N31" s="37">
        <v>100</v>
      </c>
      <c r="O31" s="61" t="s">
        <v>173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51">
        <f t="shared" ref="M32" si="18">L32*5</f>
        <v>10</v>
      </c>
      <c r="N32" s="51">
        <v>100</v>
      </c>
      <c r="O32" s="61" t="s">
        <v>173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51">
        <f t="shared" ref="M33" si="20">L33*5</f>
        <v>10</v>
      </c>
      <c r="N33" s="51">
        <v>100</v>
      </c>
      <c r="O33" s="61" t="s">
        <v>173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>L34*5</f>
        <v>20</v>
      </c>
      <c r="N34" s="37">
        <v>100</v>
      </c>
      <c r="O34" s="61" t="s">
        <v>173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51">
        <f t="shared" ref="M35" si="22">L35*5</f>
        <v>20</v>
      </c>
      <c r="N35" s="51">
        <v>100</v>
      </c>
      <c r="O35" s="61" t="s">
        <v>173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30" x14ac:dyDescent="0.25">
      <c r="A36" s="1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172</v>
      </c>
      <c r="K36" s="51" t="s">
        <v>172</v>
      </c>
      <c r="L36" s="51">
        <v>1</v>
      </c>
      <c r="M36" s="51">
        <f t="shared" ref="M36" si="24">L36*5</f>
        <v>5</v>
      </c>
      <c r="N36" s="51">
        <v>6</v>
      </c>
      <c r="O36" s="61" t="s">
        <v>240</v>
      </c>
      <c r="P36" s="52">
        <v>62.987000000000002</v>
      </c>
      <c r="Q36" s="52">
        <f t="shared" ref="Q36" si="25">P36*N36</f>
        <v>377.92200000000003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>L37*5</f>
        <v>5</v>
      </c>
      <c r="N37" s="37">
        <v>6</v>
      </c>
      <c r="O37" s="61" t="s">
        <v>173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>L38*5</f>
        <v>10</v>
      </c>
      <c r="N38" s="37">
        <v>20</v>
      </c>
      <c r="O38" s="61" t="s">
        <v>173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51">
        <f t="shared" ref="M39:M41" si="26">L39*5</f>
        <v>5</v>
      </c>
      <c r="N39" s="51">
        <v>6</v>
      </c>
      <c r="O39" s="61" t="s">
        <v>173</v>
      </c>
      <c r="P39" s="52">
        <v>0.43280000000000002</v>
      </c>
      <c r="Q39" s="52">
        <f t="shared" ref="Q39:Q41" si="27">P39*N39</f>
        <v>2.5968</v>
      </c>
      <c r="R39" s="51"/>
      <c r="S39" s="39"/>
    </row>
    <row r="40" spans="1:19" ht="24.75" thickBot="1" x14ac:dyDescent="0.3">
      <c r="A40" s="1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51">
        <f t="shared" si="26"/>
        <v>5</v>
      </c>
      <c r="N40" s="51">
        <v>5</v>
      </c>
      <c r="O40" s="61" t="s">
        <v>173</v>
      </c>
      <c r="P40" s="52">
        <v>1.8885000000000001</v>
      </c>
      <c r="Q40" s="52">
        <f t="shared" si="27"/>
        <v>9.4425000000000008</v>
      </c>
      <c r="R40" s="51"/>
      <c r="S40" s="39"/>
    </row>
    <row r="41" spans="1:19" s="72" customFormat="1" ht="15.75" thickBot="1" x14ac:dyDescent="0.3">
      <c r="A41" s="65"/>
      <c r="B41" s="66">
        <f t="shared" si="0"/>
        <v>32</v>
      </c>
      <c r="C41" s="67" t="s">
        <v>182</v>
      </c>
      <c r="D41" s="68" t="s">
        <v>172</v>
      </c>
      <c r="E41" s="68" t="s">
        <v>214</v>
      </c>
      <c r="F41" s="68"/>
      <c r="G41" s="68" t="s">
        <v>212</v>
      </c>
      <c r="H41" s="68" t="s">
        <v>213</v>
      </c>
      <c r="I41" s="68" t="s">
        <v>172</v>
      </c>
      <c r="J41" s="68" t="s">
        <v>215</v>
      </c>
      <c r="K41" s="68" t="s">
        <v>172</v>
      </c>
      <c r="L41" s="68">
        <v>1</v>
      </c>
      <c r="M41" s="68">
        <f t="shared" si="26"/>
        <v>5</v>
      </c>
      <c r="N41" s="68">
        <v>5</v>
      </c>
      <c r="O41" s="69" t="s">
        <v>173</v>
      </c>
      <c r="P41" s="70">
        <v>1.0505</v>
      </c>
      <c r="Q41" s="52">
        <f t="shared" si="27"/>
        <v>5.2524999999999995</v>
      </c>
      <c r="R41" s="68"/>
      <c r="S41" s="71"/>
    </row>
    <row r="42" spans="1:19" ht="15.75" thickBot="1" x14ac:dyDescent="0.3">
      <c r="A42" s="1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432.81939999999997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</f>
        <v>86.563879999999997</v>
      </c>
      <c r="R44" s="82"/>
      <c r="S44" s="83"/>
    </row>
  </sheetData>
  <mergeCells count="5">
    <mergeCell ref="K1:S1"/>
    <mergeCell ref="S3:S8"/>
    <mergeCell ref="R43:S44"/>
    <mergeCell ref="N43:P43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pageSetup paperSize="9" orientation="portrait" r:id="rId31"/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E28" workbookViewId="0">
      <selection activeCell="G52" sqref="G52"/>
    </sheetView>
  </sheetViews>
  <sheetFormatPr defaultRowHeight="15" x14ac:dyDescent="0.25"/>
  <cols>
    <col min="2" max="2" width="3" bestFit="1" customWidth="1"/>
    <col min="3" max="3" width="13.7109375" customWidth="1"/>
    <col min="4" max="4" width="31.140625" bestFit="1" customWidth="1"/>
    <col min="5" max="5" width="29.85546875" customWidth="1"/>
    <col min="6" max="6" width="17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220</v>
      </c>
      <c r="N9" s="30" t="s">
        <v>221</v>
      </c>
      <c r="O9" s="30" t="s">
        <v>166</v>
      </c>
      <c r="P9" s="30" t="s">
        <v>222</v>
      </c>
      <c r="Q9" s="30" t="s">
        <v>223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L10*20</f>
        <v>20</v>
      </c>
      <c r="N10" s="37">
        <v>21</v>
      </c>
      <c r="O10" s="61" t="s">
        <v>205</v>
      </c>
      <c r="P10" s="38">
        <v>1.431</v>
      </c>
      <c r="Q10" s="38">
        <f>P10*N10</f>
        <v>30.051000000000002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37">
        <f t="shared" ref="M11:M41" si="1">L11*20</f>
        <v>20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20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120</v>
      </c>
      <c r="N13" s="51">
        <v>200</v>
      </c>
      <c r="O13" s="60" t="s">
        <v>173</v>
      </c>
      <c r="P13" s="52">
        <v>2.3E-3</v>
      </c>
      <c r="Q13" s="52">
        <f t="shared" ref="Q13" si="3">P13*N13</f>
        <v>0.45999999999999996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 t="shared" si="1"/>
        <v>20</v>
      </c>
      <c r="N14" s="37">
        <v>25</v>
      </c>
      <c r="O14" s="61" t="s">
        <v>173</v>
      </c>
      <c r="P14" s="38">
        <v>0.21779999999999999</v>
      </c>
      <c r="Q14" s="38">
        <f>P14*N14</f>
        <v>5.4450000000000003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20</v>
      </c>
      <c r="N15" s="51">
        <v>100</v>
      </c>
      <c r="O15" s="60" t="s">
        <v>173</v>
      </c>
      <c r="P15" s="52">
        <v>5.1999999999999998E-3</v>
      </c>
      <c r="Q15" s="52">
        <f t="shared" ref="Q15" si="4">P15*N15</f>
        <v>0.52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60</v>
      </c>
      <c r="N16" s="37">
        <v>100</v>
      </c>
      <c r="O16" s="61" t="s">
        <v>173</v>
      </c>
      <c r="P16" s="38">
        <v>1E-3</v>
      </c>
      <c r="Q16" s="38">
        <f>P16*N16</f>
        <v>0.1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40</v>
      </c>
      <c r="N17" s="51">
        <v>50</v>
      </c>
      <c r="O17" s="61" t="s">
        <v>173</v>
      </c>
      <c r="P17" s="52">
        <v>1.41E-2</v>
      </c>
      <c r="Q17" s="52">
        <f t="shared" ref="Q17" si="5">P17*N17</f>
        <v>0.70499999999999996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20</v>
      </c>
      <c r="N18" s="37">
        <v>25</v>
      </c>
      <c r="O18" s="61" t="s">
        <v>173</v>
      </c>
      <c r="P18" s="38">
        <v>0.1037</v>
      </c>
      <c r="Q18" s="38">
        <f>P18*N18</f>
        <v>2.5924999999999998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40</v>
      </c>
      <c r="N19" s="51">
        <v>60</v>
      </c>
      <c r="O19" s="61" t="s">
        <v>173</v>
      </c>
      <c r="P19" s="52">
        <v>3.1699999999999999E-2</v>
      </c>
      <c r="Q19" s="52">
        <f t="shared" ref="Q19" si="6">P19*N19</f>
        <v>1.9019999999999999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20</v>
      </c>
      <c r="N20" s="37">
        <v>30</v>
      </c>
      <c r="O20" s="61" t="s">
        <v>173</v>
      </c>
      <c r="P20" s="38">
        <v>5.4399999999999997E-2</v>
      </c>
      <c r="Q20" s="38">
        <f>P20*N20</f>
        <v>1.6319999999999999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20</v>
      </c>
      <c r="N21" s="51">
        <v>30</v>
      </c>
      <c r="O21" s="61" t="s">
        <v>173</v>
      </c>
      <c r="P21" s="52">
        <v>8.6400000000000005E-2</v>
      </c>
      <c r="Q21" s="52">
        <f t="shared" ref="Q21" si="7">P21*N21</f>
        <v>2.5920000000000001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20</v>
      </c>
      <c r="N22" s="37">
        <v>30</v>
      </c>
      <c r="O22" s="61" t="s">
        <v>173</v>
      </c>
      <c r="P22" s="38">
        <v>4.5100000000000001E-2</v>
      </c>
      <c r="Q22" s="38">
        <f>P22*N22</f>
        <v>1.353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 t="s">
        <v>172</v>
      </c>
      <c r="L23" s="51">
        <v>1</v>
      </c>
      <c r="M23" s="37">
        <f t="shared" si="1"/>
        <v>20</v>
      </c>
      <c r="N23" s="37">
        <v>21</v>
      </c>
      <c r="O23" s="60" t="s">
        <v>173</v>
      </c>
      <c r="P23" s="52">
        <v>0.66659999999999997</v>
      </c>
      <c r="Q23" s="52">
        <f t="shared" ref="Q23" si="8">P23*N23</f>
        <v>13.9986</v>
      </c>
      <c r="R23" s="51"/>
      <c r="S23" s="59"/>
    </row>
    <row r="24" spans="1:19" s="75" customFormat="1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20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20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40</v>
      </c>
      <c r="N26" s="37">
        <v>41</v>
      </c>
      <c r="O26" s="61" t="s">
        <v>173</v>
      </c>
      <c r="P26" s="38">
        <v>0.50280000000000002</v>
      </c>
      <c r="Q26" s="38">
        <f>P26*N26</f>
        <v>20.614800000000002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20</v>
      </c>
      <c r="N27" s="37">
        <v>40</v>
      </c>
      <c r="O27" s="61" t="s">
        <v>173</v>
      </c>
      <c r="P27" s="38">
        <v>3.4799999999999998E-2</v>
      </c>
      <c r="Q27" s="38">
        <f>P27*N27</f>
        <v>1.3919999999999999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20</v>
      </c>
      <c r="N28" s="51">
        <v>30</v>
      </c>
      <c r="O28" s="61" t="s">
        <v>173</v>
      </c>
      <c r="P28" s="52">
        <v>5.1499999999999997E-2</v>
      </c>
      <c r="Q28" s="52">
        <f t="shared" ref="Q28" si="9">P28*N28</f>
        <v>1.5449999999999999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80</v>
      </c>
      <c r="N29" s="37">
        <v>100</v>
      </c>
      <c r="O29" s="61" t="s">
        <v>173</v>
      </c>
      <c r="P29" s="38">
        <v>3.3500000000000002E-2</v>
      </c>
      <c r="Q29" s="38">
        <f>P29*N29</f>
        <v>3.35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60</v>
      </c>
      <c r="N30" s="37">
        <v>100</v>
      </c>
      <c r="O30" s="61" t="s">
        <v>173</v>
      </c>
      <c r="P30" s="38">
        <v>1.5E-3</v>
      </c>
      <c r="Q30" s="38">
        <f>P30*N30</f>
        <v>0.15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40</v>
      </c>
      <c r="N31" s="37">
        <v>100</v>
      </c>
      <c r="O31" s="61" t="s">
        <v>173</v>
      </c>
      <c r="P31" s="38">
        <v>1.1999999999999999E-3</v>
      </c>
      <c r="Q31" s="38">
        <f>P31*N31</f>
        <v>0.12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40</v>
      </c>
      <c r="N32" s="51">
        <v>100</v>
      </c>
      <c r="O32" s="61" t="s">
        <v>173</v>
      </c>
      <c r="P32" s="52">
        <v>1.2999999999999999E-3</v>
      </c>
      <c r="Q32" s="52">
        <f t="shared" ref="Q32:Q33" si="10">P32*N32</f>
        <v>0.13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40</v>
      </c>
      <c r="N33" s="51">
        <v>100</v>
      </c>
      <c r="O33" s="61" t="s">
        <v>173</v>
      </c>
      <c r="P33" s="52">
        <v>1.2999999999999999E-3</v>
      </c>
      <c r="Q33" s="52">
        <f t="shared" si="10"/>
        <v>0.13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80</v>
      </c>
      <c r="N34" s="37">
        <v>100</v>
      </c>
      <c r="O34" s="61" t="s">
        <v>173</v>
      </c>
      <c r="P34" s="38">
        <v>1.1999999999999999E-3</v>
      </c>
      <c r="Q34" s="38">
        <f>P34*N34</f>
        <v>0.12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80</v>
      </c>
      <c r="N35" s="51">
        <v>100</v>
      </c>
      <c r="O35" s="61" t="s">
        <v>173</v>
      </c>
      <c r="P35" s="52">
        <v>1.1000000000000001E-3</v>
      </c>
      <c r="Q35" s="52">
        <f t="shared" ref="Q35:Q36" si="11">P35*N35</f>
        <v>0.11</v>
      </c>
      <c r="R35" s="51"/>
      <c r="S35" s="59"/>
    </row>
    <row r="36" spans="1:19" s="75" customFormat="1" ht="30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20</v>
      </c>
      <c r="N36" s="51">
        <v>21</v>
      </c>
      <c r="O36" s="61" t="s">
        <v>240</v>
      </c>
      <c r="P36" s="52">
        <v>47.240250000000003</v>
      </c>
      <c r="Q36" s="52">
        <f t="shared" si="11"/>
        <v>992.04525000000012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20</v>
      </c>
      <c r="N37" s="37">
        <v>21</v>
      </c>
      <c r="O37" s="61" t="s">
        <v>173</v>
      </c>
      <c r="P37" s="38">
        <v>0.53300000000000003</v>
      </c>
      <c r="Q37" s="38">
        <f>P37*N37</f>
        <v>11.193000000000001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40</v>
      </c>
      <c r="N38" s="37">
        <v>60</v>
      </c>
      <c r="O38" s="61" t="s">
        <v>173</v>
      </c>
      <c r="P38" s="38">
        <v>5.3800000000000001E-2</v>
      </c>
      <c r="Q38" s="38">
        <f>P38*N38</f>
        <v>3.2280000000000002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20</v>
      </c>
      <c r="N39" s="51">
        <v>21</v>
      </c>
      <c r="O39" s="61" t="s">
        <v>173</v>
      </c>
      <c r="P39" s="52">
        <v>0.43280000000000002</v>
      </c>
      <c r="Q39" s="52">
        <f t="shared" ref="Q39:Q41" si="12">P39*N39</f>
        <v>9.0888000000000009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37">
        <f t="shared" si="1"/>
        <v>20</v>
      </c>
      <c r="N40" s="51">
        <v>20</v>
      </c>
      <c r="O40" s="61" t="s">
        <v>173</v>
      </c>
      <c r="P40" s="52">
        <v>1.6785000000000001</v>
      </c>
      <c r="Q40" s="52">
        <f t="shared" si="12"/>
        <v>33.57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214</v>
      </c>
      <c r="F41" s="51"/>
      <c r="G41" s="51" t="s">
        <v>212</v>
      </c>
      <c r="H41" s="51" t="s">
        <v>213</v>
      </c>
      <c r="I41" s="51" t="s">
        <v>172</v>
      </c>
      <c r="J41" s="51" t="s">
        <v>215</v>
      </c>
      <c r="K41" s="51" t="s">
        <v>172</v>
      </c>
      <c r="L41" s="51">
        <v>1</v>
      </c>
      <c r="M41" s="37">
        <f t="shared" si="1"/>
        <v>20</v>
      </c>
      <c r="N41" s="51">
        <v>5</v>
      </c>
      <c r="O41" s="61" t="s">
        <v>173</v>
      </c>
      <c r="P41" s="52">
        <v>0.89180000000000004</v>
      </c>
      <c r="Q41" s="52">
        <f t="shared" si="12"/>
        <v>4.4590000000000005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1143.1569500000003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Q43/20</f>
        <v>57.157847500000017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B25" workbookViewId="0">
      <selection activeCell="O36" sqref="O36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4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224</v>
      </c>
      <c r="N9" s="30" t="s">
        <v>225</v>
      </c>
      <c r="O9" s="30" t="s">
        <v>166</v>
      </c>
      <c r="P9" s="30" t="s">
        <v>226</v>
      </c>
      <c r="Q9" s="30" t="s">
        <v>227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L10*50</f>
        <v>50</v>
      </c>
      <c r="N10" s="37">
        <v>51</v>
      </c>
      <c r="O10" s="61" t="s">
        <v>205</v>
      </c>
      <c r="P10" s="38">
        <v>1.35</v>
      </c>
      <c r="Q10" s="38">
        <f>P10*N10</f>
        <v>68.850000000000009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37">
        <f t="shared" ref="M11:M41" si="1">L11*50</f>
        <v>50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50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300</v>
      </c>
      <c r="N13" s="51">
        <v>400</v>
      </c>
      <c r="O13" s="60" t="s">
        <v>173</v>
      </c>
      <c r="P13" s="52">
        <v>2.3999999999999998E-3</v>
      </c>
      <c r="Q13" s="52">
        <f t="shared" ref="Q13" si="3">P13*N13</f>
        <v>0.96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 t="shared" si="1"/>
        <v>50</v>
      </c>
      <c r="N14" s="37">
        <v>55</v>
      </c>
      <c r="O14" s="61" t="s">
        <v>173</v>
      </c>
      <c r="P14" s="38">
        <v>0.16839999999999999</v>
      </c>
      <c r="Q14" s="38">
        <f>P14*N14</f>
        <v>9.2620000000000005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50</v>
      </c>
      <c r="N15" s="51">
        <v>100</v>
      </c>
      <c r="O15" s="60" t="s">
        <v>173</v>
      </c>
      <c r="P15" s="52">
        <v>5.1999999999999998E-3</v>
      </c>
      <c r="Q15" s="52">
        <f t="shared" ref="Q15" si="4">P15*N15</f>
        <v>0.52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150</v>
      </c>
      <c r="N16" s="37">
        <v>200</v>
      </c>
      <c r="O16" s="61" t="s">
        <v>173</v>
      </c>
      <c r="P16" s="38">
        <v>1E-3</v>
      </c>
      <c r="Q16" s="38">
        <f>P16*N16</f>
        <v>0.2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100</v>
      </c>
      <c r="N17" s="51">
        <v>150</v>
      </c>
      <c r="O17" s="61" t="s">
        <v>173</v>
      </c>
      <c r="P17" s="52">
        <v>1.41E-2</v>
      </c>
      <c r="Q17" s="52">
        <f t="shared" ref="Q17" si="5">P17*N17</f>
        <v>2.1149999999999998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50</v>
      </c>
      <c r="N18" s="37">
        <v>55</v>
      </c>
      <c r="O18" s="61" t="s">
        <v>173</v>
      </c>
      <c r="P18" s="38">
        <v>8.48E-2</v>
      </c>
      <c r="Q18" s="38">
        <f>P18*N18</f>
        <v>4.6639999999999997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100</v>
      </c>
      <c r="N19" s="51">
        <v>20</v>
      </c>
      <c r="O19" s="61" t="s">
        <v>173</v>
      </c>
      <c r="P19" s="52">
        <v>3.1699999999999999E-2</v>
      </c>
      <c r="Q19" s="52">
        <f t="shared" ref="Q19" si="6">P19*N19</f>
        <v>0.63400000000000001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50</v>
      </c>
      <c r="N20" s="37">
        <v>10</v>
      </c>
      <c r="O20" s="61" t="s">
        <v>173</v>
      </c>
      <c r="P20" s="38">
        <v>5.5599999999999997E-2</v>
      </c>
      <c r="Q20" s="38">
        <f>P20*N20</f>
        <v>0.55599999999999994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50</v>
      </c>
      <c r="N21" s="51">
        <v>10</v>
      </c>
      <c r="O21" s="61" t="s">
        <v>173</v>
      </c>
      <c r="P21" s="52">
        <v>8.6400000000000005E-2</v>
      </c>
      <c r="Q21" s="52">
        <f t="shared" ref="Q21" si="7">P21*N21</f>
        <v>0.8640000000000001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50</v>
      </c>
      <c r="N22" s="37">
        <v>10</v>
      </c>
      <c r="O22" s="61" t="s">
        <v>173</v>
      </c>
      <c r="P22" s="38">
        <v>4.3200000000000002E-2</v>
      </c>
      <c r="Q22" s="38">
        <f>P22*N22</f>
        <v>0.43200000000000005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/>
      <c r="L23" s="51">
        <v>1</v>
      </c>
      <c r="M23" s="37">
        <f t="shared" si="1"/>
        <v>50</v>
      </c>
      <c r="N23" s="37">
        <v>51</v>
      </c>
      <c r="O23" s="60" t="s">
        <v>173</v>
      </c>
      <c r="P23" s="52">
        <v>0.59189999999999998</v>
      </c>
      <c r="Q23" s="52">
        <f t="shared" ref="Q23" si="8">P23*N23</f>
        <v>30.186899999999998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50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50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100</v>
      </c>
      <c r="N26" s="37">
        <v>101</v>
      </c>
      <c r="O26" s="61" t="s">
        <v>173</v>
      </c>
      <c r="P26" s="38">
        <v>0.22359999999999999</v>
      </c>
      <c r="Q26" s="38">
        <f>P26*N26</f>
        <v>22.583600000000001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50</v>
      </c>
      <c r="N27" s="37">
        <v>60</v>
      </c>
      <c r="O27" s="61" t="s">
        <v>173</v>
      </c>
      <c r="P27" s="38">
        <v>3.4799999999999998E-2</v>
      </c>
      <c r="Q27" s="38">
        <f>P27*N27</f>
        <v>2.0880000000000001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50</v>
      </c>
      <c r="N28" s="51">
        <v>60</v>
      </c>
      <c r="O28" s="61" t="s">
        <v>173</v>
      </c>
      <c r="P28" s="52">
        <v>5.1499999999999997E-2</v>
      </c>
      <c r="Q28" s="52">
        <f t="shared" ref="Q28" si="9">P28*N28</f>
        <v>3.09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200</v>
      </c>
      <c r="N29" s="37">
        <v>220</v>
      </c>
      <c r="O29" s="61" t="s">
        <v>173</v>
      </c>
      <c r="P29" s="38">
        <v>2.7099999999999999E-2</v>
      </c>
      <c r="Q29" s="38">
        <f>P29*N29</f>
        <v>5.9619999999999997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150</v>
      </c>
      <c r="N30" s="37">
        <v>200</v>
      </c>
      <c r="O30" s="61" t="s">
        <v>173</v>
      </c>
      <c r="P30" s="38">
        <v>1.5E-3</v>
      </c>
      <c r="Q30" s="38">
        <f>P30*N30</f>
        <v>0.3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100</v>
      </c>
      <c r="N31" s="37">
        <v>200</v>
      </c>
      <c r="O31" s="61" t="s">
        <v>173</v>
      </c>
      <c r="P31" s="38">
        <v>1.1999999999999999E-3</v>
      </c>
      <c r="Q31" s="38">
        <f>P31*N31</f>
        <v>0.24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100</v>
      </c>
      <c r="N32" s="51">
        <v>200</v>
      </c>
      <c r="O32" s="61" t="s">
        <v>173</v>
      </c>
      <c r="P32" s="52">
        <v>1.2999999999999999E-3</v>
      </c>
      <c r="Q32" s="52">
        <f t="shared" ref="Q32:Q33" si="10">P32*N32</f>
        <v>0.26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100</v>
      </c>
      <c r="N33" s="51">
        <v>200</v>
      </c>
      <c r="O33" s="61" t="s">
        <v>173</v>
      </c>
      <c r="P33" s="52">
        <v>1.2999999999999999E-3</v>
      </c>
      <c r="Q33" s="52">
        <f t="shared" si="10"/>
        <v>0.26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200</v>
      </c>
      <c r="N34" s="37">
        <v>300</v>
      </c>
      <c r="O34" s="61" t="s">
        <v>173</v>
      </c>
      <c r="P34" s="38">
        <v>1.1999999999999999E-3</v>
      </c>
      <c r="Q34" s="38">
        <f>P34*N34</f>
        <v>0.36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200</v>
      </c>
      <c r="N35" s="51">
        <v>300</v>
      </c>
      <c r="O35" s="61" t="s">
        <v>173</v>
      </c>
      <c r="P35" s="52">
        <v>1.1000000000000001E-3</v>
      </c>
      <c r="Q35" s="52">
        <f t="shared" ref="Q35:Q36" si="11">P35*N35</f>
        <v>0.33</v>
      </c>
      <c r="R35" s="51"/>
      <c r="S35" s="59"/>
    </row>
    <row r="36" spans="1:19" s="75" customFormat="1" ht="30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50</v>
      </c>
      <c r="N36" s="51">
        <v>51</v>
      </c>
      <c r="O36" s="61" t="s">
        <v>240</v>
      </c>
      <c r="P36" s="52">
        <v>40.941549999999999</v>
      </c>
      <c r="Q36" s="52">
        <f t="shared" si="11"/>
        <v>2088.0190499999999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50</v>
      </c>
      <c r="N37" s="37">
        <v>51</v>
      </c>
      <c r="O37" s="61" t="s">
        <v>173</v>
      </c>
      <c r="P37" s="38">
        <v>0.47410000000000002</v>
      </c>
      <c r="Q37" s="38">
        <f>P37*N37</f>
        <v>24.179100000000002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100</v>
      </c>
      <c r="N38" s="37">
        <v>120</v>
      </c>
      <c r="O38" s="61" t="s">
        <v>173</v>
      </c>
      <c r="P38" s="38">
        <v>5.3800000000000001E-2</v>
      </c>
      <c r="Q38" s="38">
        <f>P38*N38</f>
        <v>6.4560000000000004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50</v>
      </c>
      <c r="N39" s="51">
        <v>51</v>
      </c>
      <c r="O39" s="61" t="s">
        <v>173</v>
      </c>
      <c r="P39" s="52">
        <v>0.3866</v>
      </c>
      <c r="Q39" s="52">
        <f t="shared" ref="Q39:Q41" si="12">P39*N39</f>
        <v>19.7166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37">
        <f t="shared" si="1"/>
        <v>50</v>
      </c>
      <c r="N40" s="51">
        <v>50</v>
      </c>
      <c r="O40" s="61" t="s">
        <v>173</v>
      </c>
      <c r="P40" s="52">
        <v>1.6466000000000001</v>
      </c>
      <c r="Q40" s="52">
        <f t="shared" si="12"/>
        <v>82.33</v>
      </c>
      <c r="R40" s="51"/>
      <c r="S40" s="39"/>
    </row>
    <row r="41" spans="1:19" s="75" customFormat="1" ht="15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214</v>
      </c>
      <c r="F41" s="51"/>
      <c r="G41" s="51" t="s">
        <v>212</v>
      </c>
      <c r="H41" s="51" t="s">
        <v>213</v>
      </c>
      <c r="I41" s="51" t="s">
        <v>172</v>
      </c>
      <c r="J41" s="51" t="s">
        <v>215</v>
      </c>
      <c r="K41" s="51" t="s">
        <v>172</v>
      </c>
      <c r="L41" s="51">
        <v>1</v>
      </c>
      <c r="M41" s="37">
        <f t="shared" si="1"/>
        <v>50</v>
      </c>
      <c r="N41" s="51">
        <v>50</v>
      </c>
      <c r="O41" s="61" t="s">
        <v>173</v>
      </c>
      <c r="P41" s="52">
        <v>0.80559999999999998</v>
      </c>
      <c r="Q41" s="52">
        <f t="shared" si="12"/>
        <v>40.28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2416.2582500000003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Q43/50</f>
        <v>48.325165000000005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drawing r:id="rId3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abSelected="1" topLeftCell="A31" workbookViewId="0">
      <selection activeCell="O36" sqref="O36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140625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228</v>
      </c>
      <c r="N9" s="30" t="s">
        <v>229</v>
      </c>
      <c r="O9" s="30" t="s">
        <v>166</v>
      </c>
      <c r="P9" s="30" t="s">
        <v>230</v>
      </c>
      <c r="Q9" s="30" t="s">
        <v>231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L10*100</f>
        <v>100</v>
      </c>
      <c r="N10" s="37">
        <v>101</v>
      </c>
      <c r="O10" s="61" t="s">
        <v>205</v>
      </c>
      <c r="P10" s="38">
        <v>1.1501999999999999</v>
      </c>
      <c r="Q10" s="38">
        <f>P10*N10</f>
        <v>116.17019999999999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37">
        <f t="shared" ref="M11:M41" si="1">L11*100</f>
        <v>100</v>
      </c>
      <c r="N11" s="51">
        <v>200</v>
      </c>
      <c r="O11" s="60" t="s">
        <v>173</v>
      </c>
      <c r="P11" s="52">
        <v>4.0000000000000001E-3</v>
      </c>
      <c r="Q11" s="52">
        <f t="shared" ref="Q11" si="2">P11*N11</f>
        <v>0.8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100</v>
      </c>
      <c r="N12" s="37">
        <v>200</v>
      </c>
      <c r="O12" s="61" t="s">
        <v>173</v>
      </c>
      <c r="P12" s="38">
        <v>1.6000000000000001E-3</v>
      </c>
      <c r="Q12" s="38">
        <f>P12*N12</f>
        <v>0.32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600</v>
      </c>
      <c r="N13" s="51">
        <v>700</v>
      </c>
      <c r="O13" s="60" t="s">
        <v>173</v>
      </c>
      <c r="P13" s="52">
        <v>2.3999999999999998E-3</v>
      </c>
      <c r="Q13" s="52">
        <f t="shared" ref="Q13" si="3">P13*N13</f>
        <v>1.68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 t="shared" si="1"/>
        <v>100</v>
      </c>
      <c r="N14" s="37">
        <v>105</v>
      </c>
      <c r="O14" s="61" t="s">
        <v>173</v>
      </c>
      <c r="P14" s="38">
        <v>0.16839999999999999</v>
      </c>
      <c r="Q14" s="38">
        <f>P14*N14</f>
        <v>17.681999999999999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100</v>
      </c>
      <c r="N15" s="51">
        <v>200</v>
      </c>
      <c r="O15" s="60" t="s">
        <v>173</v>
      </c>
      <c r="P15" s="52">
        <v>5.1999999999999998E-3</v>
      </c>
      <c r="Q15" s="52">
        <f t="shared" ref="Q15" si="4">P15*N15</f>
        <v>1.04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300</v>
      </c>
      <c r="N16" s="37">
        <v>400</v>
      </c>
      <c r="O16" s="61" t="s">
        <v>173</v>
      </c>
      <c r="P16" s="38">
        <v>1E-3</v>
      </c>
      <c r="Q16" s="38">
        <f>P16*N16</f>
        <v>0.4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200</v>
      </c>
      <c r="N17" s="51">
        <v>250</v>
      </c>
      <c r="O17" s="61" t="s">
        <v>173</v>
      </c>
      <c r="P17" s="52">
        <v>1.41E-2</v>
      </c>
      <c r="Q17" s="52">
        <f t="shared" ref="Q17" si="5">P17*N17</f>
        <v>3.5249999999999999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100</v>
      </c>
      <c r="N18" s="37">
        <v>105</v>
      </c>
      <c r="O18" s="61" t="s">
        <v>173</v>
      </c>
      <c r="P18" s="38">
        <v>8.48E-2</v>
      </c>
      <c r="Q18" s="38">
        <f>P18*N18</f>
        <v>8.9039999999999999</v>
      </c>
      <c r="R18" s="37"/>
      <c r="S18" s="59"/>
    </row>
    <row r="19" spans="1:19" s="75" customFormat="1" ht="36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200</v>
      </c>
      <c r="N19" s="51">
        <v>220</v>
      </c>
      <c r="O19" s="61" t="s">
        <v>173</v>
      </c>
      <c r="P19" s="52">
        <v>2.5700000000000001E-2</v>
      </c>
      <c r="Q19" s="52">
        <f t="shared" ref="Q19" si="6">P19*N19</f>
        <v>5.6539999999999999</v>
      </c>
      <c r="R19" s="51"/>
      <c r="S19" s="59"/>
    </row>
    <row r="20" spans="1:19" s="75" customFormat="1" ht="24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100</v>
      </c>
      <c r="N20" s="37">
        <v>110</v>
      </c>
      <c r="O20" s="61" t="s">
        <v>173</v>
      </c>
      <c r="P20" s="38">
        <v>4.3900000000000002E-2</v>
      </c>
      <c r="Q20" s="38">
        <f>P20*N20</f>
        <v>4.8289999999999997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100</v>
      </c>
      <c r="N21" s="51">
        <v>110</v>
      </c>
      <c r="O21" s="61" t="s">
        <v>173</v>
      </c>
      <c r="P21" s="52">
        <v>7.0999999999999994E-2</v>
      </c>
      <c r="Q21" s="52">
        <f t="shared" ref="Q21" si="7">P21*N21</f>
        <v>7.81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100</v>
      </c>
      <c r="N22" s="37">
        <v>110</v>
      </c>
      <c r="O22" s="61" t="s">
        <v>173</v>
      </c>
      <c r="P22" s="38">
        <v>3.7699999999999997E-2</v>
      </c>
      <c r="Q22" s="38">
        <f>P22*N22</f>
        <v>4.1469999999999994</v>
      </c>
      <c r="R22" s="37"/>
      <c r="S22" s="59"/>
    </row>
    <row r="23" spans="1:19" s="75" customFormat="1" ht="48" x14ac:dyDescent="0.25">
      <c r="A23" s="73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 t="s">
        <v>172</v>
      </c>
      <c r="L23" s="51">
        <v>1</v>
      </c>
      <c r="M23" s="37">
        <f t="shared" si="1"/>
        <v>100</v>
      </c>
      <c r="N23" s="37">
        <v>101</v>
      </c>
      <c r="O23" s="60" t="s">
        <v>173</v>
      </c>
      <c r="P23" s="52">
        <v>0.51870000000000005</v>
      </c>
      <c r="Q23" s="52">
        <f t="shared" ref="Q23" si="8">P23*N23</f>
        <v>52.388700000000007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100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100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200</v>
      </c>
      <c r="N26" s="37">
        <v>201</v>
      </c>
      <c r="O26" s="61" t="s">
        <v>173</v>
      </c>
      <c r="P26" s="38">
        <v>0.22359999999999999</v>
      </c>
      <c r="Q26" s="38">
        <f>P26*N26</f>
        <v>44.943599999999996</v>
      </c>
      <c r="R26" s="37"/>
      <c r="S26" s="59"/>
    </row>
    <row r="27" spans="1:19" s="75" customFormat="1" ht="36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100</v>
      </c>
      <c r="N27" s="37">
        <v>120</v>
      </c>
      <c r="O27" s="61" t="s">
        <v>173</v>
      </c>
      <c r="P27" s="38">
        <v>3.1300000000000001E-2</v>
      </c>
      <c r="Q27" s="38">
        <f>P27*N27</f>
        <v>3.7560000000000002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100</v>
      </c>
      <c r="N28" s="51">
        <v>110</v>
      </c>
      <c r="O28" s="61" t="s">
        <v>173</v>
      </c>
      <c r="P28" s="52">
        <v>4.2599999999999999E-2</v>
      </c>
      <c r="Q28" s="52">
        <f t="shared" ref="Q28" si="9">P28*N28</f>
        <v>4.6859999999999999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400</v>
      </c>
      <c r="N29" s="37">
        <v>420</v>
      </c>
      <c r="O29" s="61" t="s">
        <v>173</v>
      </c>
      <c r="P29" s="38">
        <v>2.7099999999999999E-2</v>
      </c>
      <c r="Q29" s="38">
        <f>P29*N29</f>
        <v>11.382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300</v>
      </c>
      <c r="N30" s="37">
        <v>400</v>
      </c>
      <c r="O30" s="61" t="s">
        <v>173</v>
      </c>
      <c r="P30" s="38">
        <v>1.5E-3</v>
      </c>
      <c r="Q30" s="38">
        <f>P30*N30</f>
        <v>0.6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200</v>
      </c>
      <c r="N31" s="37">
        <v>300</v>
      </c>
      <c r="O31" s="61" t="s">
        <v>173</v>
      </c>
      <c r="P31" s="38">
        <v>1.1999999999999999E-3</v>
      </c>
      <c r="Q31" s="38">
        <f>P31*N31</f>
        <v>0.36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200</v>
      </c>
      <c r="N32" s="51">
        <v>300</v>
      </c>
      <c r="O32" s="61" t="s">
        <v>173</v>
      </c>
      <c r="P32" s="52">
        <v>1.2999999999999999E-3</v>
      </c>
      <c r="Q32" s="52">
        <f t="shared" ref="Q32:Q33" si="10">P32*N32</f>
        <v>0.38999999999999996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200</v>
      </c>
      <c r="N33" s="51">
        <v>300</v>
      </c>
      <c r="O33" s="61" t="s">
        <v>173</v>
      </c>
      <c r="P33" s="52">
        <v>1.2999999999999999E-3</v>
      </c>
      <c r="Q33" s="52">
        <f t="shared" si="10"/>
        <v>0.38999999999999996</v>
      </c>
      <c r="R33" s="51"/>
      <c r="S33" s="59"/>
    </row>
    <row r="34" spans="1:19" s="75" customFormat="1" ht="24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400</v>
      </c>
      <c r="N34" s="37">
        <v>500</v>
      </c>
      <c r="O34" s="61" t="s">
        <v>173</v>
      </c>
      <c r="P34" s="38">
        <v>1.1999999999999999E-3</v>
      </c>
      <c r="Q34" s="38">
        <f>P34*N34</f>
        <v>0.6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400</v>
      </c>
      <c r="N35" s="51">
        <v>500</v>
      </c>
      <c r="O35" s="61" t="s">
        <v>173</v>
      </c>
      <c r="P35" s="52">
        <v>1.1000000000000001E-3</v>
      </c>
      <c r="Q35" s="52">
        <f t="shared" ref="Q35:Q36" si="11">P35*N35</f>
        <v>0.55000000000000004</v>
      </c>
      <c r="R35" s="51"/>
      <c r="S35" s="59"/>
    </row>
    <row r="36" spans="1:19" s="75" customFormat="1" ht="30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100</v>
      </c>
      <c r="N36" s="51">
        <v>101</v>
      </c>
      <c r="O36" s="61" t="s">
        <v>240</v>
      </c>
      <c r="P36" s="52">
        <v>36.21752</v>
      </c>
      <c r="Q36" s="52">
        <f t="shared" si="11"/>
        <v>3657.9695200000001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100</v>
      </c>
      <c r="N37" s="37">
        <v>101</v>
      </c>
      <c r="O37" s="61" t="s">
        <v>173</v>
      </c>
      <c r="P37" s="38">
        <v>0.4128</v>
      </c>
      <c r="Q37" s="38">
        <f>P37*N37</f>
        <v>41.692799999999998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200</v>
      </c>
      <c r="N38" s="37">
        <v>220</v>
      </c>
      <c r="O38" s="61" t="s">
        <v>173</v>
      </c>
      <c r="P38" s="38">
        <v>4.2700000000000002E-2</v>
      </c>
      <c r="Q38" s="38">
        <f>P38*N38</f>
        <v>9.3940000000000001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100</v>
      </c>
      <c r="N39" s="51">
        <v>101</v>
      </c>
      <c r="O39" s="61" t="s">
        <v>173</v>
      </c>
      <c r="P39" s="52">
        <v>0.3866</v>
      </c>
      <c r="Q39" s="52">
        <f t="shared" ref="Q39:Q41" si="12">P39*N39</f>
        <v>39.046599999999998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37">
        <f t="shared" si="1"/>
        <v>100</v>
      </c>
      <c r="N40" s="51">
        <v>100</v>
      </c>
      <c r="O40" s="61" t="s">
        <v>173</v>
      </c>
      <c r="P40" s="52">
        <v>1.4732000000000001</v>
      </c>
      <c r="Q40" s="52">
        <f t="shared" si="12"/>
        <v>147.32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214</v>
      </c>
      <c r="F41" s="51"/>
      <c r="G41" s="51" t="s">
        <v>212</v>
      </c>
      <c r="H41" s="51" t="s">
        <v>213</v>
      </c>
      <c r="I41" s="51" t="s">
        <v>172</v>
      </c>
      <c r="J41" s="51" t="s">
        <v>215</v>
      </c>
      <c r="K41" s="51" t="s">
        <v>172</v>
      </c>
      <c r="L41" s="51">
        <v>1</v>
      </c>
      <c r="M41" s="37">
        <f t="shared" si="1"/>
        <v>100</v>
      </c>
      <c r="N41" s="51">
        <v>100</v>
      </c>
      <c r="O41" s="61" t="s">
        <v>173</v>
      </c>
      <c r="P41" s="52">
        <v>0.63790000000000002</v>
      </c>
      <c r="Q41" s="52">
        <f t="shared" si="12"/>
        <v>63.79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4252.2204199999996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Q43/100</f>
        <v>42.522204199999997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E25" workbookViewId="0">
      <selection activeCell="O36" sqref="O36"/>
    </sheetView>
  </sheetViews>
  <sheetFormatPr defaultRowHeight="15" x14ac:dyDescent="0.25"/>
  <cols>
    <col min="2" max="2" width="3" bestFit="1" customWidth="1"/>
    <col min="3" max="3" width="10.85546875" customWidth="1"/>
    <col min="4" max="4" width="31.140625" bestFit="1" customWidth="1"/>
    <col min="5" max="5" width="31.28515625" bestFit="1" customWidth="1"/>
    <col min="6" max="6" width="15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232</v>
      </c>
      <c r="N9" s="30" t="s">
        <v>233</v>
      </c>
      <c r="O9" s="30" t="s">
        <v>166</v>
      </c>
      <c r="P9" s="30" t="s">
        <v>234</v>
      </c>
      <c r="Q9" s="30" t="s">
        <v>235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L10*500</f>
        <v>500</v>
      </c>
      <c r="N10" s="37">
        <v>501</v>
      </c>
      <c r="O10" s="61" t="s">
        <v>205</v>
      </c>
      <c r="P10" s="38">
        <v>0.94499999999999995</v>
      </c>
      <c r="Q10" s="38">
        <f>P10*N10</f>
        <v>473.44499999999999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37">
        <f t="shared" ref="M11:M41" si="1">L11*500</f>
        <v>500</v>
      </c>
      <c r="N11" s="51">
        <v>600</v>
      </c>
      <c r="O11" s="60" t="s">
        <v>173</v>
      </c>
      <c r="P11" s="52">
        <v>4.0000000000000001E-3</v>
      </c>
      <c r="Q11" s="52">
        <f t="shared" ref="Q11" si="2">P11*N11</f>
        <v>2.4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500</v>
      </c>
      <c r="N12" s="37">
        <v>600</v>
      </c>
      <c r="O12" s="61" t="s">
        <v>173</v>
      </c>
      <c r="P12" s="38">
        <v>1.6000000000000001E-3</v>
      </c>
      <c r="Q12" s="38">
        <f>P12*N12</f>
        <v>0.96000000000000008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3000</v>
      </c>
      <c r="N13" s="51">
        <v>3100</v>
      </c>
      <c r="O13" s="60" t="s">
        <v>173</v>
      </c>
      <c r="P13" s="52">
        <v>1.8E-3</v>
      </c>
      <c r="Q13" s="52">
        <f t="shared" ref="Q13" si="3">P13*N13</f>
        <v>5.58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 t="shared" si="1"/>
        <v>500</v>
      </c>
      <c r="N14" s="37">
        <v>505</v>
      </c>
      <c r="O14" s="61" t="s">
        <v>173</v>
      </c>
      <c r="P14" s="38">
        <v>0.12709999999999999</v>
      </c>
      <c r="Q14" s="38">
        <f>P14*N14</f>
        <v>64.18549999999999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500</v>
      </c>
      <c r="N15" s="51">
        <v>600</v>
      </c>
      <c r="O15" s="60" t="s">
        <v>173</v>
      </c>
      <c r="P15" s="52">
        <v>5.1999999999999998E-3</v>
      </c>
      <c r="Q15" s="52">
        <f t="shared" ref="Q15" si="4">P15*N15</f>
        <v>3.1199999999999997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1500</v>
      </c>
      <c r="N16" s="37">
        <v>1600</v>
      </c>
      <c r="O16" s="61" t="s">
        <v>173</v>
      </c>
      <c r="P16" s="38">
        <v>8.0000000000000004E-4</v>
      </c>
      <c r="Q16" s="38">
        <f>P16*N16</f>
        <v>1.28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1000</v>
      </c>
      <c r="N17" s="51">
        <v>1050</v>
      </c>
      <c r="O17" s="61" t="s">
        <v>173</v>
      </c>
      <c r="P17" s="52">
        <v>1.12E-2</v>
      </c>
      <c r="Q17" s="52">
        <f t="shared" ref="Q17" si="5">P17*N17</f>
        <v>11.76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500</v>
      </c>
      <c r="N18" s="37">
        <v>510</v>
      </c>
      <c r="O18" s="61" t="s">
        <v>173</v>
      </c>
      <c r="P18" s="38">
        <v>6.5199999999999994E-2</v>
      </c>
      <c r="Q18" s="38">
        <f>P18*N18</f>
        <v>33.251999999999995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1000</v>
      </c>
      <c r="N19" s="51">
        <v>1020</v>
      </c>
      <c r="O19" s="61" t="s">
        <v>173</v>
      </c>
      <c r="P19" s="52">
        <v>2.1299999999999999E-2</v>
      </c>
      <c r="Q19" s="52">
        <f t="shared" ref="Q19" si="6">P19*N19</f>
        <v>21.725999999999999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500</v>
      </c>
      <c r="N20" s="37">
        <v>510</v>
      </c>
      <c r="O20" s="61" t="s">
        <v>173</v>
      </c>
      <c r="P20" s="38">
        <v>3.8699999999999998E-2</v>
      </c>
      <c r="Q20" s="38">
        <f>P20*N20</f>
        <v>19.736999999999998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500</v>
      </c>
      <c r="N21" s="51">
        <v>510</v>
      </c>
      <c r="O21" s="61" t="s">
        <v>173</v>
      </c>
      <c r="P21" s="52">
        <v>5.9799999999999999E-2</v>
      </c>
      <c r="Q21" s="52">
        <f t="shared" ref="Q21" si="7">P21*N21</f>
        <v>30.498000000000001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500</v>
      </c>
      <c r="N22" s="37">
        <v>510</v>
      </c>
      <c r="O22" s="61" t="s">
        <v>173</v>
      </c>
      <c r="P22" s="38">
        <v>3.39E-2</v>
      </c>
      <c r="Q22" s="38">
        <f>P22*N22</f>
        <v>17.289000000000001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 t="s">
        <v>172</v>
      </c>
      <c r="L23" s="51">
        <v>1</v>
      </c>
      <c r="M23" s="37">
        <f t="shared" si="1"/>
        <v>500</v>
      </c>
      <c r="N23" s="37">
        <v>501</v>
      </c>
      <c r="O23" s="60" t="s">
        <v>173</v>
      </c>
      <c r="P23" s="52">
        <v>0.47410000000000002</v>
      </c>
      <c r="Q23" s="52">
        <f t="shared" ref="Q23" si="8">P23*N23</f>
        <v>237.5241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500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500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1000</v>
      </c>
      <c r="N26" s="37">
        <v>1001</v>
      </c>
      <c r="O26" s="61" t="s">
        <v>173</v>
      </c>
      <c r="P26" s="38">
        <v>0.20610000000000001</v>
      </c>
      <c r="Q26" s="38">
        <f>P26*N26</f>
        <v>206.30610000000001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500</v>
      </c>
      <c r="N27" s="37">
        <v>520</v>
      </c>
      <c r="O27" s="61" t="s">
        <v>173</v>
      </c>
      <c r="P27" s="38">
        <v>2.5100000000000001E-2</v>
      </c>
      <c r="Q27" s="38">
        <f>P27*N27</f>
        <v>13.052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500</v>
      </c>
      <c r="N28" s="51">
        <v>510</v>
      </c>
      <c r="O28" s="61" t="s">
        <v>173</v>
      </c>
      <c r="P28" s="52">
        <v>3.8100000000000002E-2</v>
      </c>
      <c r="Q28" s="52">
        <f t="shared" ref="Q28" si="9">P28*N28</f>
        <v>19.431000000000001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2000</v>
      </c>
      <c r="N29" s="37">
        <v>2020</v>
      </c>
      <c r="O29" s="61" t="s">
        <v>173</v>
      </c>
      <c r="P29" s="38">
        <v>1.9E-2</v>
      </c>
      <c r="Q29" s="38">
        <f>P29*N29</f>
        <v>38.380000000000003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1500</v>
      </c>
      <c r="N30" s="37">
        <v>1600</v>
      </c>
      <c r="O30" s="61" t="s">
        <v>173</v>
      </c>
      <c r="P30" s="38">
        <v>1.5E-3</v>
      </c>
      <c r="Q30" s="38">
        <f>P30*N30</f>
        <v>2.4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1000</v>
      </c>
      <c r="N31" s="37">
        <v>1100</v>
      </c>
      <c r="O31" s="61" t="s">
        <v>173</v>
      </c>
      <c r="P31" s="38">
        <v>1E-3</v>
      </c>
      <c r="Q31" s="38">
        <f>P31*N31</f>
        <v>1.1000000000000001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1000</v>
      </c>
      <c r="N32" s="51">
        <v>1100</v>
      </c>
      <c r="O32" s="61" t="s">
        <v>173</v>
      </c>
      <c r="P32" s="52">
        <v>1E-3</v>
      </c>
      <c r="Q32" s="52">
        <f t="shared" ref="Q32:Q33" si="10">P32*N32</f>
        <v>1.1000000000000001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1000</v>
      </c>
      <c r="N33" s="51">
        <v>1100</v>
      </c>
      <c r="O33" s="61" t="s">
        <v>173</v>
      </c>
      <c r="P33" s="52">
        <v>1E-3</v>
      </c>
      <c r="Q33" s="52">
        <f t="shared" si="10"/>
        <v>1.1000000000000001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2000</v>
      </c>
      <c r="N34" s="37">
        <v>2100</v>
      </c>
      <c r="O34" s="61" t="s">
        <v>173</v>
      </c>
      <c r="P34" s="38">
        <v>8.9999999999999998E-4</v>
      </c>
      <c r="Q34" s="38">
        <f>P34*N34</f>
        <v>1.89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2000</v>
      </c>
      <c r="N35" s="51">
        <v>2100</v>
      </c>
      <c r="O35" s="61" t="s">
        <v>173</v>
      </c>
      <c r="P35" s="52">
        <v>8.0000000000000004E-4</v>
      </c>
      <c r="Q35" s="52">
        <f t="shared" ref="Q35:Q36" si="11">P35*N35</f>
        <v>1.6800000000000002</v>
      </c>
      <c r="R35" s="51"/>
      <c r="S35" s="59"/>
    </row>
    <row r="36" spans="1:19" s="75" customFormat="1" ht="30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500</v>
      </c>
      <c r="N36" s="51">
        <v>501</v>
      </c>
      <c r="O36" s="61" t="s">
        <v>240</v>
      </c>
      <c r="P36" s="52">
        <v>34.012979999999999</v>
      </c>
      <c r="Q36" s="52">
        <f t="shared" si="11"/>
        <v>17040.502980000001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500</v>
      </c>
      <c r="N37" s="37">
        <v>501</v>
      </c>
      <c r="O37" s="61" t="s">
        <v>173</v>
      </c>
      <c r="P37" s="38">
        <v>0.37809999999999999</v>
      </c>
      <c r="Q37" s="38">
        <f>P37*N37</f>
        <v>189.4281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1000</v>
      </c>
      <c r="N38" s="37">
        <v>1020</v>
      </c>
      <c r="O38" s="61" t="s">
        <v>173</v>
      </c>
      <c r="P38" s="38">
        <v>3.7100000000000001E-2</v>
      </c>
      <c r="Q38" s="38">
        <f>P38*N38</f>
        <v>37.841999999999999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500</v>
      </c>
      <c r="N39" s="51">
        <v>501</v>
      </c>
      <c r="O39" s="61" t="s">
        <v>173</v>
      </c>
      <c r="P39" s="52">
        <v>0.43280000000000002</v>
      </c>
      <c r="Q39" s="52">
        <f t="shared" ref="Q39:Q41" si="12">P39*N39</f>
        <v>216.83280000000002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37">
        <f t="shared" si="1"/>
        <v>500</v>
      </c>
      <c r="N40" s="51">
        <v>500</v>
      </c>
      <c r="O40" s="61" t="s">
        <v>173</v>
      </c>
      <c r="P40" s="52">
        <v>1.4732000000000001</v>
      </c>
      <c r="Q40" s="52">
        <f t="shared" si="12"/>
        <v>736.6</v>
      </c>
      <c r="R40" s="51"/>
      <c r="S40" s="39"/>
    </row>
    <row r="41" spans="1:19" s="75" customFormat="1" ht="15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214</v>
      </c>
      <c r="F41" s="51"/>
      <c r="G41" s="51" t="s">
        <v>212</v>
      </c>
      <c r="H41" s="51" t="s">
        <v>213</v>
      </c>
      <c r="I41" s="51" t="s">
        <v>172</v>
      </c>
      <c r="J41" s="51" t="s">
        <v>215</v>
      </c>
      <c r="K41" s="51" t="s">
        <v>172</v>
      </c>
      <c r="L41" s="51">
        <v>1</v>
      </c>
      <c r="M41" s="37">
        <f t="shared" si="1"/>
        <v>500</v>
      </c>
      <c r="N41" s="51">
        <v>500</v>
      </c>
      <c r="O41" s="61" t="s">
        <v>173</v>
      </c>
      <c r="P41" s="52">
        <v>0.59409999999999996</v>
      </c>
      <c r="Q41" s="52">
        <f t="shared" si="12"/>
        <v>297.04999999999995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19727.451580000001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Q43/500</f>
        <v>39.454903160000001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E24" workbookViewId="0">
      <selection activeCell="Q47" sqref="Q47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9.7109375" customWidth="1"/>
    <col min="6" max="6" width="14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7.5703125" bestFit="1" customWidth="1"/>
    <col min="16" max="16" width="21.85546875" bestFit="1" customWidth="1"/>
    <col min="17" max="17" width="22.42578125" bestFit="1" customWidth="1"/>
    <col min="18" max="18" width="10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236</v>
      </c>
      <c r="N9" s="30" t="s">
        <v>237</v>
      </c>
      <c r="O9" s="30" t="s">
        <v>166</v>
      </c>
      <c r="P9" s="30" t="s">
        <v>238</v>
      </c>
      <c r="Q9" s="30" t="s">
        <v>239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192</v>
      </c>
      <c r="D10" s="37" t="s">
        <v>193</v>
      </c>
      <c r="E10" s="37" t="s">
        <v>194</v>
      </c>
      <c r="F10" s="37" t="s">
        <v>171</v>
      </c>
      <c r="G10" s="37" t="s">
        <v>195</v>
      </c>
      <c r="H10" s="37" t="s">
        <v>196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L10*1000</f>
        <v>1000</v>
      </c>
      <c r="N10" s="37">
        <v>1002</v>
      </c>
      <c r="O10" s="61" t="s">
        <v>205</v>
      </c>
      <c r="P10" s="38">
        <v>0.78300000000000003</v>
      </c>
      <c r="Q10" s="38">
        <f>P10*N10</f>
        <v>784.56600000000003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197</v>
      </c>
      <c r="F11" s="51" t="s">
        <v>71</v>
      </c>
      <c r="G11" s="51" t="s">
        <v>198</v>
      </c>
      <c r="H11" s="51" t="s">
        <v>113</v>
      </c>
      <c r="I11" s="51" t="s">
        <v>172</v>
      </c>
      <c r="J11" s="51" t="s">
        <v>199</v>
      </c>
      <c r="K11" s="51" t="s">
        <v>200</v>
      </c>
      <c r="L11" s="51">
        <v>1</v>
      </c>
      <c r="M11" s="37">
        <f t="shared" ref="M11:M41" si="1">L11*1000</f>
        <v>1000</v>
      </c>
      <c r="N11" s="51">
        <v>1100</v>
      </c>
      <c r="O11" s="60" t="s">
        <v>173</v>
      </c>
      <c r="P11" s="52">
        <v>3.2000000000000002E-3</v>
      </c>
      <c r="Q11" s="52">
        <f t="shared" ref="Q11" si="2">P11*N11</f>
        <v>3.52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1000</v>
      </c>
      <c r="N12" s="37">
        <v>1100</v>
      </c>
      <c r="O12" s="61" t="s">
        <v>173</v>
      </c>
      <c r="P12" s="38">
        <v>1.2999999999999999E-3</v>
      </c>
      <c r="Q12" s="38">
        <f>P12*N12</f>
        <v>1.43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191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6000</v>
      </c>
      <c r="N13" s="51">
        <v>6100</v>
      </c>
      <c r="O13" s="60" t="s">
        <v>173</v>
      </c>
      <c r="P13" s="52">
        <v>2.3999999999999998E-3</v>
      </c>
      <c r="Q13" s="52">
        <f t="shared" ref="Q13" si="3">P13*N13</f>
        <v>14.639999999999999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185</v>
      </c>
      <c r="F14" s="37" t="s">
        <v>186</v>
      </c>
      <c r="G14" s="37" t="s">
        <v>187</v>
      </c>
      <c r="H14" s="37" t="s">
        <v>188</v>
      </c>
      <c r="I14" s="37" t="s">
        <v>172</v>
      </c>
      <c r="J14" s="37" t="s">
        <v>189</v>
      </c>
      <c r="K14" s="37" t="s">
        <v>151</v>
      </c>
      <c r="L14" s="37">
        <v>1</v>
      </c>
      <c r="M14" s="37">
        <f t="shared" si="1"/>
        <v>1000</v>
      </c>
      <c r="N14" s="37">
        <v>1005</v>
      </c>
      <c r="O14" s="61" t="s">
        <v>173</v>
      </c>
      <c r="P14" s="38">
        <v>0.12709999999999999</v>
      </c>
      <c r="Q14" s="38">
        <f>P14*N14</f>
        <v>127.73549999999999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1000</v>
      </c>
      <c r="N15" s="51">
        <v>1100</v>
      </c>
      <c r="O15" s="60" t="s">
        <v>173</v>
      </c>
      <c r="P15" s="52">
        <v>4.1000000000000003E-3</v>
      </c>
      <c r="Q15" s="52">
        <f t="shared" ref="Q15" si="4">P15*N15</f>
        <v>4.5100000000000007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3000</v>
      </c>
      <c r="N16" s="37">
        <v>3100</v>
      </c>
      <c r="O16" s="61" t="s">
        <v>173</v>
      </c>
      <c r="P16" s="38">
        <v>6.9999999999999999E-4</v>
      </c>
      <c r="Q16" s="38">
        <f>P16*N16</f>
        <v>2.17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2000</v>
      </c>
      <c r="N17" s="51">
        <v>2050</v>
      </c>
      <c r="O17" s="61" t="s">
        <v>173</v>
      </c>
      <c r="P17" s="52">
        <v>9.4999999999999998E-3</v>
      </c>
      <c r="Q17" s="52">
        <f t="shared" ref="Q17" si="5">P17*N17</f>
        <v>19.474999999999998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1000</v>
      </c>
      <c r="N18" s="37">
        <v>1005</v>
      </c>
      <c r="O18" s="61" t="s">
        <v>173</v>
      </c>
      <c r="P18" s="38">
        <v>6.5199999999999994E-2</v>
      </c>
      <c r="Q18" s="38">
        <f>P18*N18</f>
        <v>65.525999999999996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2000</v>
      </c>
      <c r="N19" s="51">
        <v>2060</v>
      </c>
      <c r="O19" s="61" t="s">
        <v>173</v>
      </c>
      <c r="P19" s="52">
        <v>1.7600000000000001E-2</v>
      </c>
      <c r="Q19" s="52">
        <f t="shared" ref="Q19" si="6">P19*N19</f>
        <v>36.256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1000</v>
      </c>
      <c r="N20" s="37">
        <v>1010</v>
      </c>
      <c r="O20" s="61" t="s">
        <v>173</v>
      </c>
      <c r="P20" s="38">
        <v>3.4700000000000002E-2</v>
      </c>
      <c r="Q20" s="38">
        <f>P20*N20</f>
        <v>35.047000000000004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1000</v>
      </c>
      <c r="N21" s="51">
        <v>1010</v>
      </c>
      <c r="O21" s="61" t="s">
        <v>173</v>
      </c>
      <c r="P21" s="52">
        <v>5.0599999999999999E-2</v>
      </c>
      <c r="Q21" s="52">
        <f t="shared" ref="Q21" si="7">P21*N21</f>
        <v>51.106000000000002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1000</v>
      </c>
      <c r="N22" s="37">
        <v>1010</v>
      </c>
      <c r="O22" s="61" t="s">
        <v>173</v>
      </c>
      <c r="P22" s="38">
        <v>3.1099999999999999E-2</v>
      </c>
      <c r="Q22" s="38">
        <f>P22*N22</f>
        <v>31.410999999999998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216</v>
      </c>
      <c r="D23" s="51" t="s">
        <v>30</v>
      </c>
      <c r="E23" s="51" t="s">
        <v>217</v>
      </c>
      <c r="F23" s="51" t="s">
        <v>171</v>
      </c>
      <c r="G23" s="51" t="s">
        <v>218</v>
      </c>
      <c r="H23" s="51" t="s">
        <v>184</v>
      </c>
      <c r="I23" s="51" t="s">
        <v>172</v>
      </c>
      <c r="J23" s="51" t="s">
        <v>219</v>
      </c>
      <c r="K23" s="51" t="s">
        <v>172</v>
      </c>
      <c r="L23" s="51">
        <v>1</v>
      </c>
      <c r="M23" s="37">
        <f t="shared" si="1"/>
        <v>1000</v>
      </c>
      <c r="N23" s="37">
        <v>1001</v>
      </c>
      <c r="O23" s="60" t="s">
        <v>173</v>
      </c>
      <c r="P23" s="52">
        <v>0.45190000000000002</v>
      </c>
      <c r="Q23" s="52">
        <f t="shared" ref="Q23" si="8">P23*N23</f>
        <v>452.3519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1000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1000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201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2000</v>
      </c>
      <c r="N26" s="37">
        <v>2001</v>
      </c>
      <c r="O26" s="61" t="s">
        <v>173</v>
      </c>
      <c r="P26" s="38">
        <v>0.1981</v>
      </c>
      <c r="Q26" s="38">
        <f>P26*N26</f>
        <v>396.3981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1000</v>
      </c>
      <c r="N27" s="37">
        <v>1020</v>
      </c>
      <c r="O27" s="61" t="s">
        <v>173</v>
      </c>
      <c r="P27" s="38">
        <v>2.1700000000000001E-2</v>
      </c>
      <c r="Q27" s="38">
        <f>P27*N27</f>
        <v>22.134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1000</v>
      </c>
      <c r="N28" s="51">
        <v>1010</v>
      </c>
      <c r="O28" s="61" t="s">
        <v>173</v>
      </c>
      <c r="P28" s="52">
        <v>3.8100000000000002E-2</v>
      </c>
      <c r="Q28" s="52">
        <f t="shared" ref="Q28" si="9">P28*N28</f>
        <v>38.481000000000002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203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4000</v>
      </c>
      <c r="N29" s="37">
        <v>4020</v>
      </c>
      <c r="O29" s="61" t="s">
        <v>173</v>
      </c>
      <c r="P29" s="38">
        <v>1.9E-2</v>
      </c>
      <c r="Q29" s="38">
        <f>P29*N29</f>
        <v>76.38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206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3000</v>
      </c>
      <c r="N30" s="37">
        <v>3100</v>
      </c>
      <c r="O30" s="61" t="s">
        <v>173</v>
      </c>
      <c r="P30" s="38">
        <v>1.1999999999999999E-3</v>
      </c>
      <c r="Q30" s="38">
        <f>P30*N30</f>
        <v>3.7199999999999998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2000</v>
      </c>
      <c r="N31" s="37">
        <v>2100</v>
      </c>
      <c r="O31" s="61" t="s">
        <v>173</v>
      </c>
      <c r="P31" s="38">
        <v>1.1999999999999999E-3</v>
      </c>
      <c r="Q31" s="38">
        <f>P31*N31</f>
        <v>2.5199999999999996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207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2000</v>
      </c>
      <c r="N32" s="51">
        <v>2100</v>
      </c>
      <c r="O32" s="61" t="s">
        <v>173</v>
      </c>
      <c r="P32" s="52">
        <v>1E-3</v>
      </c>
      <c r="Q32" s="52">
        <f t="shared" ref="Q32:Q33" si="10">P32*N32</f>
        <v>2.1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2000</v>
      </c>
      <c r="N33" s="51">
        <v>2100</v>
      </c>
      <c r="O33" s="61" t="s">
        <v>173</v>
      </c>
      <c r="P33" s="52">
        <v>1E-3</v>
      </c>
      <c r="Q33" s="52">
        <f t="shared" si="10"/>
        <v>2.1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4000</v>
      </c>
      <c r="N34" s="37">
        <v>4100</v>
      </c>
      <c r="O34" s="61" t="s">
        <v>173</v>
      </c>
      <c r="P34" s="38">
        <v>8.9999999999999998E-4</v>
      </c>
      <c r="Q34" s="38">
        <f>P34*N34</f>
        <v>3.69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4000</v>
      </c>
      <c r="N35" s="51">
        <v>4100</v>
      </c>
      <c r="O35" s="61" t="s">
        <v>173</v>
      </c>
      <c r="P35" s="52">
        <v>8.0000000000000004E-4</v>
      </c>
      <c r="Q35" s="52">
        <f t="shared" ref="Q35:Q36" si="11">P35*N35</f>
        <v>3.2800000000000002</v>
      </c>
      <c r="R35" s="51"/>
      <c r="S35" s="59"/>
    </row>
    <row r="36" spans="1:19" s="75" customFormat="1" ht="30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1000</v>
      </c>
      <c r="N36" s="51">
        <v>1001</v>
      </c>
      <c r="O36" s="61" t="s">
        <v>240</v>
      </c>
      <c r="P36" s="52">
        <v>31.493500000000001</v>
      </c>
      <c r="Q36" s="52">
        <f t="shared" si="11"/>
        <v>31524.9935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1000</v>
      </c>
      <c r="N37" s="37">
        <v>1001</v>
      </c>
      <c r="O37" s="61" t="s">
        <v>173</v>
      </c>
      <c r="P37" s="38">
        <v>0.36080000000000001</v>
      </c>
      <c r="Q37" s="38">
        <f>P37*N37</f>
        <v>361.16079999999999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202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2000</v>
      </c>
      <c r="N38" s="37">
        <v>2020</v>
      </c>
      <c r="O38" s="61" t="s">
        <v>173</v>
      </c>
      <c r="P38" s="38">
        <v>3.7100000000000001E-2</v>
      </c>
      <c r="Q38" s="38">
        <f>P38*N38</f>
        <v>74.942000000000007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1000</v>
      </c>
      <c r="N39" s="51">
        <v>1001</v>
      </c>
      <c r="O39" s="61" t="s">
        <v>173</v>
      </c>
      <c r="P39" s="52">
        <v>0.3866</v>
      </c>
      <c r="Q39" s="52">
        <f t="shared" ref="Q39:Q41" si="12">P39*N39</f>
        <v>386.98660000000001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208</v>
      </c>
      <c r="F40" s="51" t="s">
        <v>172</v>
      </c>
      <c r="G40" s="51" t="s">
        <v>209</v>
      </c>
      <c r="H40" s="51" t="s">
        <v>210</v>
      </c>
      <c r="I40" s="51" t="s">
        <v>172</v>
      </c>
      <c r="J40" s="51" t="s">
        <v>211</v>
      </c>
      <c r="K40" s="51" t="s">
        <v>172</v>
      </c>
      <c r="L40" s="51">
        <v>1</v>
      </c>
      <c r="M40" s="37">
        <f t="shared" si="1"/>
        <v>1000</v>
      </c>
      <c r="N40" s="51">
        <v>1000</v>
      </c>
      <c r="O40" s="61" t="s">
        <v>173</v>
      </c>
      <c r="P40" s="52">
        <v>1.4732000000000001</v>
      </c>
      <c r="Q40" s="52">
        <f t="shared" si="12"/>
        <v>1473.2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214</v>
      </c>
      <c r="F41" s="51"/>
      <c r="G41" s="51" t="s">
        <v>212</v>
      </c>
      <c r="H41" s="51" t="s">
        <v>213</v>
      </c>
      <c r="I41" s="51" t="s">
        <v>172</v>
      </c>
      <c r="J41" s="51" t="s">
        <v>215</v>
      </c>
      <c r="K41" s="51" t="s">
        <v>172</v>
      </c>
      <c r="L41" s="51">
        <v>1</v>
      </c>
      <c r="M41" s="37">
        <f t="shared" si="1"/>
        <v>1000</v>
      </c>
      <c r="N41" s="51">
        <v>1000</v>
      </c>
      <c r="O41" s="61" t="s">
        <v>173</v>
      </c>
      <c r="P41" s="52">
        <v>0.57440000000000002</v>
      </c>
      <c r="Q41" s="52">
        <f t="shared" si="12"/>
        <v>574.4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204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36576.230399999993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Q43/1000</f>
        <v>36.576230399999993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2023-08-11T13:30:17Z</dcterms:modified>
</cp:coreProperties>
</file>