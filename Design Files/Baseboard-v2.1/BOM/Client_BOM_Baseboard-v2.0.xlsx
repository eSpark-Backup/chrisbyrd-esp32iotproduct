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Baseboard-v2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L93" i="1" l="1"/>
  <c r="B93" i="1"/>
  <c r="L92" i="1" l="1"/>
  <c r="B92" i="1"/>
  <c r="L62" i="1" l="1"/>
  <c r="B62" i="1"/>
  <c r="L91" i="1" l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<sst xmlns="http://schemas.openxmlformats.org/spreadsheetml/2006/main" count="691" uniqueCount="419">
  <si>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</si>
  <si>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</si>
  <si>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</si>
  <si>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</si>
  <si>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</si>
  <si>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</si>
  <si>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</si>
  <si>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</si>
  <si>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</si>
  <si>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</si>
  <si>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Ferrite Bead</t>
  </si>
  <si>
    <t>Terminal Block</t>
  </si>
  <si>
    <t>USB Connector</t>
  </si>
  <si>
    <t>Connector</t>
  </si>
  <si>
    <t>mPCI-E Connector</t>
  </si>
  <si>
    <t>Inductor</t>
  </si>
  <si>
    <t>LED</t>
  </si>
  <si>
    <t>Resistor</t>
  </si>
  <si>
    <t>Varistor</t>
  </si>
  <si>
    <t>Solder Bridge</t>
  </si>
  <si>
    <t>Tactile Switch</t>
  </si>
  <si>
    <t>IC</t>
  </si>
  <si>
    <t>Crystal</t>
  </si>
  <si>
    <t>Designator</t>
  </si>
  <si>
    <t>ANT1</t>
  </si>
  <si>
    <t>C1</t>
  </si>
  <si>
    <t>C2, C9, C10, C13, C16, C17, C22, C23, C24, C27, C28, C32, C33, C34, C35, C36, C37, C38, C40, C41, C42, C43, C44, C45, C54</t>
  </si>
  <si>
    <t>C4, C5, C6</t>
  </si>
  <si>
    <t>C7, C8</t>
  </si>
  <si>
    <t>C11</t>
  </si>
  <si>
    <t>C12</t>
  </si>
  <si>
    <t>C14</t>
  </si>
  <si>
    <t>C15</t>
  </si>
  <si>
    <t>C18, C21, C26, C39</t>
  </si>
  <si>
    <t>C29, C30</t>
  </si>
  <si>
    <t>C31, C46, C47</t>
  </si>
  <si>
    <t>D1</t>
  </si>
  <si>
    <t>D2</t>
  </si>
  <si>
    <t>D3</t>
  </si>
  <si>
    <t>D4</t>
  </si>
  <si>
    <t>D5, D12, D13</t>
  </si>
  <si>
    <t>D6, D7</t>
  </si>
  <si>
    <t>D8, D9, D10, D11</t>
  </si>
  <si>
    <t>D40, D41, D42, D43</t>
  </si>
  <si>
    <t>F1</t>
  </si>
  <si>
    <t>F2</t>
  </si>
  <si>
    <t>F19, F20, F21, F22</t>
  </si>
  <si>
    <t>FB1</t>
  </si>
  <si>
    <t>J1, J2, J4, J6, J7, J8, J10, J13</t>
  </si>
  <si>
    <t>J3</t>
  </si>
  <si>
    <t>J5, J9, J11, J14</t>
  </si>
  <si>
    <t>J12</t>
  </si>
  <si>
    <t>J17</t>
  </si>
  <si>
    <t>J19</t>
  </si>
  <si>
    <t>J20, J21</t>
  </si>
  <si>
    <t>K1, K2, K3</t>
  </si>
  <si>
    <t>L1</t>
  </si>
  <si>
    <t>L2</t>
  </si>
  <si>
    <t>LED1, LED3</t>
  </si>
  <si>
    <t>LED2</t>
  </si>
  <si>
    <t>Q1</t>
  </si>
  <si>
    <t>R1, R2</t>
  </si>
  <si>
    <t>R3</t>
  </si>
  <si>
    <t>R4</t>
  </si>
  <si>
    <t>R9</t>
  </si>
  <si>
    <t>R11, R29</t>
  </si>
  <si>
    <t>R14, R30</t>
  </si>
  <si>
    <t>R15, R16, R18, R19, R35, R36, R37, R38, R39, R40, R41, R42, R43, R44, R45, R46, R68, R69, R70, R71, R72, R77</t>
  </si>
  <si>
    <t>R17</t>
  </si>
  <si>
    <t>R25, R26, R32, R33</t>
  </si>
  <si>
    <t>R27</t>
  </si>
  <si>
    <t>R28</t>
  </si>
  <si>
    <t>R31</t>
  </si>
  <si>
    <t>R73, R74, R75, R76</t>
  </si>
  <si>
    <t>R78</t>
  </si>
  <si>
    <t>R87</t>
  </si>
  <si>
    <t>R90, R91</t>
  </si>
  <si>
    <t>R92</t>
  </si>
  <si>
    <t>SB1, SB2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</si>
  <si>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</si>
  <si>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</si>
  <si>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</si>
  <si>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</si>
  <si>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</si>
  <si>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</si>
  <si>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</si>
  <si>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</si>
  <si>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</si>
  <si>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</si>
  <si>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U11, U27, U28</t>
  </si>
  <si>
    <t>U20</t>
  </si>
  <si>
    <t>U30</t>
  </si>
  <si>
    <t>U31</t>
  </si>
  <si>
    <t>U32</t>
  </si>
  <si>
    <t>U33</t>
  </si>
  <si>
    <t>X1</t>
  </si>
  <si>
    <t>X2</t>
  </si>
  <si>
    <t>Description</t>
  </si>
  <si>
    <t>CAP CER 4700PF 50V C0G/NPO 0603</t>
  </si>
  <si>
    <t>CAP CER 0.1UF 100V X5R 0402</t>
  </si>
  <si>
    <t>CAP CER 10000PF 50V X7R 0402</t>
  </si>
  <si>
    <t>68uF 50V SMD,D6.3xL7.7mm Aluminum Electrolytic Capacitors - SMD ROHS</t>
  </si>
  <si>
    <t>CAP TANT 220UF 10% 10V 2917</t>
  </si>
  <si>
    <t>10uF 10V 8Ω@100kHz ±10% CASE-A-3216 Tantalum Capacitors ROHS</t>
  </si>
  <si>
    <t>47uF 6.3V 5Ω@100kHz ±10% CASE-A-3216 Tantalum Capacitors ROHS</t>
  </si>
  <si>
    <t>CAP TANT 330UF 20% 16V 2917</t>
  </si>
  <si>
    <t>CAP TANT 100UF 20% 10V 1411</t>
  </si>
  <si>
    <t>CAP CER 1UF 50V X5R 0402</t>
  </si>
  <si>
    <t>CAP CER 10UF 10V X5R 0402</t>
  </si>
  <si>
    <t>CAP CER 22PF 50V C0G/NPO 0402</t>
  </si>
  <si>
    <t>CAP CER 330PF 50V C0G/NPO 0603</t>
  </si>
  <si>
    <t>TVS DIODE 5VWM 6.3VC DSN0603-2</t>
  </si>
  <si>
    <t>58.1V 40V 36V Bi-Directional SMB(DO-214AA) TVS ROHS</t>
  </si>
  <si>
    <t>100V Single 650mV@20A 20A TO-277 Schottky Barrier Diodes (SBD) ROHS</t>
  </si>
  <si>
    <t>15V 19A 3.3V 4V Bidirectional SOD-323 ESD Protection Devices ROHS</t>
  </si>
  <si>
    <t>DIODE GEN PURP 75V 200MA SOD523F</t>
  </si>
  <si>
    <t>Single 5.2V~6V 200mW 5.6V SOD-323 Zener Diodes ROHS</t>
  </si>
  <si>
    <t>DIODE ZENER ARRAY 3.3V SOT363</t>
  </si>
  <si>
    <t>SMB(DO-214AA) TVS ROHS</t>
  </si>
  <si>
    <t>PTC RESET FUSE 6V 3A 1206</t>
  </si>
  <si>
    <t>30V 5A 5A 2920 Resettable Fuses ROHS</t>
  </si>
  <si>
    <t>9V 200mA 100A 500mA 0805 Resettable Fuses ROHS</t>
  </si>
  <si>
    <t>FERRITE BEAD 120 OHM 1206 1LN</t>
  </si>
  <si>
    <t>1x3P 18A -40℃~+105℃ 250V Black 12~30 Straight pin 5.08mm 2.5 1 3 Plugin,P=5.08mm Screw terminal ROHS</t>
  </si>
  <si>
    <t>250mA 1 16 Female Type-C SMD USB Connectors ROHS</t>
  </si>
  <si>
    <t>1x2P 18A -40℃~+105℃ 250V Black 12~30 Straight pin 5.08mm 2.5 1 2 Plugin,P=5.08mm Screw terminal ROHS</t>
  </si>
  <si>
    <t>1x6P SH 1 1mm 6 SMD,P=1mm Wire To Board / Wire To Wire Connector ROHS</t>
  </si>
  <si>
    <t>0.8mm mPCI-E Surface Mount 52 SMD,P=0.8mm Card Edge Connectors ROHS</t>
  </si>
  <si>
    <t>7A 10uH ±20% 10A SMD,10.3x10.5mm Power Inductors ROHS</t>
  </si>
  <si>
    <t>2nH ±0.3nH 0603 Inductors</t>
  </si>
  <si>
    <t>Green 520~535nm 0402 Light Emitting Diodes (LED) RoHS</t>
  </si>
  <si>
    <t>Red 632nm LED Indication - Discrete 2.05V 0603 (1608 Metric)</t>
  </si>
  <si>
    <t>Test Point ON</t>
  </si>
  <si>
    <t>TRANS PNP 40V 600MA SOT23-3</t>
  </si>
  <si>
    <t>RES SMD 5.1 KOHM 1% 1/5W 0402</t>
  </si>
  <si>
    <t>VARISTOR 47V 500A DISC 10MM</t>
  </si>
  <si>
    <t>RES SMD 1M OHM 5% 1/16W 0402</t>
  </si>
  <si>
    <t>RES SMD 10K OHM 1% 1/20W 0201</t>
  </si>
  <si>
    <t>RES 1K OHM 1% 1/20W 0201</t>
  </si>
  <si>
    <t>100mW Thick Film Resistors ±1% 3.24kΩ 0603 Chip Resistor - Surface Mount ROHS</t>
  </si>
  <si>
    <t>RES SMD 100K OHM 5% 1/20W 0201</t>
  </si>
  <si>
    <t>RES 470 OHM 5% 1/20W 0201</t>
  </si>
  <si>
    <t>RES 47K OHM 1% 1/16W 0402</t>
  </si>
  <si>
    <t>RES 4.7K OHM 1% 1/16W 0402</t>
  </si>
  <si>
    <t>RES 499 OHM 1% 1/16W 0402</t>
  </si>
  <si>
    <t>RES 56K OHM 1% 1/16W 0402</t>
  </si>
  <si>
    <t>RES 330K OHM 1% 1/10W 0603</t>
  </si>
  <si>
    <t>RES SMD 0402 150kOhm 5% Paper T/R</t>
  </si>
  <si>
    <t>RES SMD 68K OHM 0.1% 1/10W 0603</t>
  </si>
  <si>
    <t>RES 0 OHM JUMPER 1/16W 0402</t>
  </si>
  <si>
    <t>RES SMD 22 OHM 1% 1/5W 0402</t>
  </si>
  <si>
    <t>RES 120 OHM 1% 1/10W 0603</t>
  </si>
  <si>
    <t>RES SMD 68 OHM 0.1% 1/16W 0402</t>
  </si>
  <si>
    <t>RES SMD 680 OHM 1% 1/10W 0603</t>
  </si>
  <si>
    <t>RES 3.3K OHM 1% 1/16W 0402</t>
  </si>
  <si>
    <t>Solder Bridge ON</t>
  </si>
  <si>
    <t>50mA Lying SPST 24V Plugin Tactile Switches ROHS</t>
  </si>
  <si>
    <t>IC REG BUCK ADJUSTABLE 5A 8SOPWR</t>
  </si>
  <si>
    <t>1.6-V TO 5.5-V, 40-M, 2.5-A, LOW</t>
  </si>
  <si>
    <t>72dB@(120Hz) 5A Fixed 3.3V~3.3V Positive 12V TO-263-3 Linear Voltage Regulators (LDO) ROHS</t>
  </si>
  <si>
    <t>IC REG LDO ADJ 3A TO263-5</t>
  </si>
  <si>
    <t>IC FLASH 64M SPI 133MHZ 8SOIC</t>
  </si>
  <si>
    <t>SMD IC ESP32-S3R8, DUAL-CORE MCU</t>
  </si>
  <si>
    <t>IC AUTHENTICATION CHIP 8SOIC</t>
  </si>
  <si>
    <t>IC TELECOM INTERFACE 20SSOP</t>
  </si>
  <si>
    <t>IC RF SWITCH SPDT 3GHZ SOT23-6</t>
  </si>
  <si>
    <t>IC XPNDR 1.7MHZ I2C 28SSOP</t>
  </si>
  <si>
    <t>100uA@50V 3V@2V,300mA 1.6V@350mA 4mA@12V 100uA@50V 1.25V@350mA 500mA 25pF SOP-16_150mil Darlington Transistor Arrays ROHS</t>
  </si>
  <si>
    <t>IC TRANSCEIVER FULL 2/2 16SOIC</t>
  </si>
  <si>
    <t>SOP-8 RS-485/RS-422 ICs ROHS</t>
  </si>
  <si>
    <t>DGTL ISO 2.5KV GEN PURP 8SOIC</t>
  </si>
  <si>
    <t>40MHz SMD Crystal Resonator 15pF SMD3225-4P Crystals ROHS</t>
  </si>
  <si>
    <t>Footprint</t>
  </si>
  <si>
    <t>ANT*</t>
  </si>
  <si>
    <t>Cap-0603</t>
  </si>
  <si>
    <t>Cap-0402</t>
  </si>
  <si>
    <t>RVT1H680M0607</t>
  </si>
  <si>
    <t>Case-D</t>
  </si>
  <si>
    <t>Case-A</t>
  </si>
  <si>
    <t>Case-E</t>
  </si>
  <si>
    <t>Case-B</t>
  </si>
  <si>
    <t>DSN0603-2</t>
  </si>
  <si>
    <t>SMB_</t>
  </si>
  <si>
    <t>TO-277</t>
  </si>
  <si>
    <t>UDD32C03L01</t>
  </si>
  <si>
    <t>SOD-523F</t>
  </si>
  <si>
    <t>SOD-323</t>
  </si>
  <si>
    <t>SOT-363</t>
  </si>
  <si>
    <t>Fuse 1206 (3216 Metric)</t>
  </si>
  <si>
    <t>Fuse-2920</t>
  </si>
  <si>
    <t>Fuse-0805</t>
  </si>
  <si>
    <t>IND-1206</t>
  </si>
  <si>
    <t>DB128L-5.08-3P-BK-S</t>
  </si>
  <si>
    <t>DB128L-5.08-2P-BK-S</t>
  </si>
  <si>
    <t>91304-99-052R2</t>
  </si>
  <si>
    <t>PSPMAA1040-100M-ANP</t>
  </si>
  <si>
    <t>IND-0603 (1608 Metric)</t>
  </si>
  <si>
    <t>LED-0402</t>
  </si>
  <si>
    <t>LED-0603</t>
  </si>
  <si>
    <t>Test-point</t>
  </si>
  <si>
    <t>sot-23</t>
  </si>
  <si>
    <t>Res-0402</t>
  </si>
  <si>
    <t>B72210S0300K101</t>
  </si>
  <si>
    <t>Res-0201</t>
  </si>
  <si>
    <t>Res-0603</t>
  </si>
  <si>
    <t>Solder Bridge 0402</t>
  </si>
  <si>
    <t>1825027-8</t>
  </si>
  <si>
    <t>8-SO-EP_</t>
  </si>
  <si>
    <t>SOT-583</t>
  </si>
  <si>
    <t>TO263-3_</t>
  </si>
  <si>
    <t>TO-263-5 (D2PAK)</t>
  </si>
  <si>
    <t>SOIC-8 (208 mil)</t>
  </si>
  <si>
    <t>56-QFN (7x7)</t>
  </si>
  <si>
    <t>SOIC-8</t>
  </si>
  <si>
    <t>SSOP-20-5.2mm</t>
  </si>
  <si>
    <t>SOT-23-6</t>
  </si>
  <si>
    <t>SSOP-28-208mil</t>
  </si>
  <si>
    <t>SOP-16_150mil</t>
  </si>
  <si>
    <t>SOIC-16</t>
  </si>
  <si>
    <t>SOP-8</t>
  </si>
  <si>
    <t>Manufacturer Part Number</t>
  </si>
  <si>
    <t>CC0603JRNPO9BN472</t>
  </si>
  <si>
    <t>GRM155R62A104KE14D</t>
  </si>
  <si>
    <t>CC0402KRX7R9BB103</t>
  </si>
  <si>
    <t>CA45-A-10V-10uF-K</t>
  </si>
  <si>
    <t>CA45-A-6.3V-47uF-K</t>
  </si>
  <si>
    <t>TAJE337M016RNJ</t>
  </si>
  <si>
    <t>TAJB107M010RNJ</t>
  </si>
  <si>
    <t>UMK105CBJ105MV-F</t>
  </si>
  <si>
    <t>CL05A106MP5NUNC</t>
  </si>
  <si>
    <t>CC0402JRNPO9BN220</t>
  </si>
  <si>
    <t>CC0603JRNPO9BN331</t>
  </si>
  <si>
    <t>PESD5V0H1BSFYL</t>
  </si>
  <si>
    <t>SMBJ36CA</t>
  </si>
  <si>
    <t>ST20100L</t>
  </si>
  <si>
    <t>1N4148WT</t>
  </si>
  <si>
    <t>BZT52C5V6S</t>
  </si>
  <si>
    <t>BZX84C3V3TS-7-F</t>
  </si>
  <si>
    <t>SMBJ26CA</t>
  </si>
  <si>
    <t>1206L300SLTHYR</t>
  </si>
  <si>
    <t>SHV2920P500-30-AA</t>
  </si>
  <si>
    <t>SMD0805P020TF</t>
  </si>
  <si>
    <t>BLM31PG121SN1L</t>
  </si>
  <si>
    <t>TYPE-C-31-M-12</t>
  </si>
  <si>
    <t>C145963</t>
  </si>
  <si>
    <t>SDCL1608C2N0STDF</t>
  </si>
  <si>
    <t>16-213/GHC-YR1S1/3T</t>
  </si>
  <si>
    <t>19-21/R7C-AK1L2BY/3T</t>
  </si>
  <si>
    <t>MMBT4403LT1G</t>
  </si>
  <si>
    <t>ERJ-PA2F5101X</t>
  </si>
  <si>
    <t>AF0402JR-071ML</t>
  </si>
  <si>
    <t>RC0201FR-0710KL</t>
  </si>
  <si>
    <t>RC0201FR-071KP</t>
  </si>
  <si>
    <t>0603WAF3241T5E</t>
  </si>
  <si>
    <t>RC0201JR-07100KL</t>
  </si>
  <si>
    <t>RC0201JR-07470RL</t>
  </si>
  <si>
    <t>RC0402FR-0747KL</t>
  </si>
  <si>
    <t>RC0402FR-074K7L</t>
  </si>
  <si>
    <t>RC0402FR-07499RL</t>
  </si>
  <si>
    <t>RC0402FR-0756KL</t>
  </si>
  <si>
    <t>RC0603FR-07330KL</t>
  </si>
  <si>
    <t>RC0402JR-07150KL</t>
  </si>
  <si>
    <t>RT0603BRD0768KL</t>
  </si>
  <si>
    <t>RC0402FR-070RL</t>
  </si>
  <si>
    <t>RCS040222R0FKED</t>
  </si>
  <si>
    <t>RC0603FR-07120RL</t>
  </si>
  <si>
    <t>ERA-2AEB680X</t>
  </si>
  <si>
    <t>RC0603FR-07680RL</t>
  </si>
  <si>
    <t>RC0402FR-073K3L</t>
  </si>
  <si>
    <t>TPS5450DDAR</t>
  </si>
  <si>
    <t>TPS2116DRLR</t>
  </si>
  <si>
    <t>LM1084S-3.3/TR</t>
  </si>
  <si>
    <t>MIC29302WU-TR</t>
  </si>
  <si>
    <t>W25Q64JVSSIQ TR</t>
  </si>
  <si>
    <t>ESP32-S3R8</t>
  </si>
  <si>
    <t>ATECC608B-SSHDA-B</t>
  </si>
  <si>
    <t>MT8870DN1</t>
  </si>
  <si>
    <t>HMC221BETR</t>
  </si>
  <si>
    <t>MCP23017T-E/SS</t>
  </si>
  <si>
    <t>ULN2003A</t>
  </si>
  <si>
    <t>MAX3232IDR</t>
  </si>
  <si>
    <t>SP3485EIM/TR</t>
  </si>
  <si>
    <t>ADUM1201ARZ-RL7</t>
  </si>
  <si>
    <t>ADUM1200ARZ-RL7</t>
  </si>
  <si>
    <t>X322540MPB4SI</t>
  </si>
  <si>
    <t>Manufacturer</t>
  </si>
  <si>
    <t>Yageo</t>
  </si>
  <si>
    <t>Murata</t>
  </si>
  <si>
    <t>ROQANG</t>
  </si>
  <si>
    <t>Kyocera AVX</t>
  </si>
  <si>
    <t>CEC(Shenzhen Zhenhua XinYun Elec)</t>
  </si>
  <si>
    <t>CEC</t>
  </si>
  <si>
    <t>Taiyo Yuden</t>
  </si>
  <si>
    <t>Samsung</t>
  </si>
  <si>
    <t>Nexperia</t>
  </si>
  <si>
    <t>Slkor(SLKORMICRO Elec.)</t>
  </si>
  <si>
    <t>Jiangsu Changjing Electronics Technology Co., Ltd.</t>
  </si>
  <si>
    <t>Brightking</t>
  </si>
  <si>
    <t>ON Semiconductor / Fairchild</t>
  </si>
  <si>
    <t>Jiangsu Changjing Electronics Technology Co.</t>
  </si>
  <si>
    <t>Diodes Incorporated</t>
  </si>
  <si>
    <t>MSKSEMI</t>
  </si>
  <si>
    <t>Littelfuse</t>
  </si>
  <si>
    <t>PTTC(Polytronics Tech)</t>
  </si>
  <si>
    <t>RUILON</t>
  </si>
  <si>
    <t>DIBO</t>
  </si>
  <si>
    <t>Korean Hroparts Elec</t>
  </si>
  <si>
    <t>BOOMELE</t>
  </si>
  <si>
    <t>HJ Tech</t>
  </si>
  <si>
    <t>UMAX</t>
  </si>
  <si>
    <t>PROD Tech</t>
  </si>
  <si>
    <t>Sunlord</t>
  </si>
  <si>
    <t>Everlight Elec</t>
  </si>
  <si>
    <t>ON Semiconductor</t>
  </si>
  <si>
    <t>Panasonic</t>
  </si>
  <si>
    <t>TDK EPCOS</t>
  </si>
  <si>
    <t>UNI-ROYAL</t>
  </si>
  <si>
    <t>Vishay Dale</t>
  </si>
  <si>
    <t>TE Connectivity</t>
  </si>
  <si>
    <t>Texas Instruments</t>
  </si>
  <si>
    <t>HGSEMI</t>
  </si>
  <si>
    <t>Microchip</t>
  </si>
  <si>
    <t>Winbond</t>
  </si>
  <si>
    <t>Espressif Systems</t>
  </si>
  <si>
    <t>Microsemi</t>
  </si>
  <si>
    <t>Analog Devices</t>
  </si>
  <si>
    <t>Mixic</t>
  </si>
  <si>
    <t>Yangxing Tech</t>
  </si>
  <si>
    <t>Antenna</t>
  </si>
  <si>
    <t>4.7nF</t>
  </si>
  <si>
    <t>0.1uf</t>
  </si>
  <si>
    <t>10nF</t>
  </si>
  <si>
    <t>68uF</t>
  </si>
  <si>
    <t>220uF</t>
  </si>
  <si>
    <t>10uF</t>
  </si>
  <si>
    <t>47uF</t>
  </si>
  <si>
    <t>330uF</t>
  </si>
  <si>
    <t>100uF</t>
  </si>
  <si>
    <t>1uF</t>
  </si>
  <si>
    <t>22PF</t>
  </si>
  <si>
    <t>330pF</t>
  </si>
  <si>
    <t>100MHz</t>
  </si>
  <si>
    <t>10uH</t>
  </si>
  <si>
    <t>2nH</t>
  </si>
  <si>
    <t>5.1K</t>
  </si>
  <si>
    <t>1M</t>
  </si>
  <si>
    <t>10K</t>
  </si>
  <si>
    <t>1K</t>
  </si>
  <si>
    <t>3.24K</t>
  </si>
  <si>
    <t>100K</t>
  </si>
  <si>
    <t>470R</t>
  </si>
  <si>
    <t>47K</t>
  </si>
  <si>
    <t>4.7K</t>
  </si>
  <si>
    <t>499R</t>
  </si>
  <si>
    <t>56k</t>
  </si>
  <si>
    <t>330K</t>
  </si>
  <si>
    <t>150K</t>
  </si>
  <si>
    <t>68K</t>
  </si>
  <si>
    <t>0R</t>
  </si>
  <si>
    <t>22R</t>
  </si>
  <si>
    <t>120R</t>
  </si>
  <si>
    <t>68R</t>
  </si>
  <si>
    <t>680R</t>
  </si>
  <si>
    <t>3.3K</t>
  </si>
  <si>
    <t>40MHz</t>
  </si>
  <si>
    <t>3.579545MHz</t>
  </si>
  <si>
    <t>Quantity</t>
  </si>
  <si>
    <t>Bill of Materials for Project [Baseboard-v2.0.]</t>
  </si>
  <si>
    <t>Baseboard-v2.0</t>
  </si>
  <si>
    <t>-</t>
  </si>
  <si>
    <t>Custom</t>
  </si>
  <si>
    <t>Relay</t>
  </si>
  <si>
    <t>Test Point</t>
  </si>
  <si>
    <t>P1, P2, P3, P4, P5, P6, P7, P8, P9, P10</t>
  </si>
  <si>
    <t>Mosfet</t>
  </si>
  <si>
    <t>Alternate Part Number</t>
  </si>
  <si>
    <t>GRM155R61H105KE05D</t>
  </si>
  <si>
    <t>--</t>
  </si>
  <si>
    <t>RT0402BRE075K1L</t>
  </si>
  <si>
    <t>RC0201FR-071KL</t>
  </si>
  <si>
    <t>Value</t>
  </si>
  <si>
    <t>Quantity (5 Boards)</t>
  </si>
  <si>
    <t>Remarks</t>
  </si>
  <si>
    <t>RELAY GEN PURPOSE SPDT 3A 5V</t>
  </si>
  <si>
    <t>J102K1CS35VDC.20</t>
  </si>
  <si>
    <t>R5, R7, R13, R34, R47, R48, R54, R55, R93, R94, R95, R96</t>
  </si>
  <si>
    <t>R12, R20</t>
  </si>
  <si>
    <t>R21, R63, R64, R65, R66, R67, R82, R83, R84, R88, R89</t>
  </si>
  <si>
    <t>Resistor Array</t>
  </si>
  <si>
    <t>RN1, RN2, RN3, RN4, RN5</t>
  </si>
  <si>
    <t>RES ARRAY 4 RES 10K OHM 1206</t>
  </si>
  <si>
    <t>YC164-FR-0710KL</t>
  </si>
  <si>
    <t>3.579545MHz 20pF ±30ppm HC-49S-SMD Crystals ROHS</t>
  </si>
  <si>
    <t>HC-49S-SMD</t>
  </si>
  <si>
    <t>TAXM3.579M2ILFBET2T</t>
  </si>
  <si>
    <t>CIT Relay &amp; Switch</t>
  </si>
  <si>
    <t>TAE</t>
  </si>
  <si>
    <t>CRCW040222R0FKEDHP</t>
  </si>
  <si>
    <t>TAJD227K010RNJ</t>
  </si>
  <si>
    <t>FPC Connector</t>
  </si>
  <si>
    <t>Slide Lock 18P Contact, Vertical - One Side Brick nogging 0.5mm SMD,P=0.5mm FFC/FPC Connectors ROHS</t>
  </si>
  <si>
    <t>F0503-ZV-18-20T-R</t>
  </si>
  <si>
    <t>XFCN</t>
  </si>
  <si>
    <t>R6, R8, R10, R79, R80, R81, R85, R86</t>
  </si>
  <si>
    <t>R22, R23, R24</t>
  </si>
  <si>
    <t>RES ARRAY 4 RES 100K OHM 1206</t>
  </si>
  <si>
    <t>YC164-JR-07100KL</t>
  </si>
  <si>
    <t>DO NOT MOUNT</t>
  </si>
  <si>
    <t>peripheral</t>
  </si>
  <si>
    <t>1.8 8dBi Vertical 50W - Antennas ROHS</t>
  </si>
  <si>
    <t>BW2.4JWX195-13KJ</t>
  </si>
  <si>
    <t>BAT WIRELESS</t>
  </si>
  <si>
    <t>SMA Connector</t>
  </si>
  <si>
    <t>1 Inner bore SMA Board Edge Bend 11mm 5.35mm Plugin RF Connectors / Coaxial Connectors ROHS</t>
  </si>
  <si>
    <t>HJ-SMA175</t>
  </si>
  <si>
    <t>C3, C19</t>
  </si>
  <si>
    <t>C20, C25, C48</t>
  </si>
  <si>
    <r>
      <t xml:space="preserve">DIA 2mm Light Pipe Plastic LED Light Pipe RoHS Light Pipe Guide PDPLC-2.0-Series </t>
    </r>
    <r>
      <rPr>
        <b/>
        <sz val="9"/>
        <rFont val="Calibri"/>
        <family val="2"/>
        <scheme val="minor"/>
      </rPr>
      <t>(PDPLC-2.0-2.54)</t>
    </r>
  </si>
  <si>
    <t>PDPLC-2.0-2.54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</si>
</sst>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 wrapText="1"/>
    </xf>
    <xf numFmtId="0" fontId="17" fillId="2" borderId="16" xfId="0" quotePrefix="1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6" fillId="3" borderId="19" xfId="0" applyFont="1" applyFill="1" applyBorder="1" applyAlignment="1">
      <alignment vertical="center" wrapText="1"/>
    </xf>
    <xf numFmtId="0" fontId="16" fillId="3" borderId="18" xfId="0" applyFont="1" applyFill="1" applyBorder="1" applyAlignment="1">
      <alignment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A95"/>
  <sheetViews>
    <sheetView tabSelected="1" topLeftCell="A16" workbookViewId="0">
      <selection activeCell="D99" sqref="D99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5703125" bestFit="1" customWidth="1"/>
    <col min="9" max="9" width="21.42578125" bestFit="1" customWidth="1"/>
    <col min="10" max="10" width="10.7109375" bestFit="1" customWidth="1"/>
    <col min="11" max="11" width="8.7109375" bestFit="1" customWidth="1"/>
    <col min="12" max="12" width="18.28515625" bestFit="1" customWidth="1"/>
    <col min="13" max="13" width="29.42578125" customWidth="1"/>
    <col min="15" max="15" width="16.85546875" customWidth="1"/>
    <col min="16" max="16" width="5.42578125" bestFit="1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79"/>
      <c r="K1" s="79"/>
      <c r="L1" s="79"/>
      <c r="M1" s="79"/>
    </row>
    <row r="2" spans="1:13" ht="32.25" thickBot="1" x14ac:dyDescent="0.3">
      <c r="A2" s="1"/>
      <c r="B2" s="20"/>
      <c r="C2" s="33"/>
      <c r="D2" s="10" t="s">
        <v>0</v>
      </c>
      <c r="E2" s="10"/>
      <c r="F2" s="39" t="s">
        <v>367</v>
      </c>
      <c r="G2" s="11"/>
      <c r="H2" s="11"/>
      <c r="I2" s="3"/>
      <c r="J2" s="3"/>
      <c r="K2" s="3"/>
      <c r="L2" s="3"/>
      <c r="M2" s="32"/>
    </row>
    <row r="3" spans="1:13" x14ac:dyDescent="0.25">
      <c r="A3" s="1"/>
      <c r="B3" s="21"/>
      <c r="C3" s="34"/>
      <c r="D3" s="12" t="s">
        <v>1</v>
      </c>
      <c r="E3" s="12"/>
      <c r="F3" s="40" t="s">
        <v>368</v>
      </c>
      <c r="G3" s="12"/>
      <c r="H3" s="12"/>
      <c r="I3" s="4"/>
      <c r="J3" s="4"/>
      <c r="K3" s="4"/>
      <c r="L3" s="4"/>
      <c r="M3" s="80"/>
    </row>
    <row r="4" spans="1:13" x14ac:dyDescent="0.25">
      <c r="A4" s="1"/>
      <c r="B4" s="21"/>
      <c r="C4" s="34"/>
      <c r="D4" s="12" t="s">
        <v>2</v>
      </c>
      <c r="E4" s="12"/>
      <c r="F4" s="41" t="s">
        <v>368</v>
      </c>
      <c r="G4" s="13"/>
      <c r="H4" s="13"/>
      <c r="I4" s="6"/>
      <c r="J4" s="6"/>
      <c r="K4" s="6"/>
      <c r="L4" s="5"/>
      <c r="M4" s="81"/>
    </row>
    <row r="5" spans="1:13" x14ac:dyDescent="0.25">
      <c r="A5" s="1"/>
      <c r="B5" s="21"/>
      <c r="C5" s="34"/>
      <c r="D5" s="12" t="s">
        <v>3</v>
      </c>
      <c r="E5" s="12"/>
      <c r="F5" s="42" t="s">
        <v>5</v>
      </c>
      <c r="G5" s="14"/>
      <c r="H5" s="14"/>
      <c r="I5" s="5"/>
      <c r="J5" s="5"/>
      <c r="K5" s="5"/>
      <c r="L5" s="5"/>
      <c r="M5" s="81"/>
    </row>
    <row r="6" spans="1:13" x14ac:dyDescent="0.25">
      <c r="A6" s="1"/>
      <c r="B6" s="22"/>
      <c r="C6" s="35"/>
      <c r="D6" s="15"/>
      <c r="E6" s="15"/>
      <c r="F6" s="16"/>
      <c r="G6" s="14"/>
      <c r="H6" s="14"/>
      <c r="I6" s="5"/>
      <c r="J6" s="5"/>
      <c r="K6" s="5"/>
      <c r="L6" s="5"/>
      <c r="M6" s="81"/>
    </row>
    <row r="7" spans="1:13" x14ac:dyDescent="0.25">
      <c r="A7" s="1"/>
      <c r="B7" s="23"/>
      <c r="C7" s="36"/>
      <c r="D7" s="17"/>
      <c r="E7" s="17"/>
      <c r="F7" s="18"/>
      <c r="G7" s="17"/>
      <c r="H7" s="17"/>
      <c r="I7" s="7"/>
      <c r="J7" s="7"/>
      <c r="K7" s="7"/>
      <c r="L7" s="7"/>
      <c r="M7" s="81"/>
    </row>
    <row r="8" spans="1:13" ht="15.75" thickBot="1" x14ac:dyDescent="0.3">
      <c r="A8" s="1"/>
      <c r="B8" s="26"/>
      <c r="C8" s="37"/>
      <c r="D8" s="27"/>
      <c r="E8" s="27"/>
      <c r="F8" s="28"/>
      <c r="G8" s="17"/>
      <c r="H8" s="17"/>
      <c r="I8" s="7"/>
      <c r="J8" s="7"/>
      <c r="K8" s="7"/>
      <c r="L8" s="7"/>
      <c r="M8" s="81"/>
    </row>
    <row r="9" spans="1:13" ht="15.75" thickBot="1" x14ac:dyDescent="0.3">
      <c r="A9" s="1"/>
      <c r="B9" s="29" t="s">
        <v>4</v>
      </c>
      <c r="C9" s="29" t="s">
        <v>6</v>
      </c>
      <c r="D9" s="29" t="s">
        <v>23</v>
      </c>
      <c r="E9" s="29" t="s">
        <v>97</v>
      </c>
      <c r="F9" s="29" t="s">
        <v>172</v>
      </c>
      <c r="G9" s="29" t="s">
        <v>220</v>
      </c>
      <c r="H9" s="29" t="s">
        <v>375</v>
      </c>
      <c r="I9" s="29" t="s">
        <v>285</v>
      </c>
      <c r="J9" s="29" t="s">
        <v>380</v>
      </c>
      <c r="K9" s="29" t="s">
        <v>366</v>
      </c>
      <c r="L9" s="72" t="s">
        <v>381</v>
      </c>
      <c r="M9" s="29" t="s">
        <v>382</v>
      </c>
    </row>
    <row r="10" spans="1:13" x14ac:dyDescent="0.25">
      <c r="A10" s="1"/>
      <c r="B10" s="54">
        <f>ROW(B10) - ROW($B$9)</f>
        <v>1</v>
      </c>
      <c r="C10" s="43" t="s">
        <v>328</v>
      </c>
      <c r="D10" s="44" t="s">
        <v>24</v>
      </c>
      <c r="E10" s="44" t="s">
        <v>369</v>
      </c>
      <c r="F10" s="44" t="s">
        <v>173</v>
      </c>
      <c r="G10" s="44" t="s">
        <v>328</v>
      </c>
      <c r="H10" s="52" t="s">
        <v>369</v>
      </c>
      <c r="I10" s="52" t="s">
        <v>369</v>
      </c>
      <c r="J10" s="44" t="s">
        <v>369</v>
      </c>
      <c r="K10" s="44">
        <v>1</v>
      </c>
      <c r="L10" s="68">
        <f>K10*5</f>
        <v>5</v>
      </c>
      <c r="M10" s="75" t="s">
        <v>407</v>
      </c>
    </row>
    <row r="11" spans="1:13" x14ac:dyDescent="0.25">
      <c r="A11" s="1"/>
      <c r="B11" s="55">
        <f t="shared" ref="B11:B90" si="0">ROW(B11) - ROW($B$9)</f>
        <v>2</v>
      </c>
      <c r="C11" s="45" t="s">
        <v>7</v>
      </c>
      <c r="D11" s="31" t="s">
        <v>25</v>
      </c>
      <c r="E11" s="31" t="s">
        <v>98</v>
      </c>
      <c r="F11" s="31" t="s">
        <v>174</v>
      </c>
      <c r="G11" s="31" t="s">
        <v>221</v>
      </c>
      <c r="H11" s="31" t="s">
        <v>369</v>
      </c>
      <c r="I11" s="31" t="s">
        <v>286</v>
      </c>
      <c r="J11" s="31" t="s">
        <v>329</v>
      </c>
      <c r="K11" s="31">
        <v>1</v>
      </c>
      <c r="L11" s="67">
        <f t="shared" ref="L11" si="1">K11*5</f>
        <v>5</v>
      </c>
      <c r="M11" s="31"/>
    </row>
    <row r="12" spans="1:13" ht="36" x14ac:dyDescent="0.25">
      <c r="A12" s="1"/>
      <c r="B12" s="54">
        <f>ROW(B12) - ROW($B$9)</f>
        <v>3</v>
      </c>
      <c r="C12" s="43" t="s">
        <v>7</v>
      </c>
      <c r="D12" s="30" t="s">
        <v>26</v>
      </c>
      <c r="E12" s="30" t="s">
        <v>99</v>
      </c>
      <c r="F12" s="30" t="s">
        <v>175</v>
      </c>
      <c r="G12" s="30" t="s">
        <v>222</v>
      </c>
      <c r="H12" s="30" t="s">
        <v>369</v>
      </c>
      <c r="I12" s="30" t="s">
        <v>287</v>
      </c>
      <c r="J12" s="30" t="s">
        <v>330</v>
      </c>
      <c r="K12" s="30">
        <v>25</v>
      </c>
      <c r="L12" s="66">
        <f>K12*5</f>
        <v>125</v>
      </c>
      <c r="M12" s="30"/>
    </row>
    <row r="13" spans="1:13" x14ac:dyDescent="0.25">
      <c r="A13" s="1"/>
      <c r="B13" s="55">
        <f t="shared" si="0"/>
        <v>4</v>
      </c>
      <c r="C13" s="45" t="s">
        <v>7</v>
      </c>
      <c r="D13" s="31" t="s">
        <v>415</v>
      </c>
      <c r="E13" s="31" t="s">
        <v>100</v>
      </c>
      <c r="F13" s="31" t="s">
        <v>175</v>
      </c>
      <c r="G13" s="31" t="s">
        <v>223</v>
      </c>
      <c r="H13" s="31" t="s">
        <v>369</v>
      </c>
      <c r="I13" s="31" t="s">
        <v>286</v>
      </c>
      <c r="J13" s="31" t="s">
        <v>331</v>
      </c>
      <c r="K13" s="31">
        <v>2</v>
      </c>
      <c r="L13" s="67">
        <f t="shared" ref="L13" si="2">K13*5</f>
        <v>10</v>
      </c>
      <c r="M13" s="31"/>
    </row>
    <row r="14" spans="1:13" ht="36" x14ac:dyDescent="0.25">
      <c r="A14" s="1"/>
      <c r="B14" s="54">
        <f>ROW(B14) - ROW($B$9)</f>
        <v>5</v>
      </c>
      <c r="C14" s="43" t="s">
        <v>7</v>
      </c>
      <c r="D14" s="30" t="s">
        <v>27</v>
      </c>
      <c r="E14" s="30" t="s">
        <v>101</v>
      </c>
      <c r="F14" s="30" t="s">
        <v>370</v>
      </c>
      <c r="G14" s="30" t="s">
        <v>176</v>
      </c>
      <c r="H14" s="30" t="s">
        <v>369</v>
      </c>
      <c r="I14" s="30" t="s">
        <v>288</v>
      </c>
      <c r="J14" s="30" t="s">
        <v>332</v>
      </c>
      <c r="K14" s="30">
        <v>3</v>
      </c>
      <c r="L14" s="66">
        <f>K14*5</f>
        <v>15</v>
      </c>
      <c r="M14" s="30"/>
    </row>
    <row r="15" spans="1:13" x14ac:dyDescent="0.25">
      <c r="A15" s="1"/>
      <c r="B15" s="55">
        <f t="shared" si="0"/>
        <v>6</v>
      </c>
      <c r="C15" s="45" t="s">
        <v>7</v>
      </c>
      <c r="D15" s="31" t="s">
        <v>28</v>
      </c>
      <c r="E15" s="31" t="s">
        <v>102</v>
      </c>
      <c r="F15" s="31" t="s">
        <v>177</v>
      </c>
      <c r="G15" s="31" t="s">
        <v>398</v>
      </c>
      <c r="H15" s="31" t="s">
        <v>369</v>
      </c>
      <c r="I15" s="31" t="s">
        <v>289</v>
      </c>
      <c r="J15" s="31" t="s">
        <v>333</v>
      </c>
      <c r="K15" s="31">
        <v>2</v>
      </c>
      <c r="L15" s="67">
        <f t="shared" ref="L15" si="3">K15*5</f>
        <v>10</v>
      </c>
      <c r="M15" s="31"/>
    </row>
    <row r="16" spans="1:13" ht="24" x14ac:dyDescent="0.25">
      <c r="A16" s="1"/>
      <c r="B16" s="54">
        <f>ROW(B16) - ROW($B$9)</f>
        <v>7</v>
      </c>
      <c r="C16" s="43" t="s">
        <v>7</v>
      </c>
      <c r="D16" s="30" t="s">
        <v>29</v>
      </c>
      <c r="E16" s="30" t="s">
        <v>103</v>
      </c>
      <c r="F16" s="30" t="s">
        <v>178</v>
      </c>
      <c r="G16" s="30" t="s">
        <v>224</v>
      </c>
      <c r="H16" s="30" t="s">
        <v>369</v>
      </c>
      <c r="I16" s="30" t="s">
        <v>290</v>
      </c>
      <c r="J16" s="30" t="s">
        <v>334</v>
      </c>
      <c r="K16" s="30">
        <v>1</v>
      </c>
      <c r="L16" s="66">
        <f>K16*5</f>
        <v>5</v>
      </c>
      <c r="M16" s="30"/>
    </row>
    <row r="17" spans="1:13" ht="24" x14ac:dyDescent="0.25">
      <c r="A17" s="1"/>
      <c r="B17" s="55">
        <f t="shared" si="0"/>
        <v>8</v>
      </c>
      <c r="C17" s="45" t="s">
        <v>7</v>
      </c>
      <c r="D17" s="31" t="s">
        <v>30</v>
      </c>
      <c r="E17" s="31" t="s">
        <v>104</v>
      </c>
      <c r="F17" s="31" t="s">
        <v>178</v>
      </c>
      <c r="G17" s="31" t="s">
        <v>225</v>
      </c>
      <c r="H17" s="31" t="s">
        <v>369</v>
      </c>
      <c r="I17" s="31" t="s">
        <v>291</v>
      </c>
      <c r="J17" s="31" t="s">
        <v>335</v>
      </c>
      <c r="K17" s="31">
        <v>1</v>
      </c>
      <c r="L17" s="67">
        <f t="shared" ref="L17" si="4">K17*5</f>
        <v>5</v>
      </c>
      <c r="M17" s="31"/>
    </row>
    <row r="18" spans="1:13" x14ac:dyDescent="0.25">
      <c r="A18" s="1"/>
      <c r="B18" s="54">
        <f>ROW(B18) - ROW($B$9)</f>
        <v>9</v>
      </c>
      <c r="C18" s="43" t="s">
        <v>7</v>
      </c>
      <c r="D18" s="30" t="s">
        <v>31</v>
      </c>
      <c r="E18" s="30" t="s">
        <v>105</v>
      </c>
      <c r="F18" s="30" t="s">
        <v>179</v>
      </c>
      <c r="G18" s="30" t="s">
        <v>226</v>
      </c>
      <c r="H18" s="30" t="s">
        <v>369</v>
      </c>
      <c r="I18" s="30" t="s">
        <v>289</v>
      </c>
      <c r="J18" s="30" t="s">
        <v>336</v>
      </c>
      <c r="K18" s="30">
        <v>1</v>
      </c>
      <c r="L18" s="66">
        <f>K18*5</f>
        <v>5</v>
      </c>
      <c r="M18" s="30"/>
    </row>
    <row r="19" spans="1:13" x14ac:dyDescent="0.25">
      <c r="A19" s="1"/>
      <c r="B19" s="55">
        <f t="shared" si="0"/>
        <v>10</v>
      </c>
      <c r="C19" s="45" t="s">
        <v>7</v>
      </c>
      <c r="D19" s="31" t="s">
        <v>32</v>
      </c>
      <c r="E19" s="31" t="s">
        <v>106</v>
      </c>
      <c r="F19" s="31" t="s">
        <v>180</v>
      </c>
      <c r="G19" s="31" t="s">
        <v>227</v>
      </c>
      <c r="H19" s="31" t="s">
        <v>369</v>
      </c>
      <c r="I19" s="31" t="s">
        <v>289</v>
      </c>
      <c r="J19" s="31" t="s">
        <v>337</v>
      </c>
      <c r="K19" s="31">
        <v>1</v>
      </c>
      <c r="L19" s="67">
        <f t="shared" ref="L19" si="5">K19*5</f>
        <v>5</v>
      </c>
      <c r="M19" s="31"/>
    </row>
    <row r="20" spans="1:13" x14ac:dyDescent="0.25">
      <c r="A20" s="1"/>
      <c r="B20" s="54">
        <f>ROW(B20) - ROW($B$9)</f>
        <v>11</v>
      </c>
      <c r="C20" s="43" t="s">
        <v>7</v>
      </c>
      <c r="D20" s="30" t="s">
        <v>33</v>
      </c>
      <c r="E20" s="30" t="s">
        <v>107</v>
      </c>
      <c r="F20" s="30" t="s">
        <v>175</v>
      </c>
      <c r="G20" s="44" t="s">
        <v>228</v>
      </c>
      <c r="H20" s="30" t="s">
        <v>376</v>
      </c>
      <c r="I20" s="30" t="s">
        <v>292</v>
      </c>
      <c r="J20" s="30" t="s">
        <v>338</v>
      </c>
      <c r="K20" s="30">
        <v>4</v>
      </c>
      <c r="L20" s="66">
        <f>K20*5</f>
        <v>20</v>
      </c>
      <c r="M20" s="30"/>
    </row>
    <row r="21" spans="1:13" x14ac:dyDescent="0.25">
      <c r="A21" s="1"/>
      <c r="B21" s="55">
        <f t="shared" si="0"/>
        <v>12</v>
      </c>
      <c r="C21" s="45" t="s">
        <v>7</v>
      </c>
      <c r="D21" s="31" t="s">
        <v>416</v>
      </c>
      <c r="E21" s="31" t="s">
        <v>108</v>
      </c>
      <c r="F21" s="31" t="s">
        <v>175</v>
      </c>
      <c r="G21" s="31" t="s">
        <v>229</v>
      </c>
      <c r="H21" s="31" t="s">
        <v>369</v>
      </c>
      <c r="I21" s="31" t="s">
        <v>293</v>
      </c>
      <c r="J21" s="31" t="s">
        <v>334</v>
      </c>
      <c r="K21" s="31">
        <v>3</v>
      </c>
      <c r="L21" s="67">
        <f t="shared" ref="L21" si="6">K21*5</f>
        <v>15</v>
      </c>
      <c r="M21" s="31"/>
    </row>
    <row r="22" spans="1:13" x14ac:dyDescent="0.25">
      <c r="A22" s="1"/>
      <c r="B22" s="54">
        <f>ROW(B22) - ROW($B$9)</f>
        <v>13</v>
      </c>
      <c r="C22" s="43" t="s">
        <v>7</v>
      </c>
      <c r="D22" s="30" t="s">
        <v>34</v>
      </c>
      <c r="E22" s="30" t="s">
        <v>109</v>
      </c>
      <c r="F22" s="30" t="s">
        <v>175</v>
      </c>
      <c r="G22" s="30" t="s">
        <v>230</v>
      </c>
      <c r="H22" s="30" t="s">
        <v>369</v>
      </c>
      <c r="I22" s="30" t="s">
        <v>286</v>
      </c>
      <c r="J22" s="30" t="s">
        <v>339</v>
      </c>
      <c r="K22" s="30">
        <v>2</v>
      </c>
      <c r="L22" s="66">
        <f>K22*5</f>
        <v>10</v>
      </c>
      <c r="M22" s="30"/>
    </row>
    <row r="23" spans="1:13" x14ac:dyDescent="0.25">
      <c r="A23" s="1"/>
      <c r="B23" s="55">
        <f t="shared" si="0"/>
        <v>14</v>
      </c>
      <c r="C23" s="45" t="s">
        <v>7</v>
      </c>
      <c r="D23" s="31" t="s">
        <v>35</v>
      </c>
      <c r="E23" s="31" t="s">
        <v>110</v>
      </c>
      <c r="F23" s="31" t="s">
        <v>174</v>
      </c>
      <c r="G23" s="31" t="s">
        <v>231</v>
      </c>
      <c r="H23" s="31" t="s">
        <v>369</v>
      </c>
      <c r="I23" s="31" t="s">
        <v>286</v>
      </c>
      <c r="J23" s="31" t="s">
        <v>340</v>
      </c>
      <c r="K23" s="31">
        <v>3</v>
      </c>
      <c r="L23" s="67">
        <f t="shared" ref="L23" si="7">K23*5</f>
        <v>15</v>
      </c>
      <c r="M23" s="31"/>
    </row>
    <row r="24" spans="1:13" x14ac:dyDescent="0.25">
      <c r="A24" s="1"/>
      <c r="B24" s="54">
        <f>ROW(B24) - ROW($B$9)</f>
        <v>15</v>
      </c>
      <c r="C24" s="43" t="s">
        <v>8</v>
      </c>
      <c r="D24" s="30" t="s">
        <v>36</v>
      </c>
      <c r="E24" s="30" t="s">
        <v>111</v>
      </c>
      <c r="F24" s="30" t="s">
        <v>181</v>
      </c>
      <c r="G24" s="30" t="s">
        <v>232</v>
      </c>
      <c r="H24" s="30" t="s">
        <v>369</v>
      </c>
      <c r="I24" s="30" t="s">
        <v>294</v>
      </c>
      <c r="J24" s="30" t="s">
        <v>369</v>
      </c>
      <c r="K24" s="30">
        <v>1</v>
      </c>
      <c r="L24" s="66">
        <f>K24*5</f>
        <v>5</v>
      </c>
      <c r="M24" s="30"/>
    </row>
    <row r="25" spans="1:13" ht="24" x14ac:dyDescent="0.25">
      <c r="A25" s="1"/>
      <c r="B25" s="55">
        <f t="shared" si="0"/>
        <v>16</v>
      </c>
      <c r="C25" s="45" t="s">
        <v>8</v>
      </c>
      <c r="D25" s="31" t="s">
        <v>37</v>
      </c>
      <c r="E25" s="31" t="s">
        <v>112</v>
      </c>
      <c r="F25" s="31" t="s">
        <v>182</v>
      </c>
      <c r="G25" s="31" t="s">
        <v>233</v>
      </c>
      <c r="H25" s="31" t="s">
        <v>369</v>
      </c>
      <c r="I25" s="31" t="s">
        <v>295</v>
      </c>
      <c r="J25" s="31" t="s">
        <v>369</v>
      </c>
      <c r="K25" s="31">
        <v>1</v>
      </c>
      <c r="L25" s="67">
        <f t="shared" ref="L25" si="8">K25*5</f>
        <v>5</v>
      </c>
      <c r="M25" s="31"/>
    </row>
    <row r="26" spans="1:13" ht="36" x14ac:dyDescent="0.25">
      <c r="A26" s="1"/>
      <c r="B26" s="54">
        <f>ROW(B26) - ROW($B$9)</f>
        <v>17</v>
      </c>
      <c r="C26" s="43" t="s">
        <v>8</v>
      </c>
      <c r="D26" s="30" t="s">
        <v>38</v>
      </c>
      <c r="E26" s="30" t="s">
        <v>113</v>
      </c>
      <c r="F26" s="30" t="s">
        <v>183</v>
      </c>
      <c r="G26" s="30" t="s">
        <v>234</v>
      </c>
      <c r="H26" s="30" t="s">
        <v>369</v>
      </c>
      <c r="I26" s="30" t="s">
        <v>296</v>
      </c>
      <c r="J26" s="30" t="s">
        <v>369</v>
      </c>
      <c r="K26" s="30">
        <v>1</v>
      </c>
      <c r="L26" s="66">
        <f>K26*5</f>
        <v>5</v>
      </c>
      <c r="M26" s="30"/>
    </row>
    <row r="27" spans="1:13" ht="24" x14ac:dyDescent="0.25">
      <c r="A27" s="1"/>
      <c r="B27" s="55">
        <f t="shared" si="0"/>
        <v>18</v>
      </c>
      <c r="C27" s="43" t="s">
        <v>8</v>
      </c>
      <c r="D27" s="31" t="s">
        <v>39</v>
      </c>
      <c r="E27" s="31" t="s">
        <v>114</v>
      </c>
      <c r="F27" s="31" t="s">
        <v>186</v>
      </c>
      <c r="G27" s="31" t="s">
        <v>184</v>
      </c>
      <c r="H27" s="31" t="s">
        <v>369</v>
      </c>
      <c r="I27" s="31" t="s">
        <v>297</v>
      </c>
      <c r="J27" s="31" t="s">
        <v>369</v>
      </c>
      <c r="K27" s="31">
        <v>1</v>
      </c>
      <c r="L27" s="67">
        <f t="shared" ref="L27" si="9">K27*5</f>
        <v>5</v>
      </c>
      <c r="M27" s="31"/>
    </row>
    <row r="28" spans="1:13" ht="24" x14ac:dyDescent="0.25">
      <c r="A28" s="1"/>
      <c r="B28" s="54">
        <f>ROW(B28) - ROW($B$9)</f>
        <v>19</v>
      </c>
      <c r="C28" s="43" t="s">
        <v>8</v>
      </c>
      <c r="D28" s="30" t="s">
        <v>40</v>
      </c>
      <c r="E28" s="30" t="s">
        <v>115</v>
      </c>
      <c r="F28" s="30" t="s">
        <v>185</v>
      </c>
      <c r="G28" s="30" t="s">
        <v>235</v>
      </c>
      <c r="H28" s="30" t="s">
        <v>369</v>
      </c>
      <c r="I28" s="30" t="s">
        <v>298</v>
      </c>
      <c r="J28" s="30" t="s">
        <v>369</v>
      </c>
      <c r="K28" s="30">
        <v>3</v>
      </c>
      <c r="L28" s="66">
        <f>K28*5</f>
        <v>15</v>
      </c>
      <c r="M28" s="30"/>
    </row>
    <row r="29" spans="1:13" ht="36" x14ac:dyDescent="0.25">
      <c r="A29" s="1"/>
      <c r="B29" s="55">
        <f t="shared" si="0"/>
        <v>20</v>
      </c>
      <c r="C29" s="45" t="s">
        <v>8</v>
      </c>
      <c r="D29" s="31" t="s">
        <v>41</v>
      </c>
      <c r="E29" s="31" t="s">
        <v>116</v>
      </c>
      <c r="F29" s="31" t="s">
        <v>186</v>
      </c>
      <c r="G29" s="31" t="s">
        <v>236</v>
      </c>
      <c r="H29" s="31" t="s">
        <v>369</v>
      </c>
      <c r="I29" s="31" t="s">
        <v>299</v>
      </c>
      <c r="J29" s="31" t="s">
        <v>369</v>
      </c>
      <c r="K29" s="31">
        <v>2</v>
      </c>
      <c r="L29" s="67">
        <f t="shared" ref="L29" si="10">K29*5</f>
        <v>10</v>
      </c>
      <c r="M29" s="31"/>
    </row>
    <row r="30" spans="1:13" x14ac:dyDescent="0.25">
      <c r="A30" s="1"/>
      <c r="B30" s="54">
        <f>ROW(B30) - ROW($B$9)</f>
        <v>21</v>
      </c>
      <c r="C30" s="43" t="s">
        <v>8</v>
      </c>
      <c r="D30" s="30" t="s">
        <v>42</v>
      </c>
      <c r="E30" s="30" t="s">
        <v>117</v>
      </c>
      <c r="F30" s="30" t="s">
        <v>187</v>
      </c>
      <c r="G30" s="30" t="s">
        <v>237</v>
      </c>
      <c r="H30" s="30" t="s">
        <v>369</v>
      </c>
      <c r="I30" s="30" t="s">
        <v>300</v>
      </c>
      <c r="J30" s="30" t="s">
        <v>369</v>
      </c>
      <c r="K30" s="30">
        <v>4</v>
      </c>
      <c r="L30" s="66">
        <f>K30*5</f>
        <v>20</v>
      </c>
      <c r="M30" s="30"/>
    </row>
    <row r="31" spans="1:13" x14ac:dyDescent="0.25">
      <c r="A31" s="1"/>
      <c r="B31" s="55">
        <f t="shared" si="0"/>
        <v>22</v>
      </c>
      <c r="C31" s="45" t="s">
        <v>8</v>
      </c>
      <c r="D31" s="31" t="s">
        <v>43</v>
      </c>
      <c r="E31" s="31" t="s">
        <v>118</v>
      </c>
      <c r="F31" s="31" t="s">
        <v>182</v>
      </c>
      <c r="G31" s="31" t="s">
        <v>238</v>
      </c>
      <c r="H31" s="31" t="s">
        <v>369</v>
      </c>
      <c r="I31" s="31" t="s">
        <v>301</v>
      </c>
      <c r="J31" s="31" t="s">
        <v>369</v>
      </c>
      <c r="K31" s="31">
        <v>4</v>
      </c>
      <c r="L31" s="67">
        <f t="shared" ref="L31" si="11">K31*5</f>
        <v>20</v>
      </c>
      <c r="M31" s="31"/>
    </row>
    <row r="32" spans="1:13" x14ac:dyDescent="0.25">
      <c r="A32" s="1"/>
      <c r="B32" s="54">
        <f>ROW(B32) - ROW($B$9)</f>
        <v>23</v>
      </c>
      <c r="C32" s="43" t="s">
        <v>9</v>
      </c>
      <c r="D32" s="30" t="s">
        <v>44</v>
      </c>
      <c r="E32" s="30" t="s">
        <v>119</v>
      </c>
      <c r="F32" s="30" t="s">
        <v>188</v>
      </c>
      <c r="G32" s="30" t="s">
        <v>239</v>
      </c>
      <c r="H32" s="30" t="s">
        <v>369</v>
      </c>
      <c r="I32" s="30" t="s">
        <v>302</v>
      </c>
      <c r="J32" s="30" t="s">
        <v>369</v>
      </c>
      <c r="K32" s="30">
        <v>1</v>
      </c>
      <c r="L32" s="66">
        <f>K32*5</f>
        <v>5</v>
      </c>
      <c r="M32" s="30"/>
    </row>
    <row r="33" spans="1:13" ht="24" x14ac:dyDescent="0.25">
      <c r="A33" s="1"/>
      <c r="B33" s="55">
        <f t="shared" si="0"/>
        <v>24</v>
      </c>
      <c r="C33" s="45" t="s">
        <v>9</v>
      </c>
      <c r="D33" s="31" t="s">
        <v>45</v>
      </c>
      <c r="E33" s="31" t="s">
        <v>120</v>
      </c>
      <c r="F33" s="31" t="s">
        <v>189</v>
      </c>
      <c r="G33" s="31" t="s">
        <v>240</v>
      </c>
      <c r="H33" s="31" t="s">
        <v>369</v>
      </c>
      <c r="I33" s="31" t="s">
        <v>303</v>
      </c>
      <c r="J33" s="31" t="s">
        <v>369</v>
      </c>
      <c r="K33" s="31">
        <v>1</v>
      </c>
      <c r="L33" s="67">
        <f t="shared" ref="L33" si="12">K33*5</f>
        <v>5</v>
      </c>
      <c r="M33" s="31"/>
    </row>
    <row r="34" spans="1:13" ht="24" x14ac:dyDescent="0.25">
      <c r="A34" s="1"/>
      <c r="B34" s="54">
        <f>ROW(B34) - ROW($B$9)</f>
        <v>25</v>
      </c>
      <c r="C34" s="43" t="s">
        <v>9</v>
      </c>
      <c r="D34" s="30" t="s">
        <v>46</v>
      </c>
      <c r="E34" s="30" t="s">
        <v>121</v>
      </c>
      <c r="F34" s="30" t="s">
        <v>190</v>
      </c>
      <c r="G34" s="30" t="s">
        <v>241</v>
      </c>
      <c r="H34" s="30" t="s">
        <v>369</v>
      </c>
      <c r="I34" s="30" t="s">
        <v>304</v>
      </c>
      <c r="J34" s="30" t="s">
        <v>369</v>
      </c>
      <c r="K34" s="30">
        <v>4</v>
      </c>
      <c r="L34" s="66">
        <f>K34*5</f>
        <v>20</v>
      </c>
      <c r="M34" s="30"/>
    </row>
    <row r="35" spans="1:13" x14ac:dyDescent="0.25">
      <c r="A35" s="1"/>
      <c r="B35" s="55">
        <f t="shared" si="0"/>
        <v>26</v>
      </c>
      <c r="C35" s="45" t="s">
        <v>10</v>
      </c>
      <c r="D35" s="31" t="s">
        <v>47</v>
      </c>
      <c r="E35" s="31" t="s">
        <v>122</v>
      </c>
      <c r="F35" s="31" t="s">
        <v>191</v>
      </c>
      <c r="G35" s="31" t="s">
        <v>242</v>
      </c>
      <c r="H35" s="53" t="s">
        <v>377</v>
      </c>
      <c r="I35" s="31" t="s">
        <v>287</v>
      </c>
      <c r="J35" s="31" t="s">
        <v>341</v>
      </c>
      <c r="K35" s="31">
        <v>1</v>
      </c>
      <c r="L35" s="67">
        <f t="shared" ref="L35" si="13">K35*5</f>
        <v>5</v>
      </c>
      <c r="M35" s="31"/>
    </row>
    <row r="36" spans="1:13" ht="48" x14ac:dyDescent="0.25">
      <c r="A36" s="1"/>
      <c r="B36" s="54">
        <f>ROW(B36) - ROW($B$9)</f>
        <v>27</v>
      </c>
      <c r="C36" s="43" t="s">
        <v>11</v>
      </c>
      <c r="D36" s="30" t="s">
        <v>48</v>
      </c>
      <c r="E36" s="30" t="s">
        <v>123</v>
      </c>
      <c r="F36" s="31" t="s">
        <v>370</v>
      </c>
      <c r="G36" s="30" t="s">
        <v>192</v>
      </c>
      <c r="H36" s="30" t="s">
        <v>369</v>
      </c>
      <c r="I36" s="30" t="s">
        <v>305</v>
      </c>
      <c r="J36" s="30" t="s">
        <v>369</v>
      </c>
      <c r="K36" s="30">
        <v>8</v>
      </c>
      <c r="L36" s="66">
        <f>K36*5</f>
        <v>40</v>
      </c>
      <c r="M36" s="30"/>
    </row>
    <row r="37" spans="1:13" ht="24" x14ac:dyDescent="0.25">
      <c r="A37" s="1"/>
      <c r="B37" s="55">
        <f t="shared" si="0"/>
        <v>28</v>
      </c>
      <c r="C37" s="45" t="s">
        <v>12</v>
      </c>
      <c r="D37" s="31" t="s">
        <v>49</v>
      </c>
      <c r="E37" s="31" t="s">
        <v>124</v>
      </c>
      <c r="F37" s="31" t="s">
        <v>370</v>
      </c>
      <c r="G37" s="31" t="s">
        <v>243</v>
      </c>
      <c r="H37" s="31" t="s">
        <v>369</v>
      </c>
      <c r="I37" s="31" t="s">
        <v>306</v>
      </c>
      <c r="J37" s="31" t="s">
        <v>369</v>
      </c>
      <c r="K37" s="31">
        <v>1</v>
      </c>
      <c r="L37" s="67">
        <f t="shared" ref="L37" si="14">K37*5</f>
        <v>5</v>
      </c>
      <c r="M37" s="31"/>
    </row>
    <row r="38" spans="1:13" ht="48" x14ac:dyDescent="0.25">
      <c r="A38" s="1"/>
      <c r="B38" s="54">
        <f>ROW(B38) - ROW($B$9)</f>
        <v>29</v>
      </c>
      <c r="C38" s="43" t="s">
        <v>11</v>
      </c>
      <c r="D38" s="30" t="s">
        <v>50</v>
      </c>
      <c r="E38" s="30" t="s">
        <v>125</v>
      </c>
      <c r="F38" s="31" t="s">
        <v>370</v>
      </c>
      <c r="G38" s="30" t="s">
        <v>193</v>
      </c>
      <c r="H38" s="30" t="s">
        <v>369</v>
      </c>
      <c r="I38" s="30" t="s">
        <v>305</v>
      </c>
      <c r="J38" s="30" t="s">
        <v>369</v>
      </c>
      <c r="K38" s="30">
        <v>4</v>
      </c>
      <c r="L38" s="66">
        <f>K38*5</f>
        <v>20</v>
      </c>
      <c r="M38" s="30"/>
    </row>
    <row r="39" spans="1:13" ht="48" x14ac:dyDescent="0.25">
      <c r="A39" s="1"/>
      <c r="B39" s="55">
        <f t="shared" si="0"/>
        <v>30</v>
      </c>
      <c r="C39" s="45" t="s">
        <v>399</v>
      </c>
      <c r="D39" s="74" t="s">
        <v>51</v>
      </c>
      <c r="E39" s="31" t="s">
        <v>400</v>
      </c>
      <c r="F39" s="31" t="s">
        <v>370</v>
      </c>
      <c r="G39" s="31" t="s">
        <v>401</v>
      </c>
      <c r="H39" s="31" t="s">
        <v>369</v>
      </c>
      <c r="I39" s="31" t="s">
        <v>402</v>
      </c>
      <c r="J39" s="31" t="s">
        <v>369</v>
      </c>
      <c r="K39" s="31">
        <v>1</v>
      </c>
      <c r="L39" s="67">
        <f t="shared" ref="L39" si="15">K39*5</f>
        <v>5</v>
      </c>
      <c r="M39" s="31"/>
    </row>
    <row r="40" spans="1:13" ht="36" x14ac:dyDescent="0.25">
      <c r="A40" s="1"/>
      <c r="B40" s="54">
        <f>ROW(B40) - ROW($B$9)</f>
        <v>31</v>
      </c>
      <c r="C40" s="43" t="s">
        <v>13</v>
      </c>
      <c r="D40" s="30" t="s">
        <v>52</v>
      </c>
      <c r="E40" s="30" t="s">
        <v>126</v>
      </c>
      <c r="F40" s="31" t="s">
        <v>370</v>
      </c>
      <c r="G40" s="30" t="s">
        <v>244</v>
      </c>
      <c r="H40" s="30" t="s">
        <v>369</v>
      </c>
      <c r="I40" s="30" t="s">
        <v>307</v>
      </c>
      <c r="J40" s="30" t="s">
        <v>369</v>
      </c>
      <c r="K40" s="30">
        <v>1</v>
      </c>
      <c r="L40" s="66">
        <f>K40*5</f>
        <v>5</v>
      </c>
      <c r="M40" s="30"/>
    </row>
    <row r="41" spans="1:13" ht="36" x14ac:dyDescent="0.25">
      <c r="A41" s="1"/>
      <c r="B41" s="55">
        <f t="shared" si="0"/>
        <v>32</v>
      </c>
      <c r="C41" s="45" t="s">
        <v>412</v>
      </c>
      <c r="D41" s="31" t="s">
        <v>53</v>
      </c>
      <c r="E41" s="31" t="s">
        <v>413</v>
      </c>
      <c r="F41" s="31" t="s">
        <v>370</v>
      </c>
      <c r="G41" s="31" t="s">
        <v>414</v>
      </c>
      <c r="H41" s="31"/>
      <c r="I41" s="31" t="s">
        <v>308</v>
      </c>
      <c r="J41" s="31" t="s">
        <v>369</v>
      </c>
      <c r="K41" s="31">
        <v>1</v>
      </c>
      <c r="L41" s="67">
        <f t="shared" ref="L41" si="16">K41*5</f>
        <v>5</v>
      </c>
      <c r="M41" s="31"/>
    </row>
    <row r="42" spans="1:13" ht="36" x14ac:dyDescent="0.25">
      <c r="A42" s="1"/>
      <c r="B42" s="54">
        <f>ROW(B42) - ROW($B$9)</f>
        <v>33</v>
      </c>
      <c r="C42" s="43" t="s">
        <v>14</v>
      </c>
      <c r="D42" s="30" t="s">
        <v>54</v>
      </c>
      <c r="E42" s="30" t="s">
        <v>127</v>
      </c>
      <c r="F42" s="31" t="s">
        <v>370</v>
      </c>
      <c r="G42" s="30" t="s">
        <v>194</v>
      </c>
      <c r="H42" s="30" t="s">
        <v>369</v>
      </c>
      <c r="I42" s="30" t="s">
        <v>309</v>
      </c>
      <c r="J42" s="30" t="s">
        <v>369</v>
      </c>
      <c r="K42" s="30">
        <v>2</v>
      </c>
      <c r="L42" s="66">
        <f>K42*5</f>
        <v>10</v>
      </c>
      <c r="M42" s="30"/>
    </row>
    <row r="43" spans="1:13" x14ac:dyDescent="0.25">
      <c r="A43" s="1"/>
      <c r="B43" s="55">
        <f t="shared" si="0"/>
        <v>34</v>
      </c>
      <c r="C43" s="45" t="s">
        <v>371</v>
      </c>
      <c r="D43" s="31" t="s">
        <v>55</v>
      </c>
      <c r="E43" s="31" t="s">
        <v>383</v>
      </c>
      <c r="F43" s="31" t="s">
        <v>370</v>
      </c>
      <c r="G43" s="31" t="s">
        <v>384</v>
      </c>
      <c r="H43" s="31" t="s">
        <v>369</v>
      </c>
      <c r="I43" s="31" t="s">
        <v>395</v>
      </c>
      <c r="J43" s="31" t="s">
        <v>369</v>
      </c>
      <c r="K43" s="31">
        <v>3</v>
      </c>
      <c r="L43" s="67">
        <f t="shared" ref="L43" si="17">K43*5</f>
        <v>15</v>
      </c>
      <c r="M43" s="31"/>
    </row>
    <row r="44" spans="1:13" ht="24" x14ac:dyDescent="0.25">
      <c r="A44" s="1"/>
      <c r="B44" s="54">
        <f>ROW(B44) - ROW($B$9)</f>
        <v>35</v>
      </c>
      <c r="C44" s="43" t="s">
        <v>15</v>
      </c>
      <c r="D44" s="30" t="s">
        <v>56</v>
      </c>
      <c r="E44" s="30" t="s">
        <v>128</v>
      </c>
      <c r="F44" s="31" t="s">
        <v>370</v>
      </c>
      <c r="G44" s="30" t="s">
        <v>195</v>
      </c>
      <c r="H44" s="30" t="s">
        <v>369</v>
      </c>
      <c r="I44" s="30" t="s">
        <v>310</v>
      </c>
      <c r="J44" s="30" t="s">
        <v>342</v>
      </c>
      <c r="K44" s="30">
        <v>1</v>
      </c>
      <c r="L44" s="66">
        <f>K44*5</f>
        <v>5</v>
      </c>
      <c r="M44" s="30"/>
    </row>
    <row r="45" spans="1:13" x14ac:dyDescent="0.25">
      <c r="A45" s="1"/>
      <c r="B45" s="55">
        <f t="shared" si="0"/>
        <v>36</v>
      </c>
      <c r="C45" s="43" t="s">
        <v>15</v>
      </c>
      <c r="D45" s="31" t="s">
        <v>57</v>
      </c>
      <c r="E45" s="31" t="s">
        <v>129</v>
      </c>
      <c r="F45" s="31" t="s">
        <v>196</v>
      </c>
      <c r="G45" s="31" t="s">
        <v>245</v>
      </c>
      <c r="H45" s="31" t="s">
        <v>369</v>
      </c>
      <c r="I45" s="31" t="s">
        <v>311</v>
      </c>
      <c r="J45" s="31" t="s">
        <v>343</v>
      </c>
      <c r="K45" s="31">
        <v>1</v>
      </c>
      <c r="L45" s="67">
        <f t="shared" ref="L45" si="18">K45*5</f>
        <v>5</v>
      </c>
      <c r="M45" s="31"/>
    </row>
    <row r="46" spans="1:13" ht="24" x14ac:dyDescent="0.25">
      <c r="A46" s="1"/>
      <c r="B46" s="54">
        <f>ROW(B46) - ROW($B$9)</f>
        <v>37</v>
      </c>
      <c r="C46" s="43" t="s">
        <v>16</v>
      </c>
      <c r="D46" s="30" t="s">
        <v>58</v>
      </c>
      <c r="E46" s="30" t="s">
        <v>130</v>
      </c>
      <c r="F46" s="30" t="s">
        <v>197</v>
      </c>
      <c r="G46" s="30" t="s">
        <v>246</v>
      </c>
      <c r="H46" s="30" t="s">
        <v>369</v>
      </c>
      <c r="I46" s="30" t="s">
        <v>312</v>
      </c>
      <c r="J46" s="30" t="s">
        <v>369</v>
      </c>
      <c r="K46" s="30">
        <v>2</v>
      </c>
      <c r="L46" s="66">
        <f>K46*5</f>
        <v>10</v>
      </c>
      <c r="M46" s="30"/>
    </row>
    <row r="47" spans="1:13" ht="24" x14ac:dyDescent="0.25">
      <c r="A47" s="1"/>
      <c r="B47" s="55">
        <f t="shared" si="0"/>
        <v>38</v>
      </c>
      <c r="C47" s="45" t="s">
        <v>16</v>
      </c>
      <c r="D47" s="31" t="s">
        <v>59</v>
      </c>
      <c r="E47" s="31" t="s">
        <v>131</v>
      </c>
      <c r="F47" s="31" t="s">
        <v>198</v>
      </c>
      <c r="G47" s="31" t="s">
        <v>247</v>
      </c>
      <c r="H47" s="53" t="s">
        <v>377</v>
      </c>
      <c r="I47" s="31" t="s">
        <v>312</v>
      </c>
      <c r="J47" s="31" t="s">
        <v>369</v>
      </c>
      <c r="K47" s="31">
        <v>1</v>
      </c>
      <c r="L47" s="67">
        <f t="shared" ref="L47" si="19">K47*5</f>
        <v>5</v>
      </c>
      <c r="M47" s="31"/>
    </row>
    <row r="48" spans="1:13" x14ac:dyDescent="0.25">
      <c r="A48" s="1"/>
      <c r="B48" s="54">
        <f>ROW(B48) - ROW($B$9)</f>
        <v>39</v>
      </c>
      <c r="C48" s="43" t="s">
        <v>372</v>
      </c>
      <c r="D48" s="44" t="s">
        <v>373</v>
      </c>
      <c r="E48" s="44" t="s">
        <v>132</v>
      </c>
      <c r="F48" s="44" t="s">
        <v>370</v>
      </c>
      <c r="G48" s="44" t="s">
        <v>199</v>
      </c>
      <c r="H48" s="44" t="s">
        <v>369</v>
      </c>
      <c r="I48" s="44" t="s">
        <v>369</v>
      </c>
      <c r="J48" s="44" t="s">
        <v>369</v>
      </c>
      <c r="K48" s="44">
        <v>10</v>
      </c>
      <c r="L48" s="68">
        <f>K48*5</f>
        <v>50</v>
      </c>
      <c r="M48" s="75" t="s">
        <v>407</v>
      </c>
    </row>
    <row r="49" spans="1:16381" x14ac:dyDescent="0.25">
      <c r="A49" s="1"/>
      <c r="B49" s="55">
        <f t="shared" si="0"/>
        <v>40</v>
      </c>
      <c r="C49" s="45" t="s">
        <v>374</v>
      </c>
      <c r="D49" s="31" t="s">
        <v>60</v>
      </c>
      <c r="E49" s="31" t="s">
        <v>133</v>
      </c>
      <c r="F49" s="31" t="s">
        <v>200</v>
      </c>
      <c r="G49" s="31" t="s">
        <v>248</v>
      </c>
      <c r="H49" s="31" t="s">
        <v>369</v>
      </c>
      <c r="I49" s="31" t="s">
        <v>313</v>
      </c>
      <c r="J49" s="31" t="s">
        <v>369</v>
      </c>
      <c r="K49" s="31">
        <v>1</v>
      </c>
      <c r="L49" s="67">
        <f t="shared" ref="L49" si="20">K49*5</f>
        <v>5</v>
      </c>
      <c r="M49" s="31"/>
    </row>
    <row r="50" spans="1:16381" x14ac:dyDescent="0.25">
      <c r="A50" s="1"/>
      <c r="B50" s="54">
        <f>ROW(B50) - ROW($B$9)</f>
        <v>41</v>
      </c>
      <c r="C50" s="43" t="s">
        <v>17</v>
      </c>
      <c r="D50" s="30" t="s">
        <v>61</v>
      </c>
      <c r="E50" s="30" t="s">
        <v>134</v>
      </c>
      <c r="F50" s="30" t="s">
        <v>201</v>
      </c>
      <c r="G50" s="44" t="s">
        <v>249</v>
      </c>
      <c r="H50" s="30" t="s">
        <v>378</v>
      </c>
      <c r="I50" s="30" t="s">
        <v>314</v>
      </c>
      <c r="J50" s="30" t="s">
        <v>344</v>
      </c>
      <c r="K50" s="30">
        <v>2</v>
      </c>
      <c r="L50" s="66">
        <f>K50*5</f>
        <v>10</v>
      </c>
      <c r="M50" s="30"/>
    </row>
    <row r="51" spans="1:16381" x14ac:dyDescent="0.25">
      <c r="A51" s="1"/>
      <c r="B51" s="55">
        <f t="shared" si="0"/>
        <v>42</v>
      </c>
      <c r="C51" s="45" t="s">
        <v>18</v>
      </c>
      <c r="D51" s="31" t="s">
        <v>62</v>
      </c>
      <c r="E51" s="31" t="s">
        <v>135</v>
      </c>
      <c r="F51" s="31" t="s">
        <v>370</v>
      </c>
      <c r="G51" s="31" t="s">
        <v>202</v>
      </c>
      <c r="H51" s="31" t="s">
        <v>369</v>
      </c>
      <c r="I51" s="31" t="s">
        <v>315</v>
      </c>
      <c r="J51" s="31" t="s">
        <v>369</v>
      </c>
      <c r="K51" s="31">
        <v>1</v>
      </c>
      <c r="L51" s="67">
        <f t="shared" ref="L51" si="21">K51*5</f>
        <v>5</v>
      </c>
      <c r="M51" s="75" t="s">
        <v>407</v>
      </c>
    </row>
    <row r="52" spans="1:16381" x14ac:dyDescent="0.25">
      <c r="A52" s="1"/>
      <c r="B52" s="54">
        <f>ROW(B52) - ROW($B$9)</f>
        <v>43</v>
      </c>
      <c r="C52" s="43" t="s">
        <v>17</v>
      </c>
      <c r="D52" s="30" t="s">
        <v>63</v>
      </c>
      <c r="E52" s="30" t="s">
        <v>136</v>
      </c>
      <c r="F52" s="30" t="s">
        <v>201</v>
      </c>
      <c r="G52" s="30" t="s">
        <v>250</v>
      </c>
      <c r="H52" s="30" t="s">
        <v>369</v>
      </c>
      <c r="I52" s="30" t="s">
        <v>286</v>
      </c>
      <c r="J52" s="30" t="s">
        <v>345</v>
      </c>
      <c r="K52" s="30">
        <v>1</v>
      </c>
      <c r="L52" s="66">
        <f>K52*5</f>
        <v>5</v>
      </c>
      <c r="M52" s="30"/>
    </row>
    <row r="53" spans="1:16381" ht="24" x14ac:dyDescent="0.25">
      <c r="A53" s="1"/>
      <c r="B53" s="55">
        <f t="shared" si="0"/>
        <v>44</v>
      </c>
      <c r="C53" s="45" t="s">
        <v>17</v>
      </c>
      <c r="D53" s="31" t="s">
        <v>385</v>
      </c>
      <c r="E53" s="31" t="s">
        <v>137</v>
      </c>
      <c r="F53" s="31" t="s">
        <v>203</v>
      </c>
      <c r="G53" s="31" t="s">
        <v>251</v>
      </c>
      <c r="H53" s="31" t="s">
        <v>369</v>
      </c>
      <c r="I53" s="31" t="s">
        <v>286</v>
      </c>
      <c r="J53" s="31" t="s">
        <v>346</v>
      </c>
      <c r="K53" s="31">
        <v>12</v>
      </c>
      <c r="L53" s="67">
        <f t="shared" ref="L53" si="22">K53*5</f>
        <v>60</v>
      </c>
      <c r="M53" s="31"/>
    </row>
    <row r="54" spans="1:16381" x14ac:dyDescent="0.25">
      <c r="A54" s="1"/>
      <c r="B54" s="54">
        <f>ROW(B54) - ROW($B$9)</f>
        <v>45</v>
      </c>
      <c r="C54" s="45" t="s">
        <v>17</v>
      </c>
      <c r="D54" s="73" t="s">
        <v>403</v>
      </c>
      <c r="E54" s="30" t="s">
        <v>138</v>
      </c>
      <c r="F54" s="30" t="s">
        <v>203</v>
      </c>
      <c r="G54" s="44" t="s">
        <v>252</v>
      </c>
      <c r="H54" s="30" t="s">
        <v>379</v>
      </c>
      <c r="I54" s="30" t="s">
        <v>286</v>
      </c>
      <c r="J54" s="30" t="s">
        <v>347</v>
      </c>
      <c r="K54" s="30">
        <v>8</v>
      </c>
      <c r="L54" s="66">
        <f>K54*5</f>
        <v>40</v>
      </c>
      <c r="M54" s="30"/>
    </row>
    <row r="55" spans="1:16381" ht="36" x14ac:dyDescent="0.25">
      <c r="A55" s="1"/>
      <c r="B55" s="55">
        <f t="shared" si="0"/>
        <v>46</v>
      </c>
      <c r="C55" s="45" t="s">
        <v>17</v>
      </c>
      <c r="D55" s="31" t="s">
        <v>64</v>
      </c>
      <c r="E55" s="31" t="s">
        <v>139</v>
      </c>
      <c r="F55" s="31" t="s">
        <v>204</v>
      </c>
      <c r="G55" s="31" t="s">
        <v>253</v>
      </c>
      <c r="H55" s="31" t="s">
        <v>369</v>
      </c>
      <c r="I55" s="31" t="s">
        <v>316</v>
      </c>
      <c r="J55" s="31" t="s">
        <v>348</v>
      </c>
      <c r="K55" s="31">
        <v>1</v>
      </c>
      <c r="L55" s="67">
        <f t="shared" ref="L55" si="23">K55*5</f>
        <v>5</v>
      </c>
      <c r="M55" s="31"/>
    </row>
    <row r="56" spans="1:16381" x14ac:dyDescent="0.25">
      <c r="A56" s="1"/>
      <c r="B56" s="54">
        <f>ROW(B56) - ROW($B$9)</f>
        <v>47</v>
      </c>
      <c r="C56" s="45" t="s">
        <v>17</v>
      </c>
      <c r="D56" s="30" t="s">
        <v>65</v>
      </c>
      <c r="E56" s="30" t="s">
        <v>140</v>
      </c>
      <c r="F56" s="30" t="s">
        <v>203</v>
      </c>
      <c r="G56" s="30" t="s">
        <v>254</v>
      </c>
      <c r="H56" s="30" t="s">
        <v>369</v>
      </c>
      <c r="I56" s="30" t="s">
        <v>286</v>
      </c>
      <c r="J56" s="30" t="s">
        <v>349</v>
      </c>
      <c r="K56" s="30">
        <v>2</v>
      </c>
      <c r="L56" s="66">
        <f>K56*5</f>
        <v>10</v>
      </c>
      <c r="M56" s="30"/>
    </row>
    <row r="57" spans="1:16381" x14ac:dyDescent="0.25">
      <c r="A57" s="1"/>
      <c r="B57" s="55">
        <f t="shared" si="0"/>
        <v>48</v>
      </c>
      <c r="C57" s="45" t="s">
        <v>17</v>
      </c>
      <c r="D57" s="31" t="s">
        <v>386</v>
      </c>
      <c r="E57" s="31" t="s">
        <v>141</v>
      </c>
      <c r="F57" s="31" t="s">
        <v>203</v>
      </c>
      <c r="G57" s="73" t="s">
        <v>255</v>
      </c>
      <c r="H57" s="31" t="s">
        <v>369</v>
      </c>
      <c r="I57" s="31" t="s">
        <v>286</v>
      </c>
      <c r="J57" s="31" t="s">
        <v>350</v>
      </c>
      <c r="K57" s="31">
        <v>2</v>
      </c>
      <c r="L57" s="67">
        <f t="shared" ref="L57" si="24">K57*5</f>
        <v>10</v>
      </c>
      <c r="M57" s="31"/>
    </row>
    <row r="58" spans="1:16381" x14ac:dyDescent="0.25">
      <c r="A58" s="1"/>
      <c r="B58" s="54">
        <f>ROW(B58) - ROW($B$9)</f>
        <v>49</v>
      </c>
      <c r="C58" s="43" t="s">
        <v>17</v>
      </c>
      <c r="D58" s="30" t="s">
        <v>66</v>
      </c>
      <c r="E58" s="30" t="s">
        <v>142</v>
      </c>
      <c r="F58" s="30" t="s">
        <v>201</v>
      </c>
      <c r="G58" s="30" t="s">
        <v>256</v>
      </c>
      <c r="H58" s="30" t="s">
        <v>369</v>
      </c>
      <c r="I58" s="30" t="s">
        <v>286</v>
      </c>
      <c r="J58" s="30" t="s">
        <v>351</v>
      </c>
      <c r="K58" s="30">
        <v>2</v>
      </c>
      <c r="L58" s="66">
        <f>K58*5</f>
        <v>10</v>
      </c>
      <c r="M58" s="30"/>
    </row>
    <row r="59" spans="1:16381" ht="36" x14ac:dyDescent="0.25">
      <c r="A59" s="1"/>
      <c r="B59" s="55">
        <f t="shared" si="0"/>
        <v>50</v>
      </c>
      <c r="C59" s="45" t="s">
        <v>17</v>
      </c>
      <c r="D59" s="31" t="s">
        <v>67</v>
      </c>
      <c r="E59" s="31" t="s">
        <v>143</v>
      </c>
      <c r="F59" s="31" t="s">
        <v>201</v>
      </c>
      <c r="G59" s="31" t="s">
        <v>257</v>
      </c>
      <c r="H59" s="31" t="s">
        <v>369</v>
      </c>
      <c r="I59" s="31" t="s">
        <v>286</v>
      </c>
      <c r="J59" s="31" t="s">
        <v>352</v>
      </c>
      <c r="K59" s="31">
        <v>22</v>
      </c>
      <c r="L59" s="67">
        <f t="shared" ref="L59" si="25">K59*5</f>
        <v>110</v>
      </c>
      <c r="M59" s="31"/>
    </row>
    <row r="60" spans="1:16381" x14ac:dyDescent="0.25">
      <c r="A60" s="1"/>
      <c r="B60" s="54">
        <f>ROW(B60) - ROW($B$9)</f>
        <v>51</v>
      </c>
      <c r="C60" s="45" t="s">
        <v>17</v>
      </c>
      <c r="D60" s="30" t="s">
        <v>68</v>
      </c>
      <c r="E60" s="30" t="s">
        <v>144</v>
      </c>
      <c r="F60" s="30" t="s">
        <v>201</v>
      </c>
      <c r="G60" s="30" t="s">
        <v>258</v>
      </c>
      <c r="H60" s="30" t="s">
        <v>369</v>
      </c>
      <c r="I60" s="30" t="s">
        <v>286</v>
      </c>
      <c r="J60" s="30" t="s">
        <v>353</v>
      </c>
      <c r="K60" s="30">
        <v>1</v>
      </c>
      <c r="L60" s="66">
        <f>K60*5</f>
        <v>5</v>
      </c>
      <c r="M60" s="30"/>
    </row>
    <row r="61" spans="1:16381" ht="24" x14ac:dyDescent="0.25">
      <c r="A61" s="1"/>
      <c r="B61" s="54">
        <f>ROW(B61) - ROW($B$9)</f>
        <v>52</v>
      </c>
      <c r="C61" s="43" t="s">
        <v>17</v>
      </c>
      <c r="D61" s="31" t="s">
        <v>387</v>
      </c>
      <c r="E61" s="30" t="s">
        <v>149</v>
      </c>
      <c r="F61" s="30" t="s">
        <v>201</v>
      </c>
      <c r="G61" s="30" t="s">
        <v>263</v>
      </c>
      <c r="H61" s="30" t="s">
        <v>369</v>
      </c>
      <c r="I61" s="30" t="s">
        <v>286</v>
      </c>
      <c r="J61" s="30" t="s">
        <v>358</v>
      </c>
      <c r="K61" s="30">
        <v>11</v>
      </c>
      <c r="L61" s="66">
        <f>K61*5</f>
        <v>55</v>
      </c>
      <c r="M61" s="31"/>
    </row>
    <row r="62" spans="1:16381" x14ac:dyDescent="0.25">
      <c r="A62" s="1"/>
      <c r="B62" s="54">
        <f>ROW(B62) - ROW($B$9)</f>
        <v>53</v>
      </c>
      <c r="C62" s="45" t="s">
        <v>388</v>
      </c>
      <c r="D62" s="73" t="s">
        <v>404</v>
      </c>
      <c r="E62" s="30" t="s">
        <v>405</v>
      </c>
      <c r="F62" s="30" t="s">
        <v>370</v>
      </c>
      <c r="G62" s="30" t="s">
        <v>406</v>
      </c>
      <c r="H62" s="30" t="s">
        <v>369</v>
      </c>
      <c r="I62" s="30" t="s">
        <v>286</v>
      </c>
      <c r="J62" s="30" t="s">
        <v>349</v>
      </c>
      <c r="K62" s="30">
        <v>3</v>
      </c>
      <c r="L62" s="30">
        <f>K62*5</f>
        <v>15</v>
      </c>
      <c r="M62" s="31"/>
      <c r="N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  <c r="WYX62" s="1"/>
      <c r="WYY62" s="1"/>
      <c r="WYZ62" s="1"/>
      <c r="WZA62" s="1"/>
      <c r="WZB62" s="1"/>
      <c r="WZC62" s="1"/>
      <c r="WZD62" s="1"/>
      <c r="WZE62" s="1"/>
      <c r="WZF62" s="1"/>
      <c r="WZG62" s="1"/>
      <c r="WZH62" s="1"/>
      <c r="WZI62" s="1"/>
      <c r="WZJ62" s="1"/>
      <c r="WZK62" s="1"/>
      <c r="WZL62" s="1"/>
      <c r="WZM62" s="1"/>
      <c r="WZN62" s="1"/>
      <c r="WZO62" s="1"/>
      <c r="WZP62" s="1"/>
      <c r="WZQ62" s="1"/>
      <c r="WZR62" s="1"/>
      <c r="WZS62" s="1"/>
      <c r="WZT62" s="1"/>
      <c r="WZU62" s="1"/>
      <c r="WZV62" s="1"/>
      <c r="WZW62" s="1"/>
      <c r="WZX62" s="1"/>
      <c r="WZY62" s="1"/>
      <c r="WZZ62" s="1"/>
      <c r="XAA62" s="1"/>
      <c r="XAB62" s="1"/>
      <c r="XAC62" s="1"/>
      <c r="XAD62" s="1"/>
      <c r="XAE62" s="1"/>
      <c r="XAF62" s="1"/>
      <c r="XAG62" s="1"/>
      <c r="XAH62" s="1"/>
      <c r="XAI62" s="1"/>
      <c r="XAJ62" s="1"/>
      <c r="XAK62" s="1"/>
      <c r="XAL62" s="1"/>
      <c r="XAM62" s="1"/>
      <c r="XAN62" s="1"/>
      <c r="XAO62" s="1"/>
      <c r="XAP62" s="1"/>
      <c r="XAQ62" s="1"/>
      <c r="XAR62" s="1"/>
      <c r="XAS62" s="1"/>
      <c r="XAT62" s="1"/>
      <c r="XAU62" s="1"/>
      <c r="XAV62" s="1"/>
      <c r="XAW62" s="1"/>
      <c r="XAX62" s="1"/>
      <c r="XAY62" s="1"/>
      <c r="XAZ62" s="1"/>
      <c r="XBA62" s="1"/>
      <c r="XBB62" s="1"/>
      <c r="XBC62" s="1"/>
      <c r="XBD62" s="1"/>
      <c r="XBE62" s="1"/>
      <c r="XBF62" s="1"/>
      <c r="XBG62" s="1"/>
      <c r="XBH62" s="1"/>
      <c r="XBI62" s="1"/>
      <c r="XBJ62" s="1"/>
      <c r="XBK62" s="1"/>
      <c r="XBL62" s="1"/>
      <c r="XBM62" s="1"/>
      <c r="XBN62" s="1"/>
      <c r="XBO62" s="1"/>
      <c r="XBP62" s="1"/>
      <c r="XBQ62" s="1"/>
      <c r="XBR62" s="1"/>
      <c r="XBS62" s="1"/>
      <c r="XBT62" s="1"/>
      <c r="XBU62" s="1"/>
      <c r="XBV62" s="1"/>
      <c r="XBW62" s="1"/>
      <c r="XBX62" s="1"/>
      <c r="XBY62" s="1"/>
      <c r="XBZ62" s="1"/>
      <c r="XCA62" s="1"/>
      <c r="XCB62" s="1"/>
      <c r="XCC62" s="1"/>
      <c r="XCD62" s="1"/>
      <c r="XCE62" s="1"/>
      <c r="XCF62" s="1"/>
      <c r="XCG62" s="1"/>
      <c r="XCH62" s="1"/>
      <c r="XCI62" s="1"/>
      <c r="XCJ62" s="1"/>
      <c r="XCK62" s="1"/>
      <c r="XCL62" s="1"/>
      <c r="XCM62" s="1"/>
      <c r="XCN62" s="1"/>
      <c r="XCO62" s="1"/>
      <c r="XCP62" s="1"/>
      <c r="XCQ62" s="1"/>
      <c r="XCR62" s="1"/>
      <c r="XCS62" s="1"/>
      <c r="XCT62" s="1"/>
      <c r="XCU62" s="1"/>
      <c r="XCV62" s="1"/>
      <c r="XCW62" s="1"/>
      <c r="XCX62" s="1"/>
      <c r="XCY62" s="1"/>
      <c r="XCZ62" s="1"/>
      <c r="XDA62" s="1"/>
      <c r="XDB62" s="1"/>
      <c r="XDC62" s="1"/>
      <c r="XDD62" s="1"/>
      <c r="XDE62" s="1"/>
      <c r="XDF62" s="1"/>
      <c r="XDG62" s="1"/>
      <c r="XDH62" s="1"/>
      <c r="XDI62" s="1"/>
      <c r="XDJ62" s="1"/>
      <c r="XDK62" s="1"/>
      <c r="XDL62" s="1"/>
      <c r="XDM62" s="1"/>
      <c r="XDN62" s="1"/>
      <c r="XDO62" s="1"/>
      <c r="XDP62" s="1"/>
      <c r="XDQ62" s="1"/>
      <c r="XDR62" s="1"/>
      <c r="XDS62" s="1"/>
      <c r="XDT62" s="1"/>
      <c r="XDU62" s="1"/>
      <c r="XDV62" s="1"/>
      <c r="XDW62" s="1"/>
      <c r="XDX62" s="1"/>
      <c r="XDY62" s="1"/>
      <c r="XDZ62" s="1"/>
      <c r="XEA62" s="1"/>
      <c r="XEB62" s="1"/>
      <c r="XEC62" s="1"/>
      <c r="XED62" s="1"/>
      <c r="XEE62" s="1"/>
      <c r="XEF62" s="1"/>
      <c r="XEG62" s="1"/>
      <c r="XEH62" s="1"/>
      <c r="XEI62" s="1"/>
      <c r="XEJ62" s="1"/>
      <c r="XEK62" s="1"/>
      <c r="XEL62" s="1"/>
      <c r="XEM62" s="1"/>
      <c r="XEN62" s="1"/>
      <c r="XEO62" s="1"/>
      <c r="XEP62" s="1"/>
      <c r="XEQ62" s="1"/>
      <c r="XER62" s="1"/>
      <c r="XES62" s="1"/>
      <c r="XET62" s="1"/>
      <c r="XEU62" s="1"/>
      <c r="XEV62" s="1"/>
      <c r="XEW62" s="1"/>
      <c r="XEX62" s="1"/>
      <c r="XEY62" s="1"/>
      <c r="XEZ62" s="1"/>
      <c r="XFA62" s="1"/>
    </row>
    <row r="63" spans="1:16381" x14ac:dyDescent="0.25">
      <c r="A63" s="1"/>
      <c r="B63" s="54">
        <f>ROW(B63) - ROW($B$9)</f>
        <v>54</v>
      </c>
      <c r="C63" s="43" t="s">
        <v>17</v>
      </c>
      <c r="D63" s="30" t="s">
        <v>69</v>
      </c>
      <c r="E63" s="30" t="s">
        <v>145</v>
      </c>
      <c r="F63" s="30" t="s">
        <v>201</v>
      </c>
      <c r="G63" s="30" t="s">
        <v>259</v>
      </c>
      <c r="H63" s="30" t="s">
        <v>369</v>
      </c>
      <c r="I63" s="30" t="s">
        <v>286</v>
      </c>
      <c r="J63" s="30" t="s">
        <v>354</v>
      </c>
      <c r="K63" s="30">
        <v>4</v>
      </c>
      <c r="L63" s="66">
        <f>K63*5</f>
        <v>20</v>
      </c>
      <c r="M63" s="31"/>
    </row>
    <row r="64" spans="1:16381" x14ac:dyDescent="0.25">
      <c r="A64" s="1"/>
      <c r="B64" s="55">
        <f t="shared" si="0"/>
        <v>55</v>
      </c>
      <c r="C64" s="45" t="s">
        <v>17</v>
      </c>
      <c r="D64" s="31" t="s">
        <v>70</v>
      </c>
      <c r="E64" s="31" t="s">
        <v>146</v>
      </c>
      <c r="F64" s="31" t="s">
        <v>204</v>
      </c>
      <c r="G64" s="31" t="s">
        <v>260</v>
      </c>
      <c r="H64" s="31" t="s">
        <v>369</v>
      </c>
      <c r="I64" s="31" t="s">
        <v>286</v>
      </c>
      <c r="J64" s="31" t="s">
        <v>355</v>
      </c>
      <c r="K64" s="31">
        <v>1</v>
      </c>
      <c r="L64" s="67">
        <f t="shared" ref="L64" si="26">K64*5</f>
        <v>5</v>
      </c>
      <c r="M64" s="31"/>
    </row>
    <row r="65" spans="1:13" x14ac:dyDescent="0.25">
      <c r="A65" s="1"/>
      <c r="B65" s="54">
        <f>ROW(B65) - ROW($B$9)</f>
        <v>56</v>
      </c>
      <c r="C65" s="43" t="s">
        <v>17</v>
      </c>
      <c r="D65" s="30" t="s">
        <v>71</v>
      </c>
      <c r="E65" s="30" t="s">
        <v>147</v>
      </c>
      <c r="F65" s="30" t="s">
        <v>201</v>
      </c>
      <c r="G65" s="30" t="s">
        <v>261</v>
      </c>
      <c r="H65" s="30" t="s">
        <v>369</v>
      </c>
      <c r="I65" s="30" t="s">
        <v>286</v>
      </c>
      <c r="J65" s="30" t="s">
        <v>356</v>
      </c>
      <c r="K65" s="30">
        <v>1</v>
      </c>
      <c r="L65" s="66">
        <f>K65*5</f>
        <v>5</v>
      </c>
      <c r="M65" s="30"/>
    </row>
    <row r="66" spans="1:13" x14ac:dyDescent="0.25">
      <c r="A66" s="1"/>
      <c r="B66" s="55">
        <f t="shared" si="0"/>
        <v>57</v>
      </c>
      <c r="C66" s="43" t="s">
        <v>17</v>
      </c>
      <c r="D66" s="31" t="s">
        <v>72</v>
      </c>
      <c r="E66" s="31" t="s">
        <v>148</v>
      </c>
      <c r="F66" s="31" t="s">
        <v>204</v>
      </c>
      <c r="G66" s="31" t="s">
        <v>262</v>
      </c>
      <c r="H66" s="31" t="s">
        <v>369</v>
      </c>
      <c r="I66" s="31" t="s">
        <v>286</v>
      </c>
      <c r="J66" s="31" t="s">
        <v>357</v>
      </c>
      <c r="K66" s="31">
        <v>1</v>
      </c>
      <c r="L66" s="67">
        <f t="shared" ref="L66:L67" si="27">K66*5</f>
        <v>5</v>
      </c>
      <c r="M66" s="31"/>
    </row>
    <row r="67" spans="1:13" x14ac:dyDescent="0.25">
      <c r="A67" s="1"/>
      <c r="B67" s="55">
        <f t="shared" si="0"/>
        <v>58</v>
      </c>
      <c r="C67" s="43" t="s">
        <v>17</v>
      </c>
      <c r="D67" s="31" t="s">
        <v>73</v>
      </c>
      <c r="E67" s="31" t="s">
        <v>150</v>
      </c>
      <c r="F67" s="31" t="s">
        <v>201</v>
      </c>
      <c r="G67" s="73" t="s">
        <v>264</v>
      </c>
      <c r="H67" s="31" t="s">
        <v>397</v>
      </c>
      <c r="I67" s="31" t="s">
        <v>317</v>
      </c>
      <c r="J67" s="31" t="s">
        <v>359</v>
      </c>
      <c r="K67" s="31">
        <v>4</v>
      </c>
      <c r="L67" s="67">
        <f t="shared" si="27"/>
        <v>20</v>
      </c>
      <c r="M67" s="30"/>
    </row>
    <row r="68" spans="1:13" x14ac:dyDescent="0.25">
      <c r="A68" s="1"/>
      <c r="B68" s="54">
        <f>ROW(B68) - ROW($B$9)</f>
        <v>59</v>
      </c>
      <c r="C68" s="43" t="s">
        <v>17</v>
      </c>
      <c r="D68" s="30" t="s">
        <v>74</v>
      </c>
      <c r="E68" s="30" t="s">
        <v>151</v>
      </c>
      <c r="F68" s="30" t="s">
        <v>204</v>
      </c>
      <c r="G68" s="30" t="s">
        <v>265</v>
      </c>
      <c r="H68" s="30" t="s">
        <v>369</v>
      </c>
      <c r="I68" s="30" t="s">
        <v>286</v>
      </c>
      <c r="J68" s="30" t="s">
        <v>360</v>
      </c>
      <c r="K68" s="30">
        <v>1</v>
      </c>
      <c r="L68" s="66">
        <f>K68*5</f>
        <v>5</v>
      </c>
      <c r="M68" s="31"/>
    </row>
    <row r="69" spans="1:13" x14ac:dyDescent="0.25">
      <c r="A69" s="1"/>
      <c r="B69" s="55">
        <f t="shared" si="0"/>
        <v>60</v>
      </c>
      <c r="C69" s="43" t="s">
        <v>17</v>
      </c>
      <c r="D69" s="31" t="s">
        <v>75</v>
      </c>
      <c r="E69" s="31" t="s">
        <v>152</v>
      </c>
      <c r="F69" s="31" t="s">
        <v>201</v>
      </c>
      <c r="G69" s="31" t="s">
        <v>266</v>
      </c>
      <c r="H69" s="31" t="s">
        <v>369</v>
      </c>
      <c r="I69" s="31" t="s">
        <v>314</v>
      </c>
      <c r="J69" s="31" t="s">
        <v>361</v>
      </c>
      <c r="K69" s="31">
        <v>1</v>
      </c>
      <c r="L69" s="67">
        <f t="shared" ref="L69" si="28">K69*5</f>
        <v>5</v>
      </c>
      <c r="M69" s="30"/>
    </row>
    <row r="70" spans="1:13" x14ac:dyDescent="0.25">
      <c r="A70" s="1"/>
      <c r="B70" s="54">
        <f>ROW(B70) - ROW($B$9)</f>
        <v>61</v>
      </c>
      <c r="C70" s="43" t="s">
        <v>17</v>
      </c>
      <c r="D70" s="30" t="s">
        <v>76</v>
      </c>
      <c r="E70" s="30" t="s">
        <v>153</v>
      </c>
      <c r="F70" s="30" t="s">
        <v>204</v>
      </c>
      <c r="G70" s="30" t="s">
        <v>267</v>
      </c>
      <c r="H70" s="30" t="s">
        <v>369</v>
      </c>
      <c r="I70" s="30" t="s">
        <v>286</v>
      </c>
      <c r="J70" s="30" t="s">
        <v>362</v>
      </c>
      <c r="K70" s="30">
        <v>2</v>
      </c>
      <c r="L70" s="66">
        <f>K70*5</f>
        <v>10</v>
      </c>
      <c r="M70" s="31"/>
    </row>
    <row r="71" spans="1:13" x14ac:dyDescent="0.25">
      <c r="A71" s="1"/>
      <c r="B71" s="55">
        <f t="shared" si="0"/>
        <v>62</v>
      </c>
      <c r="C71" s="45" t="s">
        <v>17</v>
      </c>
      <c r="D71" s="31" t="s">
        <v>77</v>
      </c>
      <c r="E71" s="31" t="s">
        <v>154</v>
      </c>
      <c r="F71" s="31" t="s">
        <v>201</v>
      </c>
      <c r="G71" s="31" t="s">
        <v>268</v>
      </c>
      <c r="H71" s="31" t="s">
        <v>369</v>
      </c>
      <c r="I71" s="31" t="s">
        <v>286</v>
      </c>
      <c r="J71" s="31" t="s">
        <v>363</v>
      </c>
      <c r="K71" s="31">
        <v>1</v>
      </c>
      <c r="L71" s="67">
        <f t="shared" ref="L71:L72" si="29">K71*5</f>
        <v>5</v>
      </c>
      <c r="M71" s="30"/>
    </row>
    <row r="72" spans="1:13" x14ac:dyDescent="0.25">
      <c r="A72" s="1"/>
      <c r="B72" s="55">
        <f t="shared" si="0"/>
        <v>63</v>
      </c>
      <c r="C72" s="45" t="s">
        <v>388</v>
      </c>
      <c r="D72" s="31" t="s">
        <v>389</v>
      </c>
      <c r="E72" s="31" t="s">
        <v>390</v>
      </c>
      <c r="F72" s="31" t="s">
        <v>370</v>
      </c>
      <c r="G72" s="31" t="s">
        <v>391</v>
      </c>
      <c r="H72" s="31" t="s">
        <v>369</v>
      </c>
      <c r="I72" s="31" t="s">
        <v>286</v>
      </c>
      <c r="J72" s="31" t="s">
        <v>346</v>
      </c>
      <c r="K72" s="31">
        <v>5</v>
      </c>
      <c r="L72" s="67">
        <f t="shared" si="29"/>
        <v>25</v>
      </c>
      <c r="M72" s="31"/>
    </row>
    <row r="73" spans="1:13" x14ac:dyDescent="0.25">
      <c r="A73" s="1"/>
      <c r="B73" s="54">
        <f>ROW(B73) - ROW($B$9)</f>
        <v>64</v>
      </c>
      <c r="C73" s="43" t="s">
        <v>19</v>
      </c>
      <c r="D73" s="46" t="s">
        <v>78</v>
      </c>
      <c r="E73" s="46" t="s">
        <v>155</v>
      </c>
      <c r="F73" s="47" t="s">
        <v>370</v>
      </c>
      <c r="G73" s="46" t="s">
        <v>205</v>
      </c>
      <c r="H73" s="46" t="s">
        <v>369</v>
      </c>
      <c r="I73" s="46" t="s">
        <v>369</v>
      </c>
      <c r="J73" s="46" t="s">
        <v>369</v>
      </c>
      <c r="K73" s="46">
        <v>2</v>
      </c>
      <c r="L73" s="69">
        <f>K73*5</f>
        <v>10</v>
      </c>
      <c r="M73" s="30"/>
    </row>
    <row r="74" spans="1:13" ht="24" x14ac:dyDescent="0.25">
      <c r="A74" s="1"/>
      <c r="B74" s="55">
        <f t="shared" si="0"/>
        <v>65</v>
      </c>
      <c r="C74" s="45" t="s">
        <v>20</v>
      </c>
      <c r="D74" s="31" t="s">
        <v>79</v>
      </c>
      <c r="E74" s="31" t="s">
        <v>156</v>
      </c>
      <c r="F74" s="31" t="s">
        <v>370</v>
      </c>
      <c r="G74" s="31" t="s">
        <v>206</v>
      </c>
      <c r="H74" s="31" t="s">
        <v>369</v>
      </c>
      <c r="I74" s="31" t="s">
        <v>318</v>
      </c>
      <c r="J74" s="31" t="s">
        <v>369</v>
      </c>
      <c r="K74" s="31">
        <v>1</v>
      </c>
      <c r="L74" s="67">
        <f t="shared" ref="L74" si="30">K74*5</f>
        <v>5</v>
      </c>
      <c r="M74" s="31"/>
    </row>
    <row r="75" spans="1:13" x14ac:dyDescent="0.25">
      <c r="A75" s="1"/>
      <c r="B75" s="54">
        <f>ROW(B75) - ROW($B$9)</f>
        <v>66</v>
      </c>
      <c r="C75" s="43" t="s">
        <v>21</v>
      </c>
      <c r="D75" s="30" t="s">
        <v>80</v>
      </c>
      <c r="E75" s="30" t="s">
        <v>157</v>
      </c>
      <c r="F75" s="30" t="s">
        <v>207</v>
      </c>
      <c r="G75" s="30" t="s">
        <v>269</v>
      </c>
      <c r="H75" s="30" t="s">
        <v>369</v>
      </c>
      <c r="I75" s="30" t="s">
        <v>319</v>
      </c>
      <c r="J75" s="30" t="s">
        <v>369</v>
      </c>
      <c r="K75" s="30">
        <v>1</v>
      </c>
      <c r="L75" s="66">
        <f>K75*5</f>
        <v>5</v>
      </c>
      <c r="M75" s="30"/>
    </row>
    <row r="76" spans="1:13" x14ac:dyDescent="0.25">
      <c r="A76" s="1"/>
      <c r="B76" s="55">
        <f t="shared" si="0"/>
        <v>67</v>
      </c>
      <c r="C76" s="45" t="s">
        <v>21</v>
      </c>
      <c r="D76" s="31" t="s">
        <v>81</v>
      </c>
      <c r="E76" s="31" t="s">
        <v>158</v>
      </c>
      <c r="F76" s="31" t="s">
        <v>208</v>
      </c>
      <c r="G76" s="31" t="s">
        <v>270</v>
      </c>
      <c r="H76" s="31" t="s">
        <v>369</v>
      </c>
      <c r="I76" s="31" t="s">
        <v>319</v>
      </c>
      <c r="J76" s="31" t="s">
        <v>369</v>
      </c>
      <c r="K76" s="31">
        <v>1</v>
      </c>
      <c r="L76" s="67">
        <f t="shared" ref="L76" si="31">K76*5</f>
        <v>5</v>
      </c>
      <c r="M76" s="31"/>
    </row>
    <row r="77" spans="1:13" ht="36" x14ac:dyDescent="0.25">
      <c r="A77" s="1"/>
      <c r="B77" s="54">
        <f>ROW(B77) - ROW($B$9)</f>
        <v>68</v>
      </c>
      <c r="C77" s="43" t="s">
        <v>21</v>
      </c>
      <c r="D77" s="30" t="s">
        <v>82</v>
      </c>
      <c r="E77" s="30" t="s">
        <v>159</v>
      </c>
      <c r="F77" s="30" t="s">
        <v>209</v>
      </c>
      <c r="G77" s="30" t="s">
        <v>271</v>
      </c>
      <c r="H77" s="30" t="s">
        <v>369</v>
      </c>
      <c r="I77" s="30" t="s">
        <v>320</v>
      </c>
      <c r="J77" s="30" t="s">
        <v>369</v>
      </c>
      <c r="K77" s="30">
        <v>1</v>
      </c>
      <c r="L77" s="66">
        <f>K77*5</f>
        <v>5</v>
      </c>
      <c r="M77" s="30"/>
    </row>
    <row r="78" spans="1:13" x14ac:dyDescent="0.25">
      <c r="A78" s="1"/>
      <c r="B78" s="55">
        <f t="shared" si="0"/>
        <v>69</v>
      </c>
      <c r="C78" s="45" t="s">
        <v>21</v>
      </c>
      <c r="D78" s="31" t="s">
        <v>83</v>
      </c>
      <c r="E78" s="31" t="s">
        <v>160</v>
      </c>
      <c r="F78" s="31" t="s">
        <v>210</v>
      </c>
      <c r="G78" s="31" t="s">
        <v>272</v>
      </c>
      <c r="H78" s="31" t="s">
        <v>369</v>
      </c>
      <c r="I78" s="31" t="s">
        <v>321</v>
      </c>
      <c r="J78" s="31" t="s">
        <v>369</v>
      </c>
      <c r="K78" s="31">
        <v>1</v>
      </c>
      <c r="L78" s="67">
        <f t="shared" ref="L78" si="32">K78*5</f>
        <v>5</v>
      </c>
      <c r="M78" s="31"/>
    </row>
    <row r="79" spans="1:13" x14ac:dyDescent="0.25">
      <c r="A79" s="1"/>
      <c r="B79" s="54">
        <f>ROW(B79) - ROW($B$9)</f>
        <v>70</v>
      </c>
      <c r="C79" s="43" t="s">
        <v>21</v>
      </c>
      <c r="D79" s="30" t="s">
        <v>84</v>
      </c>
      <c r="E79" s="30" t="s">
        <v>161</v>
      </c>
      <c r="F79" s="30" t="s">
        <v>211</v>
      </c>
      <c r="G79" s="30" t="s">
        <v>273</v>
      </c>
      <c r="H79" s="30"/>
      <c r="I79" s="30" t="s">
        <v>322</v>
      </c>
      <c r="J79" s="30" t="s">
        <v>369</v>
      </c>
      <c r="K79" s="30">
        <v>1</v>
      </c>
      <c r="L79" s="66">
        <f>K79*5</f>
        <v>5</v>
      </c>
      <c r="M79" s="30"/>
    </row>
    <row r="80" spans="1:13" x14ac:dyDescent="0.25">
      <c r="A80" s="1"/>
      <c r="B80" s="56">
        <f t="shared" si="0"/>
        <v>71</v>
      </c>
      <c r="C80" s="48" t="s">
        <v>21</v>
      </c>
      <c r="D80" s="49" t="s">
        <v>85</v>
      </c>
      <c r="E80" s="49" t="s">
        <v>162</v>
      </c>
      <c r="F80" s="49" t="s">
        <v>212</v>
      </c>
      <c r="G80" s="49" t="s">
        <v>274</v>
      </c>
      <c r="H80" s="49" t="s">
        <v>369</v>
      </c>
      <c r="I80" s="49" t="s">
        <v>323</v>
      </c>
      <c r="J80" s="49" t="s">
        <v>369</v>
      </c>
      <c r="K80" s="49">
        <v>1</v>
      </c>
      <c r="L80" s="70">
        <f t="shared" ref="L80" si="33">K80*5</f>
        <v>5</v>
      </c>
      <c r="M80" s="31"/>
    </row>
    <row r="81" spans="1:13" x14ac:dyDescent="0.25">
      <c r="A81" s="1"/>
      <c r="B81" s="57">
        <f>ROW(B81) - ROW($B$9)</f>
        <v>72</v>
      </c>
      <c r="C81" s="50" t="s">
        <v>21</v>
      </c>
      <c r="D81" s="51" t="s">
        <v>86</v>
      </c>
      <c r="E81" s="51" t="s">
        <v>163</v>
      </c>
      <c r="F81" s="51" t="s">
        <v>213</v>
      </c>
      <c r="G81" s="51" t="s">
        <v>275</v>
      </c>
      <c r="H81" s="51" t="s">
        <v>369</v>
      </c>
      <c r="I81" s="51" t="s">
        <v>321</v>
      </c>
      <c r="J81" s="51" t="s">
        <v>369</v>
      </c>
      <c r="K81" s="51">
        <v>1</v>
      </c>
      <c r="L81" s="71">
        <f>K81*5</f>
        <v>5</v>
      </c>
      <c r="M81" s="30"/>
    </row>
    <row r="82" spans="1:13" x14ac:dyDescent="0.25">
      <c r="A82" s="1"/>
      <c r="B82" s="55">
        <f t="shared" si="0"/>
        <v>73</v>
      </c>
      <c r="C82" s="45" t="s">
        <v>21</v>
      </c>
      <c r="D82" s="31" t="s">
        <v>87</v>
      </c>
      <c r="E82" s="31" t="s">
        <v>164</v>
      </c>
      <c r="F82" s="31" t="s">
        <v>214</v>
      </c>
      <c r="G82" s="31" t="s">
        <v>276</v>
      </c>
      <c r="H82" s="31"/>
      <c r="I82" s="31" t="s">
        <v>324</v>
      </c>
      <c r="J82" s="31" t="s">
        <v>369</v>
      </c>
      <c r="K82" s="31">
        <v>1</v>
      </c>
      <c r="L82" s="67">
        <f t="shared" ref="L82" si="34">K82*5</f>
        <v>5</v>
      </c>
      <c r="M82" s="31"/>
    </row>
    <row r="83" spans="1:13" x14ac:dyDescent="0.25">
      <c r="A83" s="1"/>
      <c r="B83" s="57">
        <f>ROW(B83) - ROW($B$9)</f>
        <v>74</v>
      </c>
      <c r="C83" s="50" t="s">
        <v>21</v>
      </c>
      <c r="D83" s="51" t="s">
        <v>88</v>
      </c>
      <c r="E83" s="51" t="s">
        <v>165</v>
      </c>
      <c r="F83" s="51" t="s">
        <v>215</v>
      </c>
      <c r="G83" s="51" t="s">
        <v>277</v>
      </c>
      <c r="H83" s="51" t="s">
        <v>369</v>
      </c>
      <c r="I83" s="51" t="s">
        <v>325</v>
      </c>
      <c r="J83" s="51" t="s">
        <v>369</v>
      </c>
      <c r="K83" s="51">
        <v>1</v>
      </c>
      <c r="L83" s="71">
        <f>K83*5</f>
        <v>5</v>
      </c>
      <c r="M83" s="30"/>
    </row>
    <row r="84" spans="1:13" x14ac:dyDescent="0.25">
      <c r="A84" s="1"/>
      <c r="B84" s="55">
        <f t="shared" si="0"/>
        <v>75</v>
      </c>
      <c r="C84" s="45" t="s">
        <v>21</v>
      </c>
      <c r="D84" s="31" t="s">
        <v>89</v>
      </c>
      <c r="E84" s="31" t="s">
        <v>166</v>
      </c>
      <c r="F84" s="31" t="s">
        <v>216</v>
      </c>
      <c r="G84" s="31" t="s">
        <v>278</v>
      </c>
      <c r="H84" s="31" t="s">
        <v>369</v>
      </c>
      <c r="I84" s="31" t="s">
        <v>321</v>
      </c>
      <c r="J84" s="31" t="s">
        <v>369</v>
      </c>
      <c r="K84" s="31">
        <v>3</v>
      </c>
      <c r="L84" s="67">
        <f t="shared" ref="L84" si="35">K84*5</f>
        <v>15</v>
      </c>
      <c r="M84" s="31"/>
    </row>
    <row r="85" spans="1:13" ht="60" x14ac:dyDescent="0.25">
      <c r="A85" s="1"/>
      <c r="B85" s="54">
        <f>ROW(B85) - ROW($B$9)</f>
        <v>76</v>
      </c>
      <c r="C85" s="43" t="s">
        <v>21</v>
      </c>
      <c r="D85" s="30" t="s">
        <v>90</v>
      </c>
      <c r="E85" s="30" t="s">
        <v>167</v>
      </c>
      <c r="F85" s="30" t="s">
        <v>217</v>
      </c>
      <c r="G85" s="30" t="s">
        <v>279</v>
      </c>
      <c r="H85" s="30" t="s">
        <v>369</v>
      </c>
      <c r="I85" s="30" t="s">
        <v>326</v>
      </c>
      <c r="J85" s="30" t="s">
        <v>369</v>
      </c>
      <c r="K85" s="30">
        <v>1</v>
      </c>
      <c r="L85" s="66">
        <f>K85*5</f>
        <v>5</v>
      </c>
      <c r="M85" s="30"/>
    </row>
    <row r="86" spans="1:13" x14ac:dyDescent="0.25">
      <c r="A86" s="1"/>
      <c r="B86" s="55">
        <f t="shared" si="0"/>
        <v>77</v>
      </c>
      <c r="C86" s="45" t="s">
        <v>21</v>
      </c>
      <c r="D86" s="31" t="s">
        <v>91</v>
      </c>
      <c r="E86" s="31" t="s">
        <v>168</v>
      </c>
      <c r="F86" s="31" t="s">
        <v>218</v>
      </c>
      <c r="G86" s="31" t="s">
        <v>280</v>
      </c>
      <c r="H86" s="31" t="s">
        <v>369</v>
      </c>
      <c r="I86" s="31" t="s">
        <v>319</v>
      </c>
      <c r="J86" s="31" t="s">
        <v>369</v>
      </c>
      <c r="K86" s="31">
        <v>1</v>
      </c>
      <c r="L86" s="67">
        <f t="shared" ref="L86" si="36">K86*5</f>
        <v>5</v>
      </c>
      <c r="M86" s="31"/>
    </row>
    <row r="87" spans="1:13" x14ac:dyDescent="0.25">
      <c r="A87" s="1"/>
      <c r="B87" s="54">
        <f>ROW(B87) - ROW($B$9)</f>
        <v>78</v>
      </c>
      <c r="C87" s="43" t="s">
        <v>21</v>
      </c>
      <c r="D87" s="30" t="s">
        <v>92</v>
      </c>
      <c r="E87" s="30" t="s">
        <v>169</v>
      </c>
      <c r="F87" s="30" t="s">
        <v>219</v>
      </c>
      <c r="G87" s="30" t="s">
        <v>281</v>
      </c>
      <c r="H87" s="30" t="s">
        <v>369</v>
      </c>
      <c r="I87" s="30" t="s">
        <v>320</v>
      </c>
      <c r="J87" s="30" t="s">
        <v>369</v>
      </c>
      <c r="K87" s="30">
        <v>1</v>
      </c>
      <c r="L87" s="66">
        <f>K87*5</f>
        <v>5</v>
      </c>
      <c r="M87" s="30"/>
    </row>
    <row r="88" spans="1:13" x14ac:dyDescent="0.25">
      <c r="A88" s="1"/>
      <c r="B88" s="55">
        <f t="shared" si="0"/>
        <v>79</v>
      </c>
      <c r="C88" s="45" t="s">
        <v>21</v>
      </c>
      <c r="D88" s="31" t="s">
        <v>93</v>
      </c>
      <c r="E88" s="31" t="s">
        <v>170</v>
      </c>
      <c r="F88" s="31" t="s">
        <v>213</v>
      </c>
      <c r="G88" s="31" t="s">
        <v>282</v>
      </c>
      <c r="H88" s="31" t="s">
        <v>369</v>
      </c>
      <c r="I88" s="31" t="s">
        <v>325</v>
      </c>
      <c r="J88" s="31" t="s">
        <v>369</v>
      </c>
      <c r="K88" s="31">
        <v>1</v>
      </c>
      <c r="L88" s="67">
        <f t="shared" ref="L88" si="37">K88*5</f>
        <v>5</v>
      </c>
      <c r="M88" s="31"/>
    </row>
    <row r="89" spans="1:13" x14ac:dyDescent="0.25">
      <c r="A89" s="1"/>
      <c r="B89" s="54">
        <f>ROW(B89) - ROW($B$9)</f>
        <v>80</v>
      </c>
      <c r="C89" s="43" t="s">
        <v>21</v>
      </c>
      <c r="D89" s="30" t="s">
        <v>94</v>
      </c>
      <c r="E89" s="30" t="s">
        <v>170</v>
      </c>
      <c r="F89" s="30" t="s">
        <v>213</v>
      </c>
      <c r="G89" s="30" t="s">
        <v>283</v>
      </c>
      <c r="H89" s="30" t="s">
        <v>369</v>
      </c>
      <c r="I89" s="30" t="s">
        <v>325</v>
      </c>
      <c r="J89" s="30" t="s">
        <v>369</v>
      </c>
      <c r="K89" s="30">
        <v>1</v>
      </c>
      <c r="L89" s="66">
        <f>K89*5</f>
        <v>5</v>
      </c>
      <c r="M89" s="30"/>
    </row>
    <row r="90" spans="1:13" ht="24" x14ac:dyDescent="0.25">
      <c r="A90" s="1"/>
      <c r="B90" s="55">
        <f t="shared" si="0"/>
        <v>81</v>
      </c>
      <c r="C90" s="45" t="s">
        <v>22</v>
      </c>
      <c r="D90" s="31" t="s">
        <v>95</v>
      </c>
      <c r="E90" s="31" t="s">
        <v>171</v>
      </c>
      <c r="F90" s="31" t="s">
        <v>370</v>
      </c>
      <c r="G90" s="31" t="s">
        <v>284</v>
      </c>
      <c r="H90" s="31" t="s">
        <v>369</v>
      </c>
      <c r="I90" s="31" t="s">
        <v>327</v>
      </c>
      <c r="J90" s="31" t="s">
        <v>364</v>
      </c>
      <c r="K90" s="31">
        <v>1</v>
      </c>
      <c r="L90" s="67">
        <f t="shared" ref="L90" si="38">K90*5</f>
        <v>5</v>
      </c>
      <c r="M90" s="31"/>
    </row>
    <row r="91" spans="1:13" ht="24" x14ac:dyDescent="0.25">
      <c r="A91" s="1"/>
      <c r="B91" s="54">
        <f>ROW(B91) - ROW($B$9)</f>
        <v>82</v>
      </c>
      <c r="C91" s="43" t="s">
        <v>22</v>
      </c>
      <c r="D91" s="30" t="s">
        <v>96</v>
      </c>
      <c r="E91" s="30" t="s">
        <v>392</v>
      </c>
      <c r="F91" s="30" t="s">
        <v>393</v>
      </c>
      <c r="G91" s="30" t="s">
        <v>394</v>
      </c>
      <c r="H91" s="30" t="s">
        <v>369</v>
      </c>
      <c r="I91" s="30" t="s">
        <v>396</v>
      </c>
      <c r="J91" s="30" t="s">
        <v>365</v>
      </c>
      <c r="K91" s="30">
        <v>1</v>
      </c>
      <c r="L91" s="66">
        <f>K91*5</f>
        <v>5</v>
      </c>
      <c r="M91" s="31"/>
    </row>
    <row r="92" spans="1:13" x14ac:dyDescent="0.25">
      <c r="A92" s="1"/>
      <c r="B92" s="54">
        <f>ROW(B92) - ROW($B$9)</f>
        <v>83</v>
      </c>
      <c r="C92" s="43" t="s">
        <v>408</v>
      </c>
      <c r="D92" s="51" t="s">
        <v>369</v>
      </c>
      <c r="E92" s="51" t="s">
        <v>409</v>
      </c>
      <c r="F92" s="51" t="s">
        <v>369</v>
      </c>
      <c r="G92" s="51" t="s">
        <v>410</v>
      </c>
      <c r="H92" s="76" t="s">
        <v>369</v>
      </c>
      <c r="I92" s="51" t="s">
        <v>411</v>
      </c>
      <c r="J92" s="30" t="s">
        <v>369</v>
      </c>
      <c r="K92" s="76">
        <v>1</v>
      </c>
      <c r="L92" s="77">
        <f>K92*5</f>
        <v>5</v>
      </c>
      <c r="M92" s="78"/>
    </row>
    <row r="93" spans="1:13" ht="36" x14ac:dyDescent="0.25">
      <c r="A93" s="1"/>
      <c r="B93" s="57">
        <f>ROW(B93) - ROW($B$9)</f>
        <v>84</v>
      </c>
      <c r="C93" s="45" t="s">
        <v>408</v>
      </c>
      <c r="D93" s="31"/>
      <c r="E93" s="31" t="s">
        <v>417</v>
      </c>
      <c r="F93" s="31" t="s">
        <v>369</v>
      </c>
      <c r="G93" s="31" t="s">
        <v>418</v>
      </c>
      <c r="H93" s="31" t="s">
        <v>369</v>
      </c>
      <c r="I93" s="31" t="s">
        <v>369</v>
      </c>
      <c r="J93" s="31" t="s">
        <v>369</v>
      </c>
      <c r="K93" s="31">
        <v>3</v>
      </c>
      <c r="L93" s="67">
        <f>K93*5</f>
        <v>15</v>
      </c>
      <c r="M93" s="31"/>
    </row>
    <row r="94" spans="1:13" ht="15.75" thickBot="1" x14ac:dyDescent="0.3">
      <c r="A94" s="1"/>
      <c r="B94" s="58"/>
      <c r="C94" s="59"/>
      <c r="D94" s="60"/>
      <c r="E94" s="61"/>
      <c r="F94" s="62"/>
      <c r="G94" s="63"/>
      <c r="H94" s="63"/>
      <c r="I94" s="62"/>
      <c r="J94" s="63"/>
      <c r="K94" s="63"/>
      <c r="L94" s="9"/>
      <c r="M94" s="64"/>
    </row>
    <row r="95" spans="1:13" ht="15.75" thickBot="1" x14ac:dyDescent="0.3">
      <c r="B95" s="24"/>
      <c r="C95" s="38"/>
      <c r="D95" s="8"/>
      <c r="E95" s="9"/>
      <c r="F95" s="9"/>
      <c r="G95" s="9"/>
      <c r="H95" s="9"/>
      <c r="I95" s="9"/>
      <c r="J95" s="9"/>
      <c r="K95" s="9"/>
      <c r="L95" s="65"/>
      <c r="M95" s="65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2023-12-22T16:19:46Z</dcterms:modified>
</cp:coreProperties>
</file>