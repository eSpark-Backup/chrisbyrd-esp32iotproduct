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EthPoE-Module-v2.0\BOM\"/>
    </mc:Choice>
  </mc:AlternateContent>
  <bookViews>
    <workbookView xWindow="28680" yWindow="-120" windowWidth="29040" windowHeight="15840" activeTab="5"/>
  </bookViews>
  <sheets>
    <sheet name="5 Boards" sheetId="1" r:id="rId1"/>
    <sheet name=" 20 Boards" sheetId="2" r:id="rId2"/>
    <sheet name="50 Boards" sheetId="3" r:id="rId3"/>
    <sheet name="100 Boards" sheetId="4" r:id="rId4"/>
    <sheet name="500 Boards" sheetId="5" r:id="rId5"/>
    <sheet name="1000 Boards" sheetId="6" r:id="rId6"/>
  </sheets>
  <calcPr calcId="162913"/>
</workbook>
</file>

<file path=xl/calcChain.xml><?xml version="1.0" encoding="utf-8"?>
<calcChain xmlns="http://schemas.openxmlformats.org/spreadsheetml/2006/main">
  <c r="Q22" i="6" l="1"/>
  <c r="Q22" i="5"/>
  <c r="Q22" i="4"/>
  <c r="Q22" i="3"/>
  <c r="Q22" i="2"/>
  <c r="Q22" i="1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10" i="6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10" i="5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10" i="4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10" i="3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10" i="2"/>
  <c r="Q52" i="6" l="1"/>
  <c r="B52" i="6"/>
  <c r="Q51" i="6"/>
  <c r="B51" i="6"/>
  <c r="Q50" i="6"/>
  <c r="B50" i="6"/>
  <c r="Q49" i="6"/>
  <c r="B49" i="6"/>
  <c r="Q48" i="6"/>
  <c r="B48" i="6"/>
  <c r="Q47" i="6"/>
  <c r="B47" i="6"/>
  <c r="Q46" i="6"/>
  <c r="B46" i="6"/>
  <c r="Q45" i="6"/>
  <c r="B45" i="6"/>
  <c r="Q44" i="6"/>
  <c r="B44" i="6"/>
  <c r="Q43" i="6"/>
  <c r="B43" i="6"/>
  <c r="Q42" i="6"/>
  <c r="B42" i="6"/>
  <c r="Q41" i="6"/>
  <c r="B41" i="6"/>
  <c r="Q40" i="6"/>
  <c r="B40" i="6"/>
  <c r="Q39" i="6"/>
  <c r="B39" i="6"/>
  <c r="Q38" i="6"/>
  <c r="B38" i="6"/>
  <c r="Q37" i="6"/>
  <c r="B37" i="6"/>
  <c r="Q36" i="6"/>
  <c r="B36" i="6"/>
  <c r="Q35" i="6"/>
  <c r="B35" i="6"/>
  <c r="Q34" i="6"/>
  <c r="B34" i="6"/>
  <c r="Q33" i="6"/>
  <c r="B33" i="6"/>
  <c r="Q32" i="6"/>
  <c r="B32" i="6"/>
  <c r="Q31" i="6"/>
  <c r="B31" i="6"/>
  <c r="Q30" i="6"/>
  <c r="B30" i="6"/>
  <c r="Q29" i="6"/>
  <c r="B29" i="6"/>
  <c r="Q28" i="6"/>
  <c r="B28" i="6"/>
  <c r="Q27" i="6"/>
  <c r="B27" i="6"/>
  <c r="Q26" i="6"/>
  <c r="B26" i="6"/>
  <c r="B25" i="6"/>
  <c r="Q24" i="6"/>
  <c r="B24" i="6"/>
  <c r="Q23" i="6"/>
  <c r="B23" i="6"/>
  <c r="B22" i="6"/>
  <c r="Q21" i="6"/>
  <c r="B21" i="6"/>
  <c r="Q20" i="6"/>
  <c r="B20" i="6"/>
  <c r="Q19" i="6"/>
  <c r="B19" i="6"/>
  <c r="Q18" i="6"/>
  <c r="B18" i="6"/>
  <c r="Q17" i="6"/>
  <c r="B17" i="6"/>
  <c r="Q16" i="6"/>
  <c r="B16" i="6"/>
  <c r="Q15" i="6"/>
  <c r="B15" i="6"/>
  <c r="Q14" i="6"/>
  <c r="B14" i="6"/>
  <c r="Q13" i="6"/>
  <c r="B13" i="6"/>
  <c r="Q12" i="6"/>
  <c r="B12" i="6"/>
  <c r="Q11" i="6"/>
  <c r="B11" i="6"/>
  <c r="Q10" i="6"/>
  <c r="B10" i="6"/>
  <c r="Q52" i="5"/>
  <c r="B52" i="5"/>
  <c r="Q51" i="5"/>
  <c r="B51" i="5"/>
  <c r="Q50" i="5"/>
  <c r="B50" i="5"/>
  <c r="Q49" i="5"/>
  <c r="B49" i="5"/>
  <c r="Q48" i="5"/>
  <c r="B48" i="5"/>
  <c r="Q47" i="5"/>
  <c r="B47" i="5"/>
  <c r="Q46" i="5"/>
  <c r="B46" i="5"/>
  <c r="Q45" i="5"/>
  <c r="B45" i="5"/>
  <c r="Q44" i="5"/>
  <c r="B44" i="5"/>
  <c r="Q43" i="5"/>
  <c r="B43" i="5"/>
  <c r="Q42" i="5"/>
  <c r="B42" i="5"/>
  <c r="Q41" i="5"/>
  <c r="B41" i="5"/>
  <c r="Q40" i="5"/>
  <c r="B40" i="5"/>
  <c r="Q39" i="5"/>
  <c r="B39" i="5"/>
  <c r="Q38" i="5"/>
  <c r="B38" i="5"/>
  <c r="Q37" i="5"/>
  <c r="B37" i="5"/>
  <c r="Q36" i="5"/>
  <c r="B36" i="5"/>
  <c r="Q35" i="5"/>
  <c r="B35" i="5"/>
  <c r="Q34" i="5"/>
  <c r="B34" i="5"/>
  <c r="Q33" i="5"/>
  <c r="B33" i="5"/>
  <c r="Q32" i="5"/>
  <c r="B32" i="5"/>
  <c r="Q31" i="5"/>
  <c r="B31" i="5"/>
  <c r="Q30" i="5"/>
  <c r="B30" i="5"/>
  <c r="Q29" i="5"/>
  <c r="B29" i="5"/>
  <c r="Q28" i="5"/>
  <c r="B28" i="5"/>
  <c r="Q27" i="5"/>
  <c r="B27" i="5"/>
  <c r="Q26" i="5"/>
  <c r="B26" i="5"/>
  <c r="B25" i="5"/>
  <c r="Q24" i="5"/>
  <c r="B24" i="5"/>
  <c r="Q23" i="5"/>
  <c r="B23" i="5"/>
  <c r="B22" i="5"/>
  <c r="Q21" i="5"/>
  <c r="B21" i="5"/>
  <c r="Q20" i="5"/>
  <c r="B20" i="5"/>
  <c r="Q19" i="5"/>
  <c r="B19" i="5"/>
  <c r="Q18" i="5"/>
  <c r="B18" i="5"/>
  <c r="Q17" i="5"/>
  <c r="B17" i="5"/>
  <c r="Q16" i="5"/>
  <c r="B16" i="5"/>
  <c r="Q15" i="5"/>
  <c r="B15" i="5"/>
  <c r="Q14" i="5"/>
  <c r="B14" i="5"/>
  <c r="Q13" i="5"/>
  <c r="B13" i="5"/>
  <c r="Q12" i="5"/>
  <c r="B12" i="5"/>
  <c r="Q11" i="5"/>
  <c r="B11" i="5"/>
  <c r="Q10" i="5"/>
  <c r="B10" i="5"/>
  <c r="Q52" i="4"/>
  <c r="B52" i="4"/>
  <c r="Q51" i="4"/>
  <c r="B51" i="4"/>
  <c r="Q50" i="4"/>
  <c r="B50" i="4"/>
  <c r="Q49" i="4"/>
  <c r="B49" i="4"/>
  <c r="Q48" i="4"/>
  <c r="B48" i="4"/>
  <c r="Q47" i="4"/>
  <c r="B47" i="4"/>
  <c r="Q46" i="4"/>
  <c r="B46" i="4"/>
  <c r="Q45" i="4"/>
  <c r="B45" i="4"/>
  <c r="Q44" i="4"/>
  <c r="B44" i="4"/>
  <c r="Q43" i="4"/>
  <c r="B43" i="4"/>
  <c r="Q42" i="4"/>
  <c r="B42" i="4"/>
  <c r="Q41" i="4"/>
  <c r="B41" i="4"/>
  <c r="Q40" i="4"/>
  <c r="B40" i="4"/>
  <c r="Q39" i="4"/>
  <c r="B39" i="4"/>
  <c r="Q38" i="4"/>
  <c r="B38" i="4"/>
  <c r="Q37" i="4"/>
  <c r="B37" i="4"/>
  <c r="Q36" i="4"/>
  <c r="B36" i="4"/>
  <c r="Q35" i="4"/>
  <c r="B35" i="4"/>
  <c r="Q34" i="4"/>
  <c r="B34" i="4"/>
  <c r="Q33" i="4"/>
  <c r="B33" i="4"/>
  <c r="Q32" i="4"/>
  <c r="B32" i="4"/>
  <c r="Q31" i="4"/>
  <c r="B31" i="4"/>
  <c r="Q30" i="4"/>
  <c r="B30" i="4"/>
  <c r="Q29" i="4"/>
  <c r="B29" i="4"/>
  <c r="Q28" i="4"/>
  <c r="B28" i="4"/>
  <c r="Q27" i="4"/>
  <c r="B27" i="4"/>
  <c r="Q26" i="4"/>
  <c r="B26" i="4"/>
  <c r="B25" i="4"/>
  <c r="Q24" i="4"/>
  <c r="B24" i="4"/>
  <c r="Q23" i="4"/>
  <c r="B23" i="4"/>
  <c r="B22" i="4"/>
  <c r="Q21" i="4"/>
  <c r="B21" i="4"/>
  <c r="Q20" i="4"/>
  <c r="B20" i="4"/>
  <c r="Q19" i="4"/>
  <c r="B19" i="4"/>
  <c r="Q18" i="4"/>
  <c r="B18" i="4"/>
  <c r="Q17" i="4"/>
  <c r="B17" i="4"/>
  <c r="Q16" i="4"/>
  <c r="B16" i="4"/>
  <c r="Q15" i="4"/>
  <c r="B15" i="4"/>
  <c r="Q14" i="4"/>
  <c r="B14" i="4"/>
  <c r="Q13" i="4"/>
  <c r="B13" i="4"/>
  <c r="Q12" i="4"/>
  <c r="B12" i="4"/>
  <c r="Q11" i="4"/>
  <c r="B11" i="4"/>
  <c r="Q10" i="4"/>
  <c r="B10" i="4"/>
  <c r="Q52" i="3"/>
  <c r="B52" i="3"/>
  <c r="Q51" i="3"/>
  <c r="B51" i="3"/>
  <c r="Q50" i="3"/>
  <c r="B50" i="3"/>
  <c r="Q49" i="3"/>
  <c r="B49" i="3"/>
  <c r="Q48" i="3"/>
  <c r="B48" i="3"/>
  <c r="Q47" i="3"/>
  <c r="B47" i="3"/>
  <c r="Q46" i="3"/>
  <c r="B46" i="3"/>
  <c r="Q45" i="3"/>
  <c r="B45" i="3"/>
  <c r="Q44" i="3"/>
  <c r="B44" i="3"/>
  <c r="Q43" i="3"/>
  <c r="B43" i="3"/>
  <c r="Q42" i="3"/>
  <c r="B42" i="3"/>
  <c r="Q41" i="3"/>
  <c r="B41" i="3"/>
  <c r="Q40" i="3"/>
  <c r="B40" i="3"/>
  <c r="Q39" i="3"/>
  <c r="B39" i="3"/>
  <c r="Q38" i="3"/>
  <c r="B38" i="3"/>
  <c r="Q37" i="3"/>
  <c r="B37" i="3"/>
  <c r="Q36" i="3"/>
  <c r="B36" i="3"/>
  <c r="Q35" i="3"/>
  <c r="B35" i="3"/>
  <c r="Q34" i="3"/>
  <c r="B34" i="3"/>
  <c r="Q33" i="3"/>
  <c r="B33" i="3"/>
  <c r="Q32" i="3"/>
  <c r="B32" i="3"/>
  <c r="Q31" i="3"/>
  <c r="B31" i="3"/>
  <c r="Q30" i="3"/>
  <c r="B30" i="3"/>
  <c r="Q29" i="3"/>
  <c r="B29" i="3"/>
  <c r="Q28" i="3"/>
  <c r="B28" i="3"/>
  <c r="Q27" i="3"/>
  <c r="B27" i="3"/>
  <c r="Q26" i="3"/>
  <c r="B26" i="3"/>
  <c r="B25" i="3"/>
  <c r="Q24" i="3"/>
  <c r="B24" i="3"/>
  <c r="Q23" i="3"/>
  <c r="B23" i="3"/>
  <c r="B22" i="3"/>
  <c r="Q21" i="3"/>
  <c r="B21" i="3"/>
  <c r="Q20" i="3"/>
  <c r="B20" i="3"/>
  <c r="Q19" i="3"/>
  <c r="B19" i="3"/>
  <c r="Q18" i="3"/>
  <c r="B18" i="3"/>
  <c r="Q17" i="3"/>
  <c r="B17" i="3"/>
  <c r="Q16" i="3"/>
  <c r="B16" i="3"/>
  <c r="Q15" i="3"/>
  <c r="B15" i="3"/>
  <c r="Q14" i="3"/>
  <c r="B14" i="3"/>
  <c r="Q13" i="3"/>
  <c r="B13" i="3"/>
  <c r="Q12" i="3"/>
  <c r="B12" i="3"/>
  <c r="Q11" i="3"/>
  <c r="B11" i="3"/>
  <c r="Q10" i="3"/>
  <c r="B10" i="3"/>
  <c r="Q52" i="2"/>
  <c r="B52" i="2"/>
  <c r="Q51" i="2"/>
  <c r="B51" i="2"/>
  <c r="Q50" i="2"/>
  <c r="B50" i="2"/>
  <c r="Q49" i="2"/>
  <c r="B49" i="2"/>
  <c r="Q48" i="2"/>
  <c r="B48" i="2"/>
  <c r="Q47" i="2"/>
  <c r="B47" i="2"/>
  <c r="Q46" i="2"/>
  <c r="B46" i="2"/>
  <c r="Q45" i="2"/>
  <c r="B45" i="2"/>
  <c r="Q44" i="2"/>
  <c r="B44" i="2"/>
  <c r="Q43" i="2"/>
  <c r="B43" i="2"/>
  <c r="Q42" i="2"/>
  <c r="B42" i="2"/>
  <c r="Q41" i="2"/>
  <c r="B41" i="2"/>
  <c r="Q40" i="2"/>
  <c r="B40" i="2"/>
  <c r="Q39" i="2"/>
  <c r="B39" i="2"/>
  <c r="Q38" i="2"/>
  <c r="B38" i="2"/>
  <c r="Q37" i="2"/>
  <c r="B37" i="2"/>
  <c r="Q36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Q27" i="2"/>
  <c r="B27" i="2"/>
  <c r="Q26" i="2"/>
  <c r="B26" i="2"/>
  <c r="B25" i="2"/>
  <c r="Q24" i="2"/>
  <c r="B24" i="2"/>
  <c r="Q23" i="2"/>
  <c r="B23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53" i="6" l="1"/>
  <c r="Q54" i="6" s="1"/>
  <c r="Q53" i="5"/>
  <c r="Q54" i="5" s="1"/>
  <c r="Q53" i="4"/>
  <c r="Q54" i="4" s="1"/>
  <c r="Q53" i="3"/>
  <c r="Q54" i="3" s="1"/>
  <c r="Q53" i="2"/>
  <c r="Q54" i="2" s="1"/>
  <c r="M22" i="1"/>
  <c r="B22" i="1"/>
  <c r="Q52" i="1" l="1"/>
  <c r="M52" i="1"/>
  <c r="B52" i="1"/>
  <c r="Q51" i="1" l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0" i="1"/>
  <c r="M40" i="1"/>
  <c r="B40" i="1"/>
  <c r="Q42" i="1"/>
  <c r="M42" i="1"/>
  <c r="B42" i="1"/>
  <c r="Q41" i="1"/>
  <c r="M41" i="1"/>
  <c r="B41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M25" i="1"/>
  <c r="B25" i="1"/>
  <c r="Q24" i="1"/>
  <c r="M24" i="1"/>
  <c r="B24" i="1"/>
  <c r="Q23" i="1"/>
  <c r="M23" i="1"/>
  <c r="B23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 l="1"/>
  <c r="Q10" i="1"/>
  <c r="M11" i="1"/>
  <c r="M10" i="1"/>
  <c r="B11" i="1"/>
  <c r="B10" i="1"/>
  <c r="Q53" i="1" l="1"/>
  <c r="Q54" i="1" s="1"/>
</calcChain>
</file>

<file path=xl/sharedStrings.xml><?xml version="1.0" encoding="utf-8"?>
<sst xmlns="http://schemas.openxmlformats.org/spreadsheetml/2006/main" count="2763" uniqueCount="304">
  <si>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</si>
  <si>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</si>
  <si>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</si>
  <si>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</si>
  <si>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</si>
  <si>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</si>
  <si>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</si>
  <si>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</si>
  <si>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</si>
  <si>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</si>
  <si>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</si>
  <si>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Fuse</t>
  </si>
  <si>
    <t>Ferrite Bead</t>
  </si>
  <si>
    <t>Ethernet Connector</t>
  </si>
  <si>
    <t>Inductor</t>
  </si>
  <si>
    <t>Mosfet</t>
  </si>
  <si>
    <t>Resistor</t>
  </si>
  <si>
    <t>IC</t>
  </si>
  <si>
    <t>TVS Diode</t>
  </si>
  <si>
    <t>Crystal</t>
  </si>
  <si>
    <t>Designator</t>
  </si>
  <si>
    <t>C1, C3, C8, C9, C10, C11, C12, C13, C14, C17</t>
  </si>
  <si>
    <t>C2</t>
  </si>
  <si>
    <t>C4, C24, C25</t>
  </si>
  <si>
    <t>C5</t>
  </si>
  <si>
    <t>C6</t>
  </si>
  <si>
    <t>C7, C15, C20</t>
  </si>
  <si>
    <t>C16</t>
  </si>
  <si>
    <t>C18, C19</t>
  </si>
  <si>
    <t>C21, C22</t>
  </si>
  <si>
    <t>C23</t>
  </si>
  <si>
    <t>D1</t>
  </si>
  <si>
    <t>D2</t>
  </si>
  <si>
    <t>F1</t>
  </si>
  <si>
    <t>FB1, FB2</t>
  </si>
  <si>
    <t>J1</t>
  </si>
  <si>
    <t>J2</t>
  </si>
  <si>
    <t>L1</t>
  </si>
  <si>
    <t>Q1</t>
  </si>
  <si>
    <t>Q2</t>
  </si>
  <si>
    <t>R1</t>
  </si>
  <si>
    <t>R2</t>
  </si>
  <si>
    <t>R4</t>
  </si>
  <si>
    <t>R5</t>
  </si>
  <si>
    <t>R6</t>
  </si>
  <si>
    <t>R7</t>
  </si>
  <si>
    <t>R8</t>
  </si>
  <si>
    <t>R9</t>
  </si>
  <si>
    <t>R13</t>
  </si>
  <si>
    <t>R15, R16</t>
  </si>
  <si>
    <t>R18, R19, R27, R28</t>
  </si>
  <si>
    <t>R20</t>
  </si>
  <si>
    <t>R21, R22, R24, R26</t>
  </si>
  <si>
    <t>R32</t>
  </si>
  <si>
    <t>R40</t>
  </si>
  <si>
    <t>U1</t>
  </si>
  <si>
    <t>U2</t>
  </si>
  <si>
    <t>U3</t>
  </si>
  <si>
    <t>X1</t>
  </si>
  <si>
    <t>Description</t>
  </si>
  <si>
    <t>CAP CER 0.1UF 100V X5R 0402</t>
  </si>
  <si>
    <t>15uF 63V ±20% SMD,D6.3xL5.7mm Aluminum Electrolytic Capacitors - SMD ROHS</t>
  </si>
  <si>
    <t>CAP CER 12PF 100V C0G/NP0 0603</t>
  </si>
  <si>
    <t>CAP TANT 470UF 10% 10V 2917</t>
  </si>
  <si>
    <t>CAP CER 220PF 50V C0G/NPO 0402</t>
  </si>
  <si>
    <t>CAP CER 0.022UF 16V X5R 0402</t>
  </si>
  <si>
    <t>CAP CER 10UF 25V X5R 0603</t>
  </si>
  <si>
    <t>50V 6.8nF X7R ±10% 0603</t>
  </si>
  <si>
    <t>CAP CER 10000PF 100V X7R 0603</t>
  </si>
  <si>
    <t>CAP CER, 4.7 µF, 25 V, 0603</t>
  </si>
  <si>
    <t>93.6V 64.4V 58V SMA(DO-214AC) TVS ROHS</t>
  </si>
  <si>
    <t>SCHOTTKY DIODE SMB 100V 5A</t>
  </si>
  <si>
    <t>FERRITE BEAD 600 OHM 1210 1LN</t>
  </si>
  <si>
    <t>PCI Express Mini Card (Mini PCIe)</t>
  </si>
  <si>
    <t>33uH 2.3A ±20% SMD,6.6x7.3mm Inductors</t>
  </si>
  <si>
    <t>40V 100mW 100@10mA,1V 200mA 300MHz 300mV@50mA,5mA NPN -55℃~+150℃@(Tj) SOT-723 Bipolar Transistors - BJT ROHS</t>
  </si>
  <si>
    <t>MOSFET P-CH 12V 2.6A SUPERSOT3</t>
  </si>
  <si>
    <t>50mW ±5% -100ppm/℃~+350ppm/℃ 4.7Ω 0201 Chip Resistor - Surface Mount ROHS</t>
  </si>
  <si>
    <t>RES 24.9K OHM 0.5% 1/20W 0201</t>
  </si>
  <si>
    <t>RES 4.7K OHM 1% 1/16W 0402</t>
  </si>
  <si>
    <t>RES 0.03 OHM 1% 1/2W 0805</t>
  </si>
  <si>
    <t>RES 180K OHM 5% 1/20W 0201</t>
  </si>
  <si>
    <t>4.42kΩ 0201 Chip Resistor - Surface Mount ROHS</t>
  </si>
  <si>
    <t>RES SMD 22 OHM 5% 1/3W 0603</t>
  </si>
  <si>
    <t>RES 300K OHM 1% 1/20W 0201</t>
  </si>
  <si>
    <t>RES 57.6K OHM 0.5% 1/20W 0201</t>
  </si>
  <si>
    <t>RES SMD 10K OHM 1% 1/20W 0201</t>
  </si>
  <si>
    <t>RES SMD 1K OHM 1% 1/10W 0603</t>
  </si>
  <si>
    <t>RES  SMD 330R 100 mW 0603</t>
  </si>
  <si>
    <t>RES SMD 0R, 1%, 0.1W, 0603</t>
  </si>
  <si>
    <t>RES SMD 49.9 OHM 1% 1/20W 0201</t>
  </si>
  <si>
    <t>RES SMD 10 OHM 1% 1/10W 0603</t>
  </si>
  <si>
    <t>RES SMD 0603 33 Ohm 1% 1/10W</t>
  </si>
  <si>
    <t>RES SMD 1M OHM 1% 1/10W 0603</t>
  </si>
  <si>
    <t>RES SMD 12.4K OHM 1% 1/10W 0603</t>
  </si>
  <si>
    <t>Step-down type SOIC-8-EP DC-DC Converters ROHS</t>
  </si>
  <si>
    <t>SPI LQFP-48(7x7) Ethernet ICs ROHS</t>
  </si>
  <si>
    <t>SMD3225-4P Crystals ROHS</t>
  </si>
  <si>
    <t>Footprint</t>
  </si>
  <si>
    <t>Cap-0402</t>
  </si>
  <si>
    <t>VMMC0571J150MV</t>
  </si>
  <si>
    <t>Cap-0603</t>
  </si>
  <si>
    <t>Case-E</t>
  </si>
  <si>
    <t>SMA</t>
  </si>
  <si>
    <t>SMB_</t>
  </si>
  <si>
    <t>Fuse-0805</t>
  </si>
  <si>
    <t>IND-1210</t>
  </si>
  <si>
    <t>Mini PCIE Pad</t>
  </si>
  <si>
    <t>SOT-723</t>
  </si>
  <si>
    <t>SOT-23</t>
  </si>
  <si>
    <t>Res-0201</t>
  </si>
  <si>
    <t>Res-0402</t>
  </si>
  <si>
    <t>RES-0805</t>
  </si>
  <si>
    <t>Res-0603</t>
  </si>
  <si>
    <t>8-SOIC-EP</t>
  </si>
  <si>
    <t>48-LQFP (7x7)_</t>
  </si>
  <si>
    <t>NX3225GA-25MHZ-STD-CRG-2</t>
  </si>
  <si>
    <t>Manufacturer Part Number</t>
  </si>
  <si>
    <t>GRM155R62A104KE14D</t>
  </si>
  <si>
    <t>GCM1885C2A120JA16D</t>
  </si>
  <si>
    <t>TAJE477K010RNJ</t>
  </si>
  <si>
    <t>CC0402JRNPO9BN221</t>
  </si>
  <si>
    <t>CC0402KRX5R7BB223</t>
  </si>
  <si>
    <t>C1608X5R1E106M080AC</t>
  </si>
  <si>
    <t>0603B682K500NT</t>
  </si>
  <si>
    <t>AC0603KRX7R0BB103</t>
  </si>
  <si>
    <t>C1608X5R1E475KT000E</t>
  </si>
  <si>
    <t>SMAJ58A</t>
  </si>
  <si>
    <t>SS510B</t>
  </si>
  <si>
    <t>FBMH3225HM601NT</t>
  </si>
  <si>
    <t>MDA7050-330M</t>
  </si>
  <si>
    <t>MMBT3904M</t>
  </si>
  <si>
    <t>FDN306P</t>
  </si>
  <si>
    <t>NQ01WMJ047JTEE</t>
  </si>
  <si>
    <t>RC0201DR-0724K9L</t>
  </si>
  <si>
    <t>RC0402FR-074K7L</t>
  </si>
  <si>
    <t>PE0805FRF470R03L</t>
  </si>
  <si>
    <t>RC0201JR-07180KL</t>
  </si>
  <si>
    <t>0201WMF4421TEE</t>
  </si>
  <si>
    <t>CRCW060322R0JNEAHP</t>
  </si>
  <si>
    <t>RC0201FR-07300KL</t>
  </si>
  <si>
    <t>RC0201DR-0757K6L</t>
  </si>
  <si>
    <t>RC0201FR-0710KL</t>
  </si>
  <si>
    <t>RC0603FR-071KL</t>
  </si>
  <si>
    <t>RC0603JR-07330RL</t>
  </si>
  <si>
    <t>RC0603FR-070RL</t>
  </si>
  <si>
    <t>RC0201FR-0749R9L</t>
  </si>
  <si>
    <t>RC0603FR-0710RL</t>
  </si>
  <si>
    <t>RC0603FR-0733RL</t>
  </si>
  <si>
    <t>RC0603FR-071ML</t>
  </si>
  <si>
    <t>RC0603FR-0712K4L</t>
  </si>
  <si>
    <t>TX4138</t>
  </si>
  <si>
    <t>W5500</t>
  </si>
  <si>
    <t>Manufacturer</t>
  </si>
  <si>
    <t>Murata</t>
  </si>
  <si>
    <t>Ymin</t>
  </si>
  <si>
    <t>Kyocera AVX</t>
  </si>
  <si>
    <t>Yageo</t>
  </si>
  <si>
    <t>TDK</t>
  </si>
  <si>
    <t>FH</t>
  </si>
  <si>
    <t>Yangzhou Yangjie Elec Tech</t>
  </si>
  <si>
    <t>MDD</t>
  </si>
  <si>
    <t>Taiyo Yuden</t>
  </si>
  <si>
    <t>KOHERelec</t>
  </si>
  <si>
    <t>TECH PUBLIC</t>
  </si>
  <si>
    <t>ON Semiconductor / Fairchild</t>
  </si>
  <si>
    <t>UNI-ROYAL</t>
  </si>
  <si>
    <t>Vishay Dale</t>
  </si>
  <si>
    <t>Texas Instruments</t>
  </si>
  <si>
    <t>XDS</t>
  </si>
  <si>
    <t>WIZNET</t>
  </si>
  <si>
    <t>Littelfuse</t>
  </si>
  <si>
    <t>NDK</t>
  </si>
  <si>
    <t>LCSC Part Number</t>
  </si>
  <si>
    <t>C162178</t>
  </si>
  <si>
    <t>C487115</t>
  </si>
  <si>
    <t>C7234</t>
  </si>
  <si>
    <t>C107001</t>
  </si>
  <si>
    <t>C2168289</t>
  </si>
  <si>
    <t>C1631</t>
  </si>
  <si>
    <t>C149602</t>
  </si>
  <si>
    <t>C76615</t>
  </si>
  <si>
    <t>C698958</t>
  </si>
  <si>
    <t>C3011128</t>
  </si>
  <si>
    <t>C268004</t>
  </si>
  <si>
    <t>C2847546</t>
  </si>
  <si>
    <t>C2923360</t>
  </si>
  <si>
    <t>C965309</t>
  </si>
  <si>
    <t>C851690</t>
  </si>
  <si>
    <t>C105871</t>
  </si>
  <si>
    <t>C858599</t>
  </si>
  <si>
    <t>C295837</t>
  </si>
  <si>
    <t>C423515</t>
  </si>
  <si>
    <t>C274871</t>
  </si>
  <si>
    <t>C851763</t>
  </si>
  <si>
    <t>C106225</t>
  </si>
  <si>
    <t>C22548</t>
  </si>
  <si>
    <t>C105879</t>
  </si>
  <si>
    <t>C100044</t>
  </si>
  <si>
    <t>C155744</t>
  </si>
  <si>
    <t>C109318</t>
  </si>
  <si>
    <t>C108661</t>
  </si>
  <si>
    <t>C105578</t>
  </si>
  <si>
    <t>C137798</t>
  </si>
  <si>
    <t>C329267</t>
  </si>
  <si>
    <t>C32843</t>
  </si>
  <si>
    <t>C438901</t>
  </si>
  <si>
    <t>0.1uf</t>
  </si>
  <si>
    <t>15uF</t>
  </si>
  <si>
    <t>12pF</t>
  </si>
  <si>
    <t>470uF</t>
  </si>
  <si>
    <t>220pF</t>
  </si>
  <si>
    <t>22nF</t>
  </si>
  <si>
    <t>10uF</t>
  </si>
  <si>
    <t>6.8nF</t>
  </si>
  <si>
    <t>10nF</t>
  </si>
  <si>
    <t>4.7uF</t>
  </si>
  <si>
    <t>33uH</t>
  </si>
  <si>
    <t>4.7R</t>
  </si>
  <si>
    <t>24.9K</t>
  </si>
  <si>
    <t>4.7K</t>
  </si>
  <si>
    <t>30mR</t>
  </si>
  <si>
    <t>180K</t>
  </si>
  <si>
    <t>4.42k</t>
  </si>
  <si>
    <t>22R</t>
  </si>
  <si>
    <t>300K</t>
  </si>
  <si>
    <t>57.6k</t>
  </si>
  <si>
    <t>10K</t>
  </si>
  <si>
    <t>1K</t>
  </si>
  <si>
    <t>330R</t>
  </si>
  <si>
    <t>0R</t>
  </si>
  <si>
    <t>49.9R</t>
  </si>
  <si>
    <t>10R</t>
  </si>
  <si>
    <t>33R</t>
  </si>
  <si>
    <t>1M</t>
  </si>
  <si>
    <t>12.4K</t>
  </si>
  <si>
    <t>Quantity</t>
  </si>
  <si>
    <t>Bill of Materials for Project [EthPoE-Module-v2.0.]</t>
  </si>
  <si>
    <t>EthPoE-Module-v2.0.</t>
  </si>
  <si>
    <t>EthPoE-Module-v2.0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</si>
  <si>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</si>
  <si>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</si>
  <si>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</si>
  <si>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</si>
  <si>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</si>
  <si>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</si>
  <si>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</si>
  <si>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</si>
  <si>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</si>
  <si>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-</t>
  </si>
  <si>
    <t>Mini PCIe Connector</t>
  </si>
  <si>
    <t>LCSC</t>
  </si>
  <si>
    <t>Custom</t>
  </si>
  <si>
    <t>C154510</t>
  </si>
  <si>
    <t>CC0603GRNPO0BN120</t>
  </si>
  <si>
    <t>CC0402KRX7R7BB223</t>
  </si>
  <si>
    <t>C107017</t>
  </si>
  <si>
    <t>C527051</t>
  </si>
  <si>
    <t>RC0603FR-0722RL</t>
  </si>
  <si>
    <t>C107701</t>
  </si>
  <si>
    <t>CONN JACK 1PORT 100 BASE-T PCB</t>
  </si>
  <si>
    <t>ARJM11D7-114-AB-EW2</t>
  </si>
  <si>
    <t>Abracon</t>
  </si>
  <si>
    <t>25MHZ</t>
  </si>
  <si>
    <t>Mouser</t>
  </si>
  <si>
    <t>IC POE CNTRL 1 CHANNEL 8SOIC</t>
  </si>
  <si>
    <t>SOIC-8</t>
  </si>
  <si>
    <t>TPS2375DR</t>
  </si>
  <si>
    <t>C2867397</t>
  </si>
  <si>
    <t>R10, R14, R23, R25, R29, R30, R31, R34, R35, R36, R37, R38, R39</t>
  </si>
  <si>
    <t>R12, R17, R33</t>
  </si>
  <si>
    <t>6V 2A 50A 1W -40℃~+85℃ 4A 4mΩ 5s 45mΩ 0805 Resettable Fuses ROHS</t>
  </si>
  <si>
    <t>BSMD0805L-200</t>
  </si>
  <si>
    <t>BHFUSE</t>
  </si>
  <si>
    <t>C2757931</t>
  </si>
  <si>
    <t>R3, R11</t>
  </si>
  <si>
    <t>Peripheral</t>
  </si>
  <si>
    <t>LC-2030C</t>
  </si>
  <si>
    <t xml:space="preserve">Shengwei </t>
  </si>
  <si>
    <t>C3011736</t>
  </si>
  <si>
    <t>D3, D4</t>
  </si>
  <si>
    <t>TVS DIODE 5.5VWM 8.5VC SOT23-3</t>
  </si>
  <si>
    <t>SP0502BAHTG</t>
  </si>
  <si>
    <t>C207261</t>
  </si>
  <si>
    <t>Quantity (20 Boards)</t>
  </si>
  <si>
    <t>MOQ (20 Boards)</t>
  </si>
  <si>
    <t>Unit Cost (20 Boards)</t>
  </si>
  <si>
    <t>Total Cost (20 Boards)</t>
  </si>
  <si>
    <t>Quantity (50 Boards)</t>
  </si>
  <si>
    <t>MOQ (50 Boards)</t>
  </si>
  <si>
    <t>Unit Cost (50 Boards)</t>
  </si>
  <si>
    <t>Total Cost (50 Boards)</t>
  </si>
  <si>
    <t>Quantity (100 Boards)</t>
  </si>
  <si>
    <t>MOQ (100 Boards)</t>
  </si>
  <si>
    <t>Unit Cost (100 Boards)</t>
  </si>
  <si>
    <t>Total Cost (100 Boards)</t>
  </si>
  <si>
    <t>Quantity (500 Boards)</t>
  </si>
  <si>
    <t>MOQ (500 Boards)</t>
  </si>
  <si>
    <t>Unit Cost (500 Boards)</t>
  </si>
  <si>
    <t>Total Cost (500 Boards)</t>
  </si>
  <si>
    <t>Quantity (1000 Boards)</t>
  </si>
  <si>
    <t>MOQ (1000 Boards)</t>
  </si>
  <si>
    <t>Unit Cost (1000 Boards)</t>
  </si>
  <si>
    <t>Total Cost (1000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</si>
</sst>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/>
    </xf>
    <xf numFmtId="0" fontId="22" fillId="2" borderId="16" xfId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165" fontId="23" fillId="2" borderId="16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Alignment="1"/>
    <xf numFmtId="0" fontId="21" fillId="2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22" fillId="2" borderId="16" xfId="1" applyFill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0" fillId="0" borderId="0" xfId="0" applyAlignment="1"/>
    <xf numFmtId="0" fontId="11" fillId="4" borderId="17" xfId="0" applyFont="1" applyFill="1" applyBorder="1" applyAlignment="1">
      <alignment horizontal="center" vertical="center"/>
    </xf>
    <xf numFmtId="165" fontId="18" fillId="2" borderId="17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5482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5482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5482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5482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54825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Bipolar-Transistors-BJT_TECH-PUBLIC-MMBT3904M_C2923360.html" TargetMode="External"/><Relationship Id="rId18" Type="http://schemas.openxmlformats.org/officeDocument/2006/relationships/hyperlink" Target="https://www.lcsc.com/product-detail/Chip-Resistor-Surface-Mount_YAGEO-PE0805FRF470R03L_C858599.html" TargetMode="External"/><Relationship Id="rId26" Type="http://schemas.openxmlformats.org/officeDocument/2006/relationships/hyperlink" Target="https://www.lcsc.com/product-detail/Chip-Resistor-Surface-Mount_YAGEO-RC0603FR-070RL_C100044.html" TargetMode="External"/><Relationship Id="rId39" Type="http://schemas.openxmlformats.org/officeDocument/2006/relationships/hyperlink" Target="https://www.lcsc.com/product-detail/Power-Over-Ethernet-Controllers_Texas-Instruments-TPS2375DR_C2867397.html" TargetMode="External"/><Relationship Id="rId21" Type="http://schemas.openxmlformats.org/officeDocument/2006/relationships/hyperlink" Target="https://www.lcsc.com/product-detail/Chip-Resistor-Surface-Mount_YAGEO-RC0201FR-07300KL_C274871.html" TargetMode="External"/><Relationship Id="rId34" Type="http://schemas.openxmlformats.org/officeDocument/2006/relationships/hyperlink" Target="https://www.lcsc.com/product-detail/Crystals_NDK-NX3225GA-25MHZ-STD-CRG-2_C438901.html" TargetMode="External"/><Relationship Id="rId42" Type="http://schemas.openxmlformats.org/officeDocument/2006/relationships/hyperlink" Target="https://www.lcsc.com/product-detail/TVS_Littelfuse-SP0502BAHTG_C207261.html" TargetMode="External"/><Relationship Id="rId7" Type="http://schemas.openxmlformats.org/officeDocument/2006/relationships/hyperlink" Target="https://www.lcsc.com/product-detail/Multilayer-Ceramic-Capacitors-MLCC-SMD-SMT_YAGEO-AC0603KRX7R0BB103_C149602.html" TargetMode="External"/><Relationship Id="rId2" Type="http://schemas.openxmlformats.org/officeDocument/2006/relationships/hyperlink" Target="https://www.lcsc.com/product-detail/Aluminum-Electrolytic-Capacitors-SMD_Ymin-VMMC0571J150MV_C487115.html" TargetMode="External"/><Relationship Id="rId16" Type="http://schemas.openxmlformats.org/officeDocument/2006/relationships/hyperlink" Target="https://www.lcsc.com/product-detail/Chip-Resistor-Surface-Mount_YAGEO-RC0201DR-0724K9L_C851690.html" TargetMode="External"/><Relationship Id="rId20" Type="http://schemas.openxmlformats.org/officeDocument/2006/relationships/hyperlink" Target="https://www.lcsc.com/product-detail/Chip-Resistor-Surface-Mount_UNI-ROYAL-Uniroyal-Elec-0201WMF4421TEE_C423515.html" TargetMode="External"/><Relationship Id="rId29" Type="http://schemas.openxmlformats.org/officeDocument/2006/relationships/hyperlink" Target="https://www.lcsc.com/product-detail/Chip-Resistor-Surface-Mount_YAGEO-RC0603FR-0733RL_C108661.html" TargetMode="External"/><Relationship Id="rId41" Type="http://schemas.openxmlformats.org/officeDocument/2006/relationships/hyperlink" Target="https://www.lcsc.com/product-detail/Cable_Shengwei-LC-2030C_C3011736.html" TargetMode="External"/><Relationship Id="rId1" Type="http://schemas.openxmlformats.org/officeDocument/2006/relationships/hyperlink" Target="https://www.lcsc.com/product-detail/Multilayer-Ceramic-Capacitors-MLCC-SMD-SMT_Murata-Electronics-GRM155R62A104KE14D_C162178.html" TargetMode="External"/><Relationship Id="rId6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11" Type="http://schemas.openxmlformats.org/officeDocument/2006/relationships/hyperlink" Target="https://www.lcsc.com/product-detail/Ferrite-Beads_Taiyo-Yuden-FBMH3225HM601NT_C268004.html" TargetMode="External"/><Relationship Id="rId24" Type="http://schemas.openxmlformats.org/officeDocument/2006/relationships/hyperlink" Target="https://www.lcsc.com/product-detail/Chip-Resistor-Surface-Mount_YAGEO-RC0603FR-071KL_C22548.html" TargetMode="External"/><Relationship Id="rId32" Type="http://schemas.openxmlformats.org/officeDocument/2006/relationships/hyperlink" Target="https://www.lcsc.com/product-detail/DC-DC-Converters_XDS-TX4138_C329267.html" TargetMode="External"/><Relationship Id="rId37" Type="http://schemas.openxmlformats.org/officeDocument/2006/relationships/hyperlink" Target="https://www.lcsc.com/product-detail/Chip-Resistor-Surface-Mount_YAGEO-RC0603FR-0722RL_C107701.html" TargetMode="External"/><Relationship Id="rId40" Type="http://schemas.openxmlformats.org/officeDocument/2006/relationships/hyperlink" Target="https://www.lcsc.com/product-detail/Resettable-Fuses_BHFUSE-BSMD0805L-200_C2757931.html" TargetMode="External"/><Relationship Id="rId5" Type="http://schemas.openxmlformats.org/officeDocument/2006/relationships/hyperlink" Target="https://www.lcsc.com/product-detail/Multilayer-Ceramic-Capacitors-MLCC-SMD-SMT_TDK-C1608X5R1E106M080AC_C2168289.html" TargetMode="External"/><Relationship Id="rId15" Type="http://schemas.openxmlformats.org/officeDocument/2006/relationships/hyperlink" Target="https://www.lcsc.com/product-detail/Chip-Resistor-Surface-Mount_UNI-ROYAL-Uniroyal-Elec-NQ01WMJ047JTEE_C965309.html" TargetMode="External"/><Relationship Id="rId23" Type="http://schemas.openxmlformats.org/officeDocument/2006/relationships/hyperlink" Target="https://www.lcsc.com/product-detail/Chip-Resistor-Surface-Mount_YAGEO-RC0201FR-0710KL_C106225.html" TargetMode="External"/><Relationship Id="rId28" Type="http://schemas.openxmlformats.org/officeDocument/2006/relationships/hyperlink" Target="https://www.lcsc.com/product-detail/Chip-Resistor-Surface-Mount_YAGEO-RC0603FR-0710RL_C109318.html" TargetMode="External"/><Relationship Id="rId36" Type="http://schemas.openxmlformats.org/officeDocument/2006/relationships/hyperlink" Target="https://www.lcsc.com/product-detail/Multilayer-Ceramic-Capacitors-MLCC-SMD-SMT_YAGEO-CC0402KRX7R7BB223_C107017.html" TargetMode="External"/><Relationship Id="rId10" Type="http://schemas.openxmlformats.org/officeDocument/2006/relationships/hyperlink" Target="https://www.lcsc.com/product-detail/Schottky-Barrier-Diodes-SBD_JUXING-SS510B_C3011128.html" TargetMode="External"/><Relationship Id="rId19" Type="http://schemas.openxmlformats.org/officeDocument/2006/relationships/hyperlink" Target="https://www.lcsc.com/product-detail/Chip-Resistor-Surface-Mount_YAGEO-RC0201JR-07180KL_C295837.html" TargetMode="External"/><Relationship Id="rId31" Type="http://schemas.openxmlformats.org/officeDocument/2006/relationships/hyperlink" Target="https://www.lcsc.com/product-detail/Chip-Resistor-Surface-Mount_YAGEO-RC0603FR-0712K4L_C137798.html" TargetMode="External"/><Relationship Id="rId44" Type="http://schemas.openxmlformats.org/officeDocument/2006/relationships/drawing" Target="../drawings/drawing1.xml"/><Relationship Id="rId4" Type="http://schemas.openxmlformats.org/officeDocument/2006/relationships/hyperlink" Target="https://www.lcsc.com/product-detail/Multilayer-Ceramic-Capacitors-MLCC-SMD-SMT_YAGEO-CC0402JRNPO9BN221_C107001.html" TargetMode="External"/><Relationship Id="rId9" Type="http://schemas.openxmlformats.org/officeDocument/2006/relationships/hyperlink" Target="https://www.lcsc.com/product-detail/TVS_Yangzhou-Yangjie-Elec-Tech-SMAJ58A_C698958.html" TargetMode="External"/><Relationship Id="rId14" Type="http://schemas.openxmlformats.org/officeDocument/2006/relationships/hyperlink" Target="https://www.lcsc.com/product-detail/MOSFETs_onsemi-FDN306P_C154510.html" TargetMode="External"/><Relationship Id="rId22" Type="http://schemas.openxmlformats.org/officeDocument/2006/relationships/hyperlink" Target="https://www.lcsc.com/product-detail/Chip-Resistor-Surface-Mount_YAGEO-RC0201DR-0757K6L_C851763.html" TargetMode="External"/><Relationship Id="rId27" Type="http://schemas.openxmlformats.org/officeDocument/2006/relationships/hyperlink" Target="https://www.lcsc.com/product-detail/Chip-Resistor-Surface-Mount_YAGEO-RC0201FR-0749R9L_C155744.html" TargetMode="External"/><Relationship Id="rId30" Type="http://schemas.openxmlformats.org/officeDocument/2006/relationships/hyperlink" Target="https://www.lcsc.com/product-detail/Chip-Resistor-Surface-Mount_YAGEO-RC0603FR-071ML_C105578.html" TargetMode="External"/><Relationship Id="rId35" Type="http://schemas.openxmlformats.org/officeDocument/2006/relationships/hyperlink" Target="https://www.lcsc.com/product-detail/Multilayer-Ceramic-Capacitors-MLCC-SMD-SMT_YAGEO-CC0603GRNPO0BN120_C527051.html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www.lcsc.com/product-detail/Multilayer-Ceramic-Capacitors-MLCC-SMD-SMT_TDK-C1608X5R1E475KT000E_C76615.html" TargetMode="External"/><Relationship Id="rId3" Type="http://schemas.openxmlformats.org/officeDocument/2006/relationships/hyperlink" Target="https://www.lcsc.com/product-detail/Tantalum-Capacitors_Kyocera-AVX-TAJE477K010RNJ_C7234.html" TargetMode="External"/><Relationship Id="rId12" Type="http://schemas.openxmlformats.org/officeDocument/2006/relationships/hyperlink" Target="https://www.lcsc.com/product-detail/Inductors-SMD_KOHERelec-MDA7050-330M_C2847546.html" TargetMode="External"/><Relationship Id="rId17" Type="http://schemas.openxmlformats.org/officeDocument/2006/relationships/hyperlink" Target="https://www.lcsc.com/product-detail/Chip-Resistor-Surface-Mount_YAGEO-RC0402FR-074K7L_C105871.html" TargetMode="External"/><Relationship Id="rId25" Type="http://schemas.openxmlformats.org/officeDocument/2006/relationships/hyperlink" Target="https://www.lcsc.com/product-detail/Chip-Resistor-Surface-Mount_YAGEO-RC0603JR-07330RL_C105879.html" TargetMode="External"/><Relationship Id="rId33" Type="http://schemas.openxmlformats.org/officeDocument/2006/relationships/hyperlink" Target="https://www.lcsc.com/product-detail/Ethernet-ICs_WIZNET-W5500_C32843.html" TargetMode="External"/><Relationship Id="rId38" Type="http://schemas.openxmlformats.org/officeDocument/2006/relationships/hyperlink" Target="https://eu.mouser.com/ProductDetail/ABRACON/ARJM11D7-114-AB-EW2?qs=YCa%2FAAYMW02ICsJcHu%252BNJg%3D%3D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Bipolar-Transistors-BJT_TECH-PUBLIC-MMBT3904M_C2923360.html" TargetMode="External"/><Relationship Id="rId18" Type="http://schemas.openxmlformats.org/officeDocument/2006/relationships/hyperlink" Target="https://www.lcsc.com/product-detail/Chip-Resistor-Surface-Mount_YAGEO-PE0805FRF470R03L_C858599.html" TargetMode="External"/><Relationship Id="rId26" Type="http://schemas.openxmlformats.org/officeDocument/2006/relationships/hyperlink" Target="https://www.lcsc.com/product-detail/Chip-Resistor-Surface-Mount_YAGEO-RC0603FR-070RL_C100044.html" TargetMode="External"/><Relationship Id="rId39" Type="http://schemas.openxmlformats.org/officeDocument/2006/relationships/hyperlink" Target="https://www.lcsc.com/product-detail/Power-Over-Ethernet-Controllers_Texas-Instruments-TPS2375DR_C2867397.html" TargetMode="External"/><Relationship Id="rId21" Type="http://schemas.openxmlformats.org/officeDocument/2006/relationships/hyperlink" Target="https://www.lcsc.com/product-detail/Chip-Resistor-Surface-Mount_YAGEO-RC0201FR-07300KL_C274871.html" TargetMode="External"/><Relationship Id="rId34" Type="http://schemas.openxmlformats.org/officeDocument/2006/relationships/hyperlink" Target="https://www.lcsc.com/product-detail/Crystals_NDK-NX3225GA-25MHZ-STD-CRG-2_C438901.html" TargetMode="External"/><Relationship Id="rId42" Type="http://schemas.openxmlformats.org/officeDocument/2006/relationships/hyperlink" Target="https://www.lcsc.com/product-detail/TVS_Littelfuse-SP0502BAHTG_C207261.html" TargetMode="External"/><Relationship Id="rId7" Type="http://schemas.openxmlformats.org/officeDocument/2006/relationships/hyperlink" Target="https://www.lcsc.com/product-detail/Multilayer-Ceramic-Capacitors-MLCC-SMD-SMT_YAGEO-AC0603KRX7R0BB103_C149602.html" TargetMode="External"/><Relationship Id="rId2" Type="http://schemas.openxmlformats.org/officeDocument/2006/relationships/hyperlink" Target="https://www.lcsc.com/product-detail/Aluminum-Electrolytic-Capacitors-SMD_Ymin-VMMC0571J150MV_C487115.html" TargetMode="External"/><Relationship Id="rId16" Type="http://schemas.openxmlformats.org/officeDocument/2006/relationships/hyperlink" Target="https://www.lcsc.com/product-detail/Chip-Resistor-Surface-Mount_YAGEO-RC0201DR-0724K9L_C851690.html" TargetMode="External"/><Relationship Id="rId20" Type="http://schemas.openxmlformats.org/officeDocument/2006/relationships/hyperlink" Target="https://www.lcsc.com/product-detail/Chip-Resistor-Surface-Mount_UNI-ROYAL-Uniroyal-Elec-0201WMF4421TEE_C423515.html" TargetMode="External"/><Relationship Id="rId29" Type="http://schemas.openxmlformats.org/officeDocument/2006/relationships/hyperlink" Target="https://www.lcsc.com/product-detail/Chip-Resistor-Surface-Mount_YAGEO-RC0603FR-0733RL_C108661.html" TargetMode="External"/><Relationship Id="rId41" Type="http://schemas.openxmlformats.org/officeDocument/2006/relationships/hyperlink" Target="https://www.lcsc.com/product-detail/Cable_Shengwei-LC-2030C_C3011736.html" TargetMode="External"/><Relationship Id="rId1" Type="http://schemas.openxmlformats.org/officeDocument/2006/relationships/hyperlink" Target="https://www.lcsc.com/product-detail/Multilayer-Ceramic-Capacitors-MLCC-SMD-SMT_Murata-Electronics-GRM155R62A104KE14D_C162178.html" TargetMode="External"/><Relationship Id="rId6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11" Type="http://schemas.openxmlformats.org/officeDocument/2006/relationships/hyperlink" Target="https://www.lcsc.com/product-detail/Ferrite-Beads_Taiyo-Yuden-FBMH3225HM601NT_C268004.html" TargetMode="External"/><Relationship Id="rId24" Type="http://schemas.openxmlformats.org/officeDocument/2006/relationships/hyperlink" Target="https://www.lcsc.com/product-detail/Chip-Resistor-Surface-Mount_YAGEO-RC0603FR-071KL_C22548.html" TargetMode="External"/><Relationship Id="rId32" Type="http://schemas.openxmlformats.org/officeDocument/2006/relationships/hyperlink" Target="https://www.lcsc.com/product-detail/DC-DC-Converters_XDS-TX4138_C329267.html" TargetMode="External"/><Relationship Id="rId37" Type="http://schemas.openxmlformats.org/officeDocument/2006/relationships/hyperlink" Target="https://www.lcsc.com/product-detail/Chip-Resistor-Surface-Mount_YAGEO-RC0603FR-0722RL_C107701.html" TargetMode="External"/><Relationship Id="rId40" Type="http://schemas.openxmlformats.org/officeDocument/2006/relationships/hyperlink" Target="https://www.lcsc.com/product-detail/Resettable-Fuses_BHFUSE-BSMD0805L-200_C2757931.html" TargetMode="External"/><Relationship Id="rId5" Type="http://schemas.openxmlformats.org/officeDocument/2006/relationships/hyperlink" Target="https://www.lcsc.com/product-detail/Multilayer-Ceramic-Capacitors-MLCC-SMD-SMT_TDK-C1608X5R1E106M080AC_C2168289.html" TargetMode="External"/><Relationship Id="rId15" Type="http://schemas.openxmlformats.org/officeDocument/2006/relationships/hyperlink" Target="https://www.lcsc.com/product-detail/Chip-Resistor-Surface-Mount_UNI-ROYAL-Uniroyal-Elec-NQ01WMJ047JTEE_C965309.html" TargetMode="External"/><Relationship Id="rId23" Type="http://schemas.openxmlformats.org/officeDocument/2006/relationships/hyperlink" Target="https://www.lcsc.com/product-detail/Chip-Resistor-Surface-Mount_YAGEO-RC0201FR-0710KL_C106225.html" TargetMode="External"/><Relationship Id="rId28" Type="http://schemas.openxmlformats.org/officeDocument/2006/relationships/hyperlink" Target="https://www.lcsc.com/product-detail/Chip-Resistor-Surface-Mount_YAGEO-RC0603FR-0710RL_C109318.html" TargetMode="External"/><Relationship Id="rId36" Type="http://schemas.openxmlformats.org/officeDocument/2006/relationships/hyperlink" Target="https://www.lcsc.com/product-detail/Multilayer-Ceramic-Capacitors-MLCC-SMD-SMT_YAGEO-CC0402KRX7R7BB223_C107017.html" TargetMode="External"/><Relationship Id="rId10" Type="http://schemas.openxmlformats.org/officeDocument/2006/relationships/hyperlink" Target="https://www.lcsc.com/product-detail/Schottky-Barrier-Diodes-SBD_JUXING-SS510B_C3011128.html" TargetMode="External"/><Relationship Id="rId19" Type="http://schemas.openxmlformats.org/officeDocument/2006/relationships/hyperlink" Target="https://www.lcsc.com/product-detail/Chip-Resistor-Surface-Mount_YAGEO-RC0201JR-07180KL_C295837.html" TargetMode="External"/><Relationship Id="rId31" Type="http://schemas.openxmlformats.org/officeDocument/2006/relationships/hyperlink" Target="https://www.lcsc.com/product-detail/Chip-Resistor-Surface-Mount_YAGEO-RC0603FR-0712K4L_C137798.html" TargetMode="External"/><Relationship Id="rId4" Type="http://schemas.openxmlformats.org/officeDocument/2006/relationships/hyperlink" Target="https://www.lcsc.com/product-detail/Multilayer-Ceramic-Capacitors-MLCC-SMD-SMT_YAGEO-CC0402JRNPO9BN221_C107001.html" TargetMode="External"/><Relationship Id="rId9" Type="http://schemas.openxmlformats.org/officeDocument/2006/relationships/hyperlink" Target="https://www.lcsc.com/product-detail/TVS_Yangzhou-Yangjie-Elec-Tech-SMAJ58A_C698958.html" TargetMode="External"/><Relationship Id="rId14" Type="http://schemas.openxmlformats.org/officeDocument/2006/relationships/hyperlink" Target="https://www.lcsc.com/product-detail/MOSFETs_onsemi-FDN306P_C154510.html" TargetMode="External"/><Relationship Id="rId22" Type="http://schemas.openxmlformats.org/officeDocument/2006/relationships/hyperlink" Target="https://www.lcsc.com/product-detail/Chip-Resistor-Surface-Mount_YAGEO-RC0201DR-0757K6L_C851763.html" TargetMode="External"/><Relationship Id="rId27" Type="http://schemas.openxmlformats.org/officeDocument/2006/relationships/hyperlink" Target="https://www.lcsc.com/product-detail/Chip-Resistor-Surface-Mount_YAGEO-RC0201FR-0749R9L_C155744.html" TargetMode="External"/><Relationship Id="rId30" Type="http://schemas.openxmlformats.org/officeDocument/2006/relationships/hyperlink" Target="https://www.lcsc.com/product-detail/Chip-Resistor-Surface-Mount_YAGEO-RC0603FR-071ML_C105578.html" TargetMode="External"/><Relationship Id="rId35" Type="http://schemas.openxmlformats.org/officeDocument/2006/relationships/hyperlink" Target="https://www.lcsc.com/product-detail/Multilayer-Ceramic-Capacitors-MLCC-SMD-SMT_YAGEO-CC0603GRNPO0BN120_C527051.html" TargetMode="External"/><Relationship Id="rId43" Type="http://schemas.openxmlformats.org/officeDocument/2006/relationships/drawing" Target="../drawings/drawing2.xml"/><Relationship Id="rId8" Type="http://schemas.openxmlformats.org/officeDocument/2006/relationships/hyperlink" Target="https://www.lcsc.com/product-detail/Multilayer-Ceramic-Capacitors-MLCC-SMD-SMT_TDK-C1608X5R1E475KT000E_C76615.html" TargetMode="External"/><Relationship Id="rId3" Type="http://schemas.openxmlformats.org/officeDocument/2006/relationships/hyperlink" Target="https://www.lcsc.com/product-detail/Tantalum-Capacitors_Kyocera-AVX-TAJE477K010RNJ_C7234.html" TargetMode="External"/><Relationship Id="rId12" Type="http://schemas.openxmlformats.org/officeDocument/2006/relationships/hyperlink" Target="https://www.lcsc.com/product-detail/Inductors-SMD_KOHERelec-MDA7050-330M_C2847546.html" TargetMode="External"/><Relationship Id="rId17" Type="http://schemas.openxmlformats.org/officeDocument/2006/relationships/hyperlink" Target="https://www.lcsc.com/product-detail/Chip-Resistor-Surface-Mount_YAGEO-RC0402FR-074K7L_C105871.html" TargetMode="External"/><Relationship Id="rId25" Type="http://schemas.openxmlformats.org/officeDocument/2006/relationships/hyperlink" Target="https://www.lcsc.com/product-detail/Chip-Resistor-Surface-Mount_YAGEO-RC0603JR-07330RL_C105879.html" TargetMode="External"/><Relationship Id="rId33" Type="http://schemas.openxmlformats.org/officeDocument/2006/relationships/hyperlink" Target="https://www.lcsc.com/product-detail/Ethernet-ICs_WIZNET-W5500_C32843.html" TargetMode="External"/><Relationship Id="rId38" Type="http://schemas.openxmlformats.org/officeDocument/2006/relationships/hyperlink" Target="https://eu.mouser.com/ProductDetail/ABRACON/ARJM11D7-114-AB-EW2?qs=YCa%2FAAYMW02ICsJcHu%252BNJg%3D%3D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Bipolar-Transistors-BJT_TECH-PUBLIC-MMBT3904M_C2923360.html" TargetMode="External"/><Relationship Id="rId18" Type="http://schemas.openxmlformats.org/officeDocument/2006/relationships/hyperlink" Target="https://www.lcsc.com/product-detail/Chip-Resistor-Surface-Mount_YAGEO-PE0805FRF470R03L_C858599.html" TargetMode="External"/><Relationship Id="rId26" Type="http://schemas.openxmlformats.org/officeDocument/2006/relationships/hyperlink" Target="https://www.lcsc.com/product-detail/Chip-Resistor-Surface-Mount_YAGEO-RC0603FR-070RL_C100044.html" TargetMode="External"/><Relationship Id="rId39" Type="http://schemas.openxmlformats.org/officeDocument/2006/relationships/hyperlink" Target="https://www.lcsc.com/product-detail/Power-Over-Ethernet-Controllers_Texas-Instruments-TPS2375DR_C2867397.html" TargetMode="External"/><Relationship Id="rId21" Type="http://schemas.openxmlformats.org/officeDocument/2006/relationships/hyperlink" Target="https://www.lcsc.com/product-detail/Chip-Resistor-Surface-Mount_YAGEO-RC0201FR-07300KL_C274871.html" TargetMode="External"/><Relationship Id="rId34" Type="http://schemas.openxmlformats.org/officeDocument/2006/relationships/hyperlink" Target="https://www.lcsc.com/product-detail/Crystals_NDK-NX3225GA-25MHZ-STD-CRG-2_C438901.html" TargetMode="External"/><Relationship Id="rId42" Type="http://schemas.openxmlformats.org/officeDocument/2006/relationships/hyperlink" Target="https://www.lcsc.com/product-detail/TVS_Littelfuse-SP0502BAHTG_C207261.html" TargetMode="External"/><Relationship Id="rId7" Type="http://schemas.openxmlformats.org/officeDocument/2006/relationships/hyperlink" Target="https://www.lcsc.com/product-detail/Multilayer-Ceramic-Capacitors-MLCC-SMD-SMT_YAGEO-AC0603KRX7R0BB103_C149602.html" TargetMode="External"/><Relationship Id="rId2" Type="http://schemas.openxmlformats.org/officeDocument/2006/relationships/hyperlink" Target="https://www.lcsc.com/product-detail/Aluminum-Electrolytic-Capacitors-SMD_Ymin-VMMC0571J150MV_C487115.html" TargetMode="External"/><Relationship Id="rId16" Type="http://schemas.openxmlformats.org/officeDocument/2006/relationships/hyperlink" Target="https://www.lcsc.com/product-detail/Chip-Resistor-Surface-Mount_YAGEO-RC0201DR-0724K9L_C851690.html" TargetMode="External"/><Relationship Id="rId20" Type="http://schemas.openxmlformats.org/officeDocument/2006/relationships/hyperlink" Target="https://www.lcsc.com/product-detail/Chip-Resistor-Surface-Mount_UNI-ROYAL-Uniroyal-Elec-0201WMF4421TEE_C423515.html" TargetMode="External"/><Relationship Id="rId29" Type="http://schemas.openxmlformats.org/officeDocument/2006/relationships/hyperlink" Target="https://www.lcsc.com/product-detail/Chip-Resistor-Surface-Mount_YAGEO-RC0603FR-0733RL_C108661.html" TargetMode="External"/><Relationship Id="rId41" Type="http://schemas.openxmlformats.org/officeDocument/2006/relationships/hyperlink" Target="https://www.lcsc.com/product-detail/Cable_Shengwei-LC-2030C_C3011736.html" TargetMode="External"/><Relationship Id="rId1" Type="http://schemas.openxmlformats.org/officeDocument/2006/relationships/hyperlink" Target="https://www.lcsc.com/product-detail/Multilayer-Ceramic-Capacitors-MLCC-SMD-SMT_Murata-Electronics-GRM155R62A104KE14D_C162178.html" TargetMode="External"/><Relationship Id="rId6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11" Type="http://schemas.openxmlformats.org/officeDocument/2006/relationships/hyperlink" Target="https://www.lcsc.com/product-detail/Ferrite-Beads_Taiyo-Yuden-FBMH3225HM601NT_C268004.html" TargetMode="External"/><Relationship Id="rId24" Type="http://schemas.openxmlformats.org/officeDocument/2006/relationships/hyperlink" Target="https://www.lcsc.com/product-detail/Chip-Resistor-Surface-Mount_YAGEO-RC0603FR-071KL_C22548.html" TargetMode="External"/><Relationship Id="rId32" Type="http://schemas.openxmlformats.org/officeDocument/2006/relationships/hyperlink" Target="https://www.lcsc.com/product-detail/DC-DC-Converters_XDS-TX4138_C329267.html" TargetMode="External"/><Relationship Id="rId37" Type="http://schemas.openxmlformats.org/officeDocument/2006/relationships/hyperlink" Target="https://www.lcsc.com/product-detail/Chip-Resistor-Surface-Mount_YAGEO-RC0603FR-0722RL_C107701.html" TargetMode="External"/><Relationship Id="rId40" Type="http://schemas.openxmlformats.org/officeDocument/2006/relationships/hyperlink" Target="https://www.lcsc.com/product-detail/Resettable-Fuses_BHFUSE-BSMD0805L-200_C2757931.html" TargetMode="External"/><Relationship Id="rId5" Type="http://schemas.openxmlformats.org/officeDocument/2006/relationships/hyperlink" Target="https://www.lcsc.com/product-detail/Multilayer-Ceramic-Capacitors-MLCC-SMD-SMT_TDK-C1608X5R1E106M080AC_C2168289.html" TargetMode="External"/><Relationship Id="rId15" Type="http://schemas.openxmlformats.org/officeDocument/2006/relationships/hyperlink" Target="https://www.lcsc.com/product-detail/Chip-Resistor-Surface-Mount_UNI-ROYAL-Uniroyal-Elec-NQ01WMJ047JTEE_C965309.html" TargetMode="External"/><Relationship Id="rId23" Type="http://schemas.openxmlformats.org/officeDocument/2006/relationships/hyperlink" Target="https://www.lcsc.com/product-detail/Chip-Resistor-Surface-Mount_YAGEO-RC0201FR-0710KL_C106225.html" TargetMode="External"/><Relationship Id="rId28" Type="http://schemas.openxmlformats.org/officeDocument/2006/relationships/hyperlink" Target="https://www.lcsc.com/product-detail/Chip-Resistor-Surface-Mount_YAGEO-RC0603FR-0710RL_C109318.html" TargetMode="External"/><Relationship Id="rId36" Type="http://schemas.openxmlformats.org/officeDocument/2006/relationships/hyperlink" Target="https://www.lcsc.com/product-detail/Multilayer-Ceramic-Capacitors-MLCC-SMD-SMT_YAGEO-CC0402KRX7R7BB223_C107017.html" TargetMode="External"/><Relationship Id="rId10" Type="http://schemas.openxmlformats.org/officeDocument/2006/relationships/hyperlink" Target="https://www.lcsc.com/product-detail/Schottky-Barrier-Diodes-SBD_JUXING-SS510B_C3011128.html" TargetMode="External"/><Relationship Id="rId19" Type="http://schemas.openxmlformats.org/officeDocument/2006/relationships/hyperlink" Target="https://www.lcsc.com/product-detail/Chip-Resistor-Surface-Mount_YAGEO-RC0201JR-07180KL_C295837.html" TargetMode="External"/><Relationship Id="rId31" Type="http://schemas.openxmlformats.org/officeDocument/2006/relationships/hyperlink" Target="https://www.lcsc.com/product-detail/Chip-Resistor-Surface-Mount_YAGEO-RC0603FR-0712K4L_C137798.html" TargetMode="External"/><Relationship Id="rId4" Type="http://schemas.openxmlformats.org/officeDocument/2006/relationships/hyperlink" Target="https://www.lcsc.com/product-detail/Multilayer-Ceramic-Capacitors-MLCC-SMD-SMT_YAGEO-CC0402JRNPO9BN221_C107001.html" TargetMode="External"/><Relationship Id="rId9" Type="http://schemas.openxmlformats.org/officeDocument/2006/relationships/hyperlink" Target="https://www.lcsc.com/product-detail/TVS_Yangzhou-Yangjie-Elec-Tech-SMAJ58A_C698958.html" TargetMode="External"/><Relationship Id="rId14" Type="http://schemas.openxmlformats.org/officeDocument/2006/relationships/hyperlink" Target="https://www.lcsc.com/product-detail/MOSFETs_onsemi-FDN306P_C154510.html" TargetMode="External"/><Relationship Id="rId22" Type="http://schemas.openxmlformats.org/officeDocument/2006/relationships/hyperlink" Target="https://www.lcsc.com/product-detail/Chip-Resistor-Surface-Mount_YAGEO-RC0201DR-0757K6L_C851763.html" TargetMode="External"/><Relationship Id="rId27" Type="http://schemas.openxmlformats.org/officeDocument/2006/relationships/hyperlink" Target="https://www.lcsc.com/product-detail/Chip-Resistor-Surface-Mount_YAGEO-RC0201FR-0749R9L_C155744.html" TargetMode="External"/><Relationship Id="rId30" Type="http://schemas.openxmlformats.org/officeDocument/2006/relationships/hyperlink" Target="https://www.lcsc.com/product-detail/Chip-Resistor-Surface-Mount_YAGEO-RC0603FR-071ML_C105578.html" TargetMode="External"/><Relationship Id="rId35" Type="http://schemas.openxmlformats.org/officeDocument/2006/relationships/hyperlink" Target="https://www.lcsc.com/product-detail/Multilayer-Ceramic-Capacitors-MLCC-SMD-SMT_YAGEO-CC0603GRNPO0BN120_C527051.html" TargetMode="External"/><Relationship Id="rId43" Type="http://schemas.openxmlformats.org/officeDocument/2006/relationships/drawing" Target="../drawings/drawing3.xml"/><Relationship Id="rId8" Type="http://schemas.openxmlformats.org/officeDocument/2006/relationships/hyperlink" Target="https://www.lcsc.com/product-detail/Multilayer-Ceramic-Capacitors-MLCC-SMD-SMT_TDK-C1608X5R1E475KT000E_C76615.html" TargetMode="External"/><Relationship Id="rId3" Type="http://schemas.openxmlformats.org/officeDocument/2006/relationships/hyperlink" Target="https://www.lcsc.com/product-detail/Tantalum-Capacitors_Kyocera-AVX-TAJE477K010RNJ_C7234.html" TargetMode="External"/><Relationship Id="rId12" Type="http://schemas.openxmlformats.org/officeDocument/2006/relationships/hyperlink" Target="https://www.lcsc.com/product-detail/Inductors-SMD_KOHERelec-MDA7050-330M_C2847546.html" TargetMode="External"/><Relationship Id="rId17" Type="http://schemas.openxmlformats.org/officeDocument/2006/relationships/hyperlink" Target="https://www.lcsc.com/product-detail/Chip-Resistor-Surface-Mount_YAGEO-RC0402FR-074K7L_C105871.html" TargetMode="External"/><Relationship Id="rId25" Type="http://schemas.openxmlformats.org/officeDocument/2006/relationships/hyperlink" Target="https://www.lcsc.com/product-detail/Chip-Resistor-Surface-Mount_YAGEO-RC0603JR-07330RL_C105879.html" TargetMode="External"/><Relationship Id="rId33" Type="http://schemas.openxmlformats.org/officeDocument/2006/relationships/hyperlink" Target="https://www.lcsc.com/product-detail/Ethernet-ICs_WIZNET-W5500_C32843.html" TargetMode="External"/><Relationship Id="rId38" Type="http://schemas.openxmlformats.org/officeDocument/2006/relationships/hyperlink" Target="https://eu.mouser.com/ProductDetail/ABRACON/ARJM11D7-114-AB-EW2?qs=YCa%2FAAYMW02ICsJcHu%252BNJg%3D%3D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Bipolar-Transistors-BJT_TECH-PUBLIC-MMBT3904M_C2923360.html" TargetMode="External"/><Relationship Id="rId18" Type="http://schemas.openxmlformats.org/officeDocument/2006/relationships/hyperlink" Target="https://www.lcsc.com/product-detail/Chip-Resistor-Surface-Mount_YAGEO-PE0805FRF470R03L_C858599.html" TargetMode="External"/><Relationship Id="rId26" Type="http://schemas.openxmlformats.org/officeDocument/2006/relationships/hyperlink" Target="https://www.lcsc.com/product-detail/Chip-Resistor-Surface-Mount_YAGEO-RC0603FR-070RL_C100044.html" TargetMode="External"/><Relationship Id="rId39" Type="http://schemas.openxmlformats.org/officeDocument/2006/relationships/hyperlink" Target="https://www.lcsc.com/product-detail/Power-Over-Ethernet-Controllers_Texas-Instruments-TPS2375DR_C2867397.html" TargetMode="External"/><Relationship Id="rId21" Type="http://schemas.openxmlformats.org/officeDocument/2006/relationships/hyperlink" Target="https://www.lcsc.com/product-detail/Chip-Resistor-Surface-Mount_YAGEO-RC0201FR-07300KL_C274871.html" TargetMode="External"/><Relationship Id="rId34" Type="http://schemas.openxmlformats.org/officeDocument/2006/relationships/hyperlink" Target="https://www.lcsc.com/product-detail/Crystals_NDK-NX3225GA-25MHZ-STD-CRG-2_C438901.html" TargetMode="External"/><Relationship Id="rId42" Type="http://schemas.openxmlformats.org/officeDocument/2006/relationships/hyperlink" Target="https://www.lcsc.com/product-detail/TVS_Littelfuse-SP0502BAHTG_C207261.html" TargetMode="External"/><Relationship Id="rId7" Type="http://schemas.openxmlformats.org/officeDocument/2006/relationships/hyperlink" Target="https://www.lcsc.com/product-detail/Multilayer-Ceramic-Capacitors-MLCC-SMD-SMT_YAGEO-AC0603KRX7R0BB103_C149602.html" TargetMode="External"/><Relationship Id="rId2" Type="http://schemas.openxmlformats.org/officeDocument/2006/relationships/hyperlink" Target="https://www.lcsc.com/product-detail/Aluminum-Electrolytic-Capacitors-SMD_Ymin-VMMC0571J150MV_C487115.html" TargetMode="External"/><Relationship Id="rId16" Type="http://schemas.openxmlformats.org/officeDocument/2006/relationships/hyperlink" Target="https://www.lcsc.com/product-detail/Chip-Resistor-Surface-Mount_YAGEO-RC0201DR-0724K9L_C851690.html" TargetMode="External"/><Relationship Id="rId20" Type="http://schemas.openxmlformats.org/officeDocument/2006/relationships/hyperlink" Target="https://www.lcsc.com/product-detail/Chip-Resistor-Surface-Mount_UNI-ROYAL-Uniroyal-Elec-0201WMF4421TEE_C423515.html" TargetMode="External"/><Relationship Id="rId29" Type="http://schemas.openxmlformats.org/officeDocument/2006/relationships/hyperlink" Target="https://www.lcsc.com/product-detail/Chip-Resistor-Surface-Mount_YAGEO-RC0603FR-0733RL_C108661.html" TargetMode="External"/><Relationship Id="rId41" Type="http://schemas.openxmlformats.org/officeDocument/2006/relationships/hyperlink" Target="https://www.lcsc.com/product-detail/Cable_Shengwei-LC-2030C_C3011736.html" TargetMode="External"/><Relationship Id="rId1" Type="http://schemas.openxmlformats.org/officeDocument/2006/relationships/hyperlink" Target="https://www.lcsc.com/product-detail/Multilayer-Ceramic-Capacitors-MLCC-SMD-SMT_Murata-Electronics-GRM155R62A104KE14D_C162178.html" TargetMode="External"/><Relationship Id="rId6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11" Type="http://schemas.openxmlformats.org/officeDocument/2006/relationships/hyperlink" Target="https://www.lcsc.com/product-detail/Ferrite-Beads_Taiyo-Yuden-FBMH3225HM601NT_C268004.html" TargetMode="External"/><Relationship Id="rId24" Type="http://schemas.openxmlformats.org/officeDocument/2006/relationships/hyperlink" Target="https://www.lcsc.com/product-detail/Chip-Resistor-Surface-Mount_YAGEO-RC0603FR-071KL_C22548.html" TargetMode="External"/><Relationship Id="rId32" Type="http://schemas.openxmlformats.org/officeDocument/2006/relationships/hyperlink" Target="https://www.lcsc.com/product-detail/DC-DC-Converters_XDS-TX4138_C329267.html" TargetMode="External"/><Relationship Id="rId37" Type="http://schemas.openxmlformats.org/officeDocument/2006/relationships/hyperlink" Target="https://www.lcsc.com/product-detail/Chip-Resistor-Surface-Mount_YAGEO-RC0603FR-0722RL_C107701.html" TargetMode="External"/><Relationship Id="rId40" Type="http://schemas.openxmlformats.org/officeDocument/2006/relationships/hyperlink" Target="https://www.lcsc.com/product-detail/Resettable-Fuses_BHFUSE-BSMD0805L-200_C2757931.html" TargetMode="External"/><Relationship Id="rId5" Type="http://schemas.openxmlformats.org/officeDocument/2006/relationships/hyperlink" Target="https://www.lcsc.com/product-detail/Multilayer-Ceramic-Capacitors-MLCC-SMD-SMT_TDK-C1608X5R1E106M080AC_C2168289.html" TargetMode="External"/><Relationship Id="rId15" Type="http://schemas.openxmlformats.org/officeDocument/2006/relationships/hyperlink" Target="https://www.lcsc.com/product-detail/Chip-Resistor-Surface-Mount_UNI-ROYAL-Uniroyal-Elec-NQ01WMJ047JTEE_C965309.html" TargetMode="External"/><Relationship Id="rId23" Type="http://schemas.openxmlformats.org/officeDocument/2006/relationships/hyperlink" Target="https://www.lcsc.com/product-detail/Chip-Resistor-Surface-Mount_YAGEO-RC0201FR-0710KL_C106225.html" TargetMode="External"/><Relationship Id="rId28" Type="http://schemas.openxmlformats.org/officeDocument/2006/relationships/hyperlink" Target="https://www.lcsc.com/product-detail/Chip-Resistor-Surface-Mount_YAGEO-RC0603FR-0710RL_C109318.html" TargetMode="External"/><Relationship Id="rId36" Type="http://schemas.openxmlformats.org/officeDocument/2006/relationships/hyperlink" Target="https://www.lcsc.com/product-detail/Multilayer-Ceramic-Capacitors-MLCC-SMD-SMT_YAGEO-CC0402KRX7R7BB223_C107017.html" TargetMode="External"/><Relationship Id="rId10" Type="http://schemas.openxmlformats.org/officeDocument/2006/relationships/hyperlink" Target="https://www.lcsc.com/product-detail/Schottky-Barrier-Diodes-SBD_JUXING-SS510B_C3011128.html" TargetMode="External"/><Relationship Id="rId19" Type="http://schemas.openxmlformats.org/officeDocument/2006/relationships/hyperlink" Target="https://www.lcsc.com/product-detail/Chip-Resistor-Surface-Mount_YAGEO-RC0201JR-07180KL_C295837.html" TargetMode="External"/><Relationship Id="rId31" Type="http://schemas.openxmlformats.org/officeDocument/2006/relationships/hyperlink" Target="https://www.lcsc.com/product-detail/Chip-Resistor-Surface-Mount_YAGEO-RC0603FR-0712K4L_C137798.html" TargetMode="External"/><Relationship Id="rId4" Type="http://schemas.openxmlformats.org/officeDocument/2006/relationships/hyperlink" Target="https://www.lcsc.com/product-detail/Multilayer-Ceramic-Capacitors-MLCC-SMD-SMT_YAGEO-CC0402JRNPO9BN221_C107001.html" TargetMode="External"/><Relationship Id="rId9" Type="http://schemas.openxmlformats.org/officeDocument/2006/relationships/hyperlink" Target="https://www.lcsc.com/product-detail/TVS_Yangzhou-Yangjie-Elec-Tech-SMAJ58A_C698958.html" TargetMode="External"/><Relationship Id="rId14" Type="http://schemas.openxmlformats.org/officeDocument/2006/relationships/hyperlink" Target="https://www.lcsc.com/product-detail/MOSFETs_onsemi-FDN306P_C154510.html" TargetMode="External"/><Relationship Id="rId22" Type="http://schemas.openxmlformats.org/officeDocument/2006/relationships/hyperlink" Target="https://www.lcsc.com/product-detail/Chip-Resistor-Surface-Mount_YAGEO-RC0201DR-0757K6L_C851763.html" TargetMode="External"/><Relationship Id="rId27" Type="http://schemas.openxmlformats.org/officeDocument/2006/relationships/hyperlink" Target="https://www.lcsc.com/product-detail/Chip-Resistor-Surface-Mount_YAGEO-RC0201FR-0749R9L_C155744.html" TargetMode="External"/><Relationship Id="rId30" Type="http://schemas.openxmlformats.org/officeDocument/2006/relationships/hyperlink" Target="https://www.lcsc.com/product-detail/Chip-Resistor-Surface-Mount_YAGEO-RC0603FR-071ML_C105578.html" TargetMode="External"/><Relationship Id="rId35" Type="http://schemas.openxmlformats.org/officeDocument/2006/relationships/hyperlink" Target="https://www.lcsc.com/product-detail/Multilayer-Ceramic-Capacitors-MLCC-SMD-SMT_YAGEO-CC0603GRNPO0BN120_C527051.html" TargetMode="External"/><Relationship Id="rId43" Type="http://schemas.openxmlformats.org/officeDocument/2006/relationships/drawing" Target="../drawings/drawing4.xml"/><Relationship Id="rId8" Type="http://schemas.openxmlformats.org/officeDocument/2006/relationships/hyperlink" Target="https://www.lcsc.com/product-detail/Multilayer-Ceramic-Capacitors-MLCC-SMD-SMT_TDK-C1608X5R1E475KT000E_C76615.html" TargetMode="External"/><Relationship Id="rId3" Type="http://schemas.openxmlformats.org/officeDocument/2006/relationships/hyperlink" Target="https://www.lcsc.com/product-detail/Tantalum-Capacitors_Kyocera-AVX-TAJE477K010RNJ_C7234.html" TargetMode="External"/><Relationship Id="rId12" Type="http://schemas.openxmlformats.org/officeDocument/2006/relationships/hyperlink" Target="https://www.lcsc.com/product-detail/Inductors-SMD_KOHERelec-MDA7050-330M_C2847546.html" TargetMode="External"/><Relationship Id="rId17" Type="http://schemas.openxmlformats.org/officeDocument/2006/relationships/hyperlink" Target="https://www.lcsc.com/product-detail/Chip-Resistor-Surface-Mount_YAGEO-RC0402FR-074K7L_C105871.html" TargetMode="External"/><Relationship Id="rId25" Type="http://schemas.openxmlformats.org/officeDocument/2006/relationships/hyperlink" Target="https://www.lcsc.com/product-detail/Chip-Resistor-Surface-Mount_YAGEO-RC0603JR-07330RL_C105879.html" TargetMode="External"/><Relationship Id="rId33" Type="http://schemas.openxmlformats.org/officeDocument/2006/relationships/hyperlink" Target="https://www.lcsc.com/product-detail/Ethernet-ICs_WIZNET-W5500_C32843.html" TargetMode="External"/><Relationship Id="rId38" Type="http://schemas.openxmlformats.org/officeDocument/2006/relationships/hyperlink" Target="https://eu.mouser.com/ProductDetail/ABRACON/ARJM11D7-114-AB-EW2?qs=YCa%2FAAYMW02ICsJcHu%252BNJg%3D%3D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Bipolar-Transistors-BJT_TECH-PUBLIC-MMBT3904M_C2923360.html" TargetMode="External"/><Relationship Id="rId18" Type="http://schemas.openxmlformats.org/officeDocument/2006/relationships/hyperlink" Target="https://www.lcsc.com/product-detail/Chip-Resistor-Surface-Mount_YAGEO-PE0805FRF470R03L_C858599.html" TargetMode="External"/><Relationship Id="rId26" Type="http://schemas.openxmlformats.org/officeDocument/2006/relationships/hyperlink" Target="https://www.lcsc.com/product-detail/Chip-Resistor-Surface-Mount_YAGEO-RC0603FR-070RL_C100044.html" TargetMode="External"/><Relationship Id="rId39" Type="http://schemas.openxmlformats.org/officeDocument/2006/relationships/hyperlink" Target="https://www.lcsc.com/product-detail/Power-Over-Ethernet-Controllers_Texas-Instruments-TPS2375DR_C2867397.html" TargetMode="External"/><Relationship Id="rId21" Type="http://schemas.openxmlformats.org/officeDocument/2006/relationships/hyperlink" Target="https://www.lcsc.com/product-detail/Chip-Resistor-Surface-Mount_YAGEO-RC0201FR-07300KL_C274871.html" TargetMode="External"/><Relationship Id="rId34" Type="http://schemas.openxmlformats.org/officeDocument/2006/relationships/hyperlink" Target="https://www.lcsc.com/product-detail/Crystals_NDK-NX3225GA-25MHZ-STD-CRG-2_C438901.html" TargetMode="External"/><Relationship Id="rId42" Type="http://schemas.openxmlformats.org/officeDocument/2006/relationships/hyperlink" Target="https://www.lcsc.com/product-detail/TVS_Littelfuse-SP0502BAHTG_C207261.html" TargetMode="External"/><Relationship Id="rId7" Type="http://schemas.openxmlformats.org/officeDocument/2006/relationships/hyperlink" Target="https://www.lcsc.com/product-detail/Multilayer-Ceramic-Capacitors-MLCC-SMD-SMT_YAGEO-AC0603KRX7R0BB103_C149602.html" TargetMode="External"/><Relationship Id="rId2" Type="http://schemas.openxmlformats.org/officeDocument/2006/relationships/hyperlink" Target="https://www.lcsc.com/product-detail/Aluminum-Electrolytic-Capacitors-SMD_Ymin-VMMC0571J150MV_C487115.html" TargetMode="External"/><Relationship Id="rId16" Type="http://schemas.openxmlformats.org/officeDocument/2006/relationships/hyperlink" Target="https://www.lcsc.com/product-detail/Chip-Resistor-Surface-Mount_YAGEO-RC0201DR-0724K9L_C851690.html" TargetMode="External"/><Relationship Id="rId20" Type="http://schemas.openxmlformats.org/officeDocument/2006/relationships/hyperlink" Target="https://www.lcsc.com/product-detail/Chip-Resistor-Surface-Mount_UNI-ROYAL-Uniroyal-Elec-0201WMF4421TEE_C423515.html" TargetMode="External"/><Relationship Id="rId29" Type="http://schemas.openxmlformats.org/officeDocument/2006/relationships/hyperlink" Target="https://www.lcsc.com/product-detail/Chip-Resistor-Surface-Mount_YAGEO-RC0603FR-0733RL_C108661.html" TargetMode="External"/><Relationship Id="rId41" Type="http://schemas.openxmlformats.org/officeDocument/2006/relationships/hyperlink" Target="https://www.lcsc.com/product-detail/Cable_Shengwei-LC-2030C_C3011736.html" TargetMode="External"/><Relationship Id="rId1" Type="http://schemas.openxmlformats.org/officeDocument/2006/relationships/hyperlink" Target="https://www.lcsc.com/product-detail/Multilayer-Ceramic-Capacitors-MLCC-SMD-SMT_Murata-Electronics-GRM155R62A104KE14D_C162178.html" TargetMode="External"/><Relationship Id="rId6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11" Type="http://schemas.openxmlformats.org/officeDocument/2006/relationships/hyperlink" Target="https://www.lcsc.com/product-detail/Ferrite-Beads_Taiyo-Yuden-FBMH3225HM601NT_C268004.html" TargetMode="External"/><Relationship Id="rId24" Type="http://schemas.openxmlformats.org/officeDocument/2006/relationships/hyperlink" Target="https://www.lcsc.com/product-detail/Chip-Resistor-Surface-Mount_YAGEO-RC0603FR-071KL_C22548.html" TargetMode="External"/><Relationship Id="rId32" Type="http://schemas.openxmlformats.org/officeDocument/2006/relationships/hyperlink" Target="https://www.lcsc.com/product-detail/DC-DC-Converters_XDS-TX4138_C329267.html" TargetMode="External"/><Relationship Id="rId37" Type="http://schemas.openxmlformats.org/officeDocument/2006/relationships/hyperlink" Target="https://www.lcsc.com/product-detail/Chip-Resistor-Surface-Mount_YAGEO-RC0603FR-0722RL_C107701.html" TargetMode="External"/><Relationship Id="rId40" Type="http://schemas.openxmlformats.org/officeDocument/2006/relationships/hyperlink" Target="https://www.lcsc.com/product-detail/Resettable-Fuses_BHFUSE-BSMD0805L-200_C2757931.html" TargetMode="External"/><Relationship Id="rId5" Type="http://schemas.openxmlformats.org/officeDocument/2006/relationships/hyperlink" Target="https://www.lcsc.com/product-detail/Multilayer-Ceramic-Capacitors-MLCC-SMD-SMT_TDK-C1608X5R1E106M080AC_C2168289.html" TargetMode="External"/><Relationship Id="rId15" Type="http://schemas.openxmlformats.org/officeDocument/2006/relationships/hyperlink" Target="https://www.lcsc.com/product-detail/Chip-Resistor-Surface-Mount_UNI-ROYAL-Uniroyal-Elec-NQ01WMJ047JTEE_C965309.html" TargetMode="External"/><Relationship Id="rId23" Type="http://schemas.openxmlformats.org/officeDocument/2006/relationships/hyperlink" Target="https://www.lcsc.com/product-detail/Chip-Resistor-Surface-Mount_YAGEO-RC0201FR-0710KL_C106225.html" TargetMode="External"/><Relationship Id="rId28" Type="http://schemas.openxmlformats.org/officeDocument/2006/relationships/hyperlink" Target="https://www.lcsc.com/product-detail/Chip-Resistor-Surface-Mount_YAGEO-RC0603FR-0710RL_C109318.html" TargetMode="External"/><Relationship Id="rId36" Type="http://schemas.openxmlformats.org/officeDocument/2006/relationships/hyperlink" Target="https://www.lcsc.com/product-detail/Multilayer-Ceramic-Capacitors-MLCC-SMD-SMT_YAGEO-CC0402KRX7R7BB223_C107017.html" TargetMode="External"/><Relationship Id="rId10" Type="http://schemas.openxmlformats.org/officeDocument/2006/relationships/hyperlink" Target="https://www.lcsc.com/product-detail/Schottky-Barrier-Diodes-SBD_JUXING-SS510B_C3011128.html" TargetMode="External"/><Relationship Id="rId19" Type="http://schemas.openxmlformats.org/officeDocument/2006/relationships/hyperlink" Target="https://www.lcsc.com/product-detail/Chip-Resistor-Surface-Mount_YAGEO-RC0201JR-07180KL_C295837.html" TargetMode="External"/><Relationship Id="rId31" Type="http://schemas.openxmlformats.org/officeDocument/2006/relationships/hyperlink" Target="https://www.lcsc.com/product-detail/Chip-Resistor-Surface-Mount_YAGEO-RC0603FR-0712K4L_C137798.html" TargetMode="External"/><Relationship Id="rId4" Type="http://schemas.openxmlformats.org/officeDocument/2006/relationships/hyperlink" Target="https://www.lcsc.com/product-detail/Multilayer-Ceramic-Capacitors-MLCC-SMD-SMT_YAGEO-CC0402JRNPO9BN221_C107001.html" TargetMode="External"/><Relationship Id="rId9" Type="http://schemas.openxmlformats.org/officeDocument/2006/relationships/hyperlink" Target="https://www.lcsc.com/product-detail/TVS_Yangzhou-Yangjie-Elec-Tech-SMAJ58A_C698958.html" TargetMode="External"/><Relationship Id="rId14" Type="http://schemas.openxmlformats.org/officeDocument/2006/relationships/hyperlink" Target="https://www.lcsc.com/product-detail/MOSFETs_onsemi-FDN306P_C154510.html" TargetMode="External"/><Relationship Id="rId22" Type="http://schemas.openxmlformats.org/officeDocument/2006/relationships/hyperlink" Target="https://www.lcsc.com/product-detail/Chip-Resistor-Surface-Mount_YAGEO-RC0201DR-0757K6L_C851763.html" TargetMode="External"/><Relationship Id="rId27" Type="http://schemas.openxmlformats.org/officeDocument/2006/relationships/hyperlink" Target="https://www.lcsc.com/product-detail/Chip-Resistor-Surface-Mount_YAGEO-RC0201FR-0749R9L_C155744.html" TargetMode="External"/><Relationship Id="rId30" Type="http://schemas.openxmlformats.org/officeDocument/2006/relationships/hyperlink" Target="https://www.lcsc.com/product-detail/Chip-Resistor-Surface-Mount_YAGEO-RC0603FR-071ML_C105578.html" TargetMode="External"/><Relationship Id="rId35" Type="http://schemas.openxmlformats.org/officeDocument/2006/relationships/hyperlink" Target="https://www.lcsc.com/product-detail/Multilayer-Ceramic-Capacitors-MLCC-SMD-SMT_YAGEO-CC0603GRNPO0BN120_C527051.html" TargetMode="External"/><Relationship Id="rId43" Type="http://schemas.openxmlformats.org/officeDocument/2006/relationships/drawing" Target="../drawings/drawing5.xml"/><Relationship Id="rId8" Type="http://schemas.openxmlformats.org/officeDocument/2006/relationships/hyperlink" Target="https://www.lcsc.com/product-detail/Multilayer-Ceramic-Capacitors-MLCC-SMD-SMT_TDK-C1608X5R1E475KT000E_C76615.html" TargetMode="External"/><Relationship Id="rId3" Type="http://schemas.openxmlformats.org/officeDocument/2006/relationships/hyperlink" Target="https://www.lcsc.com/product-detail/Tantalum-Capacitors_Kyocera-AVX-TAJE477K010RNJ_C7234.html" TargetMode="External"/><Relationship Id="rId12" Type="http://schemas.openxmlformats.org/officeDocument/2006/relationships/hyperlink" Target="https://www.lcsc.com/product-detail/Inductors-SMD_KOHERelec-MDA7050-330M_C2847546.html" TargetMode="External"/><Relationship Id="rId17" Type="http://schemas.openxmlformats.org/officeDocument/2006/relationships/hyperlink" Target="https://www.lcsc.com/product-detail/Chip-Resistor-Surface-Mount_YAGEO-RC0402FR-074K7L_C105871.html" TargetMode="External"/><Relationship Id="rId25" Type="http://schemas.openxmlformats.org/officeDocument/2006/relationships/hyperlink" Target="https://www.lcsc.com/product-detail/Chip-Resistor-Surface-Mount_YAGEO-RC0603JR-07330RL_C105879.html" TargetMode="External"/><Relationship Id="rId33" Type="http://schemas.openxmlformats.org/officeDocument/2006/relationships/hyperlink" Target="https://www.lcsc.com/product-detail/Ethernet-ICs_WIZNET-W5500_C32843.html" TargetMode="External"/><Relationship Id="rId38" Type="http://schemas.openxmlformats.org/officeDocument/2006/relationships/hyperlink" Target="https://eu.mouser.com/ProductDetail/ABRACON/ARJM11D7-114-AB-EW2?qs=YCa%2FAAYMW02ICsJcHu%252BNJg%3D%3D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Bipolar-Transistors-BJT_TECH-PUBLIC-MMBT3904M_C2923360.html" TargetMode="External"/><Relationship Id="rId18" Type="http://schemas.openxmlformats.org/officeDocument/2006/relationships/hyperlink" Target="https://www.lcsc.com/product-detail/Chip-Resistor-Surface-Mount_YAGEO-PE0805FRF470R03L_C858599.html" TargetMode="External"/><Relationship Id="rId26" Type="http://schemas.openxmlformats.org/officeDocument/2006/relationships/hyperlink" Target="https://www.lcsc.com/product-detail/Chip-Resistor-Surface-Mount_YAGEO-RC0603FR-070RL_C100044.html" TargetMode="External"/><Relationship Id="rId39" Type="http://schemas.openxmlformats.org/officeDocument/2006/relationships/hyperlink" Target="https://www.lcsc.com/product-detail/Power-Over-Ethernet-Controllers_Texas-Instruments-TPS2375DR_C2867397.html" TargetMode="External"/><Relationship Id="rId21" Type="http://schemas.openxmlformats.org/officeDocument/2006/relationships/hyperlink" Target="https://www.lcsc.com/product-detail/Chip-Resistor-Surface-Mount_YAGEO-RC0201FR-07300KL_C274871.html" TargetMode="External"/><Relationship Id="rId34" Type="http://schemas.openxmlformats.org/officeDocument/2006/relationships/hyperlink" Target="https://www.lcsc.com/product-detail/Crystals_NDK-NX3225GA-25MHZ-STD-CRG-2_C438901.html" TargetMode="External"/><Relationship Id="rId42" Type="http://schemas.openxmlformats.org/officeDocument/2006/relationships/hyperlink" Target="https://www.lcsc.com/product-detail/TVS_Littelfuse-SP0502BAHTG_C207261.html" TargetMode="External"/><Relationship Id="rId7" Type="http://schemas.openxmlformats.org/officeDocument/2006/relationships/hyperlink" Target="https://www.lcsc.com/product-detail/Multilayer-Ceramic-Capacitors-MLCC-SMD-SMT_YAGEO-AC0603KRX7R0BB103_C149602.html" TargetMode="External"/><Relationship Id="rId2" Type="http://schemas.openxmlformats.org/officeDocument/2006/relationships/hyperlink" Target="https://www.lcsc.com/product-detail/Aluminum-Electrolytic-Capacitors-SMD_Ymin-VMMC0571J150MV_C487115.html" TargetMode="External"/><Relationship Id="rId16" Type="http://schemas.openxmlformats.org/officeDocument/2006/relationships/hyperlink" Target="https://www.lcsc.com/product-detail/Chip-Resistor-Surface-Mount_YAGEO-RC0201DR-0724K9L_C851690.html" TargetMode="External"/><Relationship Id="rId20" Type="http://schemas.openxmlformats.org/officeDocument/2006/relationships/hyperlink" Target="https://www.lcsc.com/product-detail/Chip-Resistor-Surface-Mount_UNI-ROYAL-Uniroyal-Elec-0201WMF4421TEE_C423515.html" TargetMode="External"/><Relationship Id="rId29" Type="http://schemas.openxmlformats.org/officeDocument/2006/relationships/hyperlink" Target="https://www.lcsc.com/product-detail/Chip-Resistor-Surface-Mount_YAGEO-RC0603FR-0733RL_C108661.html" TargetMode="External"/><Relationship Id="rId41" Type="http://schemas.openxmlformats.org/officeDocument/2006/relationships/hyperlink" Target="https://www.lcsc.com/product-detail/Cable_Shengwei-LC-2030C_C3011736.html" TargetMode="External"/><Relationship Id="rId1" Type="http://schemas.openxmlformats.org/officeDocument/2006/relationships/hyperlink" Target="https://www.lcsc.com/product-detail/Multilayer-Ceramic-Capacitors-MLCC-SMD-SMT_Murata-Electronics-GRM155R62A104KE14D_C162178.html" TargetMode="External"/><Relationship Id="rId6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11" Type="http://schemas.openxmlformats.org/officeDocument/2006/relationships/hyperlink" Target="https://www.lcsc.com/product-detail/Ferrite-Beads_Taiyo-Yuden-FBMH3225HM601NT_C268004.html" TargetMode="External"/><Relationship Id="rId24" Type="http://schemas.openxmlformats.org/officeDocument/2006/relationships/hyperlink" Target="https://www.lcsc.com/product-detail/Chip-Resistor-Surface-Mount_YAGEO-RC0603FR-071KL_C22548.html" TargetMode="External"/><Relationship Id="rId32" Type="http://schemas.openxmlformats.org/officeDocument/2006/relationships/hyperlink" Target="https://www.lcsc.com/product-detail/DC-DC-Converters_XDS-TX4138_C329267.html" TargetMode="External"/><Relationship Id="rId37" Type="http://schemas.openxmlformats.org/officeDocument/2006/relationships/hyperlink" Target="https://www.lcsc.com/product-detail/Chip-Resistor-Surface-Mount_YAGEO-RC0603FR-0722RL_C107701.html" TargetMode="External"/><Relationship Id="rId40" Type="http://schemas.openxmlformats.org/officeDocument/2006/relationships/hyperlink" Target="https://www.lcsc.com/product-detail/Resettable-Fuses_BHFUSE-BSMD0805L-200_C2757931.html" TargetMode="External"/><Relationship Id="rId5" Type="http://schemas.openxmlformats.org/officeDocument/2006/relationships/hyperlink" Target="https://www.lcsc.com/product-detail/Multilayer-Ceramic-Capacitors-MLCC-SMD-SMT_TDK-C1608X5R1E106M080AC_C2168289.html" TargetMode="External"/><Relationship Id="rId15" Type="http://schemas.openxmlformats.org/officeDocument/2006/relationships/hyperlink" Target="https://www.lcsc.com/product-detail/Chip-Resistor-Surface-Mount_UNI-ROYAL-Uniroyal-Elec-NQ01WMJ047JTEE_C965309.html" TargetMode="External"/><Relationship Id="rId23" Type="http://schemas.openxmlformats.org/officeDocument/2006/relationships/hyperlink" Target="https://www.lcsc.com/product-detail/Chip-Resistor-Surface-Mount_YAGEO-RC0201FR-0710KL_C106225.html" TargetMode="External"/><Relationship Id="rId28" Type="http://schemas.openxmlformats.org/officeDocument/2006/relationships/hyperlink" Target="https://www.lcsc.com/product-detail/Chip-Resistor-Surface-Mount_YAGEO-RC0603FR-0710RL_C109318.html" TargetMode="External"/><Relationship Id="rId36" Type="http://schemas.openxmlformats.org/officeDocument/2006/relationships/hyperlink" Target="https://www.lcsc.com/product-detail/Multilayer-Ceramic-Capacitors-MLCC-SMD-SMT_YAGEO-CC0402KRX7R7BB223_C107017.html" TargetMode="External"/><Relationship Id="rId10" Type="http://schemas.openxmlformats.org/officeDocument/2006/relationships/hyperlink" Target="https://www.lcsc.com/product-detail/Schottky-Barrier-Diodes-SBD_JUXING-SS510B_C3011128.html" TargetMode="External"/><Relationship Id="rId19" Type="http://schemas.openxmlformats.org/officeDocument/2006/relationships/hyperlink" Target="https://www.lcsc.com/product-detail/Chip-Resistor-Surface-Mount_YAGEO-RC0201JR-07180KL_C295837.html" TargetMode="External"/><Relationship Id="rId31" Type="http://schemas.openxmlformats.org/officeDocument/2006/relationships/hyperlink" Target="https://www.lcsc.com/product-detail/Chip-Resistor-Surface-Mount_YAGEO-RC0603FR-0712K4L_C137798.html" TargetMode="External"/><Relationship Id="rId4" Type="http://schemas.openxmlformats.org/officeDocument/2006/relationships/hyperlink" Target="https://www.lcsc.com/product-detail/Multilayer-Ceramic-Capacitors-MLCC-SMD-SMT_YAGEO-CC0402JRNPO9BN221_C107001.html" TargetMode="External"/><Relationship Id="rId9" Type="http://schemas.openxmlformats.org/officeDocument/2006/relationships/hyperlink" Target="https://www.lcsc.com/product-detail/TVS_Yangzhou-Yangjie-Elec-Tech-SMAJ58A_C698958.html" TargetMode="External"/><Relationship Id="rId14" Type="http://schemas.openxmlformats.org/officeDocument/2006/relationships/hyperlink" Target="https://www.lcsc.com/product-detail/MOSFETs_onsemi-FDN306P_C154510.html" TargetMode="External"/><Relationship Id="rId22" Type="http://schemas.openxmlformats.org/officeDocument/2006/relationships/hyperlink" Target="https://www.lcsc.com/product-detail/Chip-Resistor-Surface-Mount_YAGEO-RC0201DR-0757K6L_C851763.html" TargetMode="External"/><Relationship Id="rId27" Type="http://schemas.openxmlformats.org/officeDocument/2006/relationships/hyperlink" Target="https://www.lcsc.com/product-detail/Chip-Resistor-Surface-Mount_YAGEO-RC0201FR-0749R9L_C155744.html" TargetMode="External"/><Relationship Id="rId30" Type="http://schemas.openxmlformats.org/officeDocument/2006/relationships/hyperlink" Target="https://www.lcsc.com/product-detail/Chip-Resistor-Surface-Mount_YAGEO-RC0603FR-071ML_C105578.html" TargetMode="External"/><Relationship Id="rId35" Type="http://schemas.openxmlformats.org/officeDocument/2006/relationships/hyperlink" Target="https://www.lcsc.com/product-detail/Multilayer-Ceramic-Capacitors-MLCC-SMD-SMT_YAGEO-CC0603GRNPO0BN120_C527051.html" TargetMode="External"/><Relationship Id="rId43" Type="http://schemas.openxmlformats.org/officeDocument/2006/relationships/drawing" Target="../drawings/drawing6.xml"/><Relationship Id="rId8" Type="http://schemas.openxmlformats.org/officeDocument/2006/relationships/hyperlink" Target="https://www.lcsc.com/product-detail/Multilayer-Ceramic-Capacitors-MLCC-SMD-SMT_TDK-C1608X5R1E475KT000E_C76615.html" TargetMode="External"/><Relationship Id="rId3" Type="http://schemas.openxmlformats.org/officeDocument/2006/relationships/hyperlink" Target="https://www.lcsc.com/product-detail/Tantalum-Capacitors_Kyocera-AVX-TAJE477K010RNJ_C7234.html" TargetMode="External"/><Relationship Id="rId12" Type="http://schemas.openxmlformats.org/officeDocument/2006/relationships/hyperlink" Target="https://www.lcsc.com/product-detail/Inductors-SMD_KOHERelec-MDA7050-330M_C2847546.html" TargetMode="External"/><Relationship Id="rId17" Type="http://schemas.openxmlformats.org/officeDocument/2006/relationships/hyperlink" Target="https://www.lcsc.com/product-detail/Chip-Resistor-Surface-Mount_YAGEO-RC0402FR-074K7L_C105871.html" TargetMode="External"/><Relationship Id="rId25" Type="http://schemas.openxmlformats.org/officeDocument/2006/relationships/hyperlink" Target="https://www.lcsc.com/product-detail/Chip-Resistor-Surface-Mount_YAGEO-RC0603JR-07330RL_C105879.html" TargetMode="External"/><Relationship Id="rId33" Type="http://schemas.openxmlformats.org/officeDocument/2006/relationships/hyperlink" Target="https://www.lcsc.com/product-detail/Ethernet-ICs_WIZNET-W5500_C32843.html" TargetMode="External"/><Relationship Id="rId38" Type="http://schemas.openxmlformats.org/officeDocument/2006/relationships/hyperlink" Target="https://eu.mouser.com/ProductDetail/ABRACON/ARJM11D7-114-AB-EW2?qs=YCa%2FAAYMW02ICsJcHu%252BNJ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54"/>
  <sheetViews>
    <sheetView topLeftCell="F4" workbookViewId="0">
      <selection activeCell="P31" sqref="P31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16.7109375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7.7109375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  <col min="21" max="21" width="10.5703125" bestFit="1" customWidth="1"/>
    <col min="22" max="22" width="25.2851562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5"/>
      <c r="L1" s="65"/>
      <c r="M1" s="65"/>
      <c r="N1" s="65"/>
      <c r="O1" s="65"/>
      <c r="P1" s="65"/>
      <c r="Q1" s="65"/>
      <c r="R1" s="65"/>
      <c r="S1" s="66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237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238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7"/>
    </row>
    <row r="4" spans="1:19" x14ac:dyDescent="0.25">
      <c r="A4" s="1"/>
      <c r="B4" s="22"/>
      <c r="C4" s="32"/>
      <c r="D4" s="13" t="s">
        <v>2</v>
      </c>
      <c r="E4" s="13"/>
      <c r="F4" s="57" t="s">
        <v>239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8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8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8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8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8"/>
    </row>
    <row r="9" spans="1:19" ht="15.75" thickBot="1" x14ac:dyDescent="0.3">
      <c r="A9" s="1"/>
      <c r="B9" s="30" t="s">
        <v>4</v>
      </c>
      <c r="C9" s="30" t="s">
        <v>8</v>
      </c>
      <c r="D9" s="30" t="s">
        <v>20</v>
      </c>
      <c r="E9" s="30" t="s">
        <v>59</v>
      </c>
      <c r="F9" s="30" t="s">
        <v>98</v>
      </c>
      <c r="G9" s="30" t="s">
        <v>117</v>
      </c>
      <c r="H9" s="30" t="s">
        <v>153</v>
      </c>
      <c r="I9" s="30" t="s">
        <v>240</v>
      </c>
      <c r="J9" s="30" t="s">
        <v>173</v>
      </c>
      <c r="K9" s="60" t="s">
        <v>241</v>
      </c>
      <c r="L9" s="30" t="s">
        <v>236</v>
      </c>
      <c r="M9" s="30" t="s">
        <v>242</v>
      </c>
      <c r="N9" s="30" t="s">
        <v>243</v>
      </c>
      <c r="O9" s="30" t="s">
        <v>244</v>
      </c>
      <c r="P9" s="30" t="s">
        <v>245</v>
      </c>
      <c r="Q9" s="30" t="s">
        <v>246</v>
      </c>
      <c r="R9" s="30" t="s">
        <v>247</v>
      </c>
      <c r="S9" s="30" t="s">
        <v>248</v>
      </c>
    </row>
    <row r="10" spans="1:19" ht="24" x14ac:dyDescent="0.25">
      <c r="A10" s="1"/>
      <c r="B10" s="46">
        <f>ROW(B10) - ROW($B$9)</f>
        <v>1</v>
      </c>
      <c r="C10" s="53" t="s">
        <v>9</v>
      </c>
      <c r="D10" s="37" t="s">
        <v>21</v>
      </c>
      <c r="E10" s="37" t="s">
        <v>60</v>
      </c>
      <c r="F10" s="37" t="s">
        <v>99</v>
      </c>
      <c r="G10" s="37" t="s">
        <v>118</v>
      </c>
      <c r="H10" s="37" t="s">
        <v>154</v>
      </c>
      <c r="I10" s="37" t="s">
        <v>249</v>
      </c>
      <c r="J10" s="37" t="s">
        <v>174</v>
      </c>
      <c r="K10" s="37" t="s">
        <v>207</v>
      </c>
      <c r="L10" s="37">
        <v>10</v>
      </c>
      <c r="M10" s="37">
        <f>L10*5</f>
        <v>50</v>
      </c>
      <c r="N10" s="37">
        <v>100</v>
      </c>
      <c r="O10" s="61" t="s">
        <v>251</v>
      </c>
      <c r="P10" s="38">
        <v>1.0999999999999999E-2</v>
      </c>
      <c r="Q10" s="38">
        <f>P10*N10</f>
        <v>1.0999999999999999</v>
      </c>
      <c r="R10" s="37"/>
      <c r="S10" s="50"/>
    </row>
    <row r="11" spans="1:19" ht="36" x14ac:dyDescent="0.25">
      <c r="A11" s="1"/>
      <c r="B11" s="47">
        <f t="shared" ref="B11:B52" si="0">ROW(B11) - ROW($B$9)</f>
        <v>2</v>
      </c>
      <c r="C11" s="54" t="s">
        <v>9</v>
      </c>
      <c r="D11" s="51" t="s">
        <v>22</v>
      </c>
      <c r="E11" s="51" t="s">
        <v>61</v>
      </c>
      <c r="F11" s="51" t="s">
        <v>252</v>
      </c>
      <c r="G11" s="51" t="s">
        <v>100</v>
      </c>
      <c r="H11" s="51" t="s">
        <v>155</v>
      </c>
      <c r="I11" s="51" t="s">
        <v>249</v>
      </c>
      <c r="J11" s="51" t="s">
        <v>175</v>
      </c>
      <c r="K11" s="51" t="s">
        <v>208</v>
      </c>
      <c r="L11" s="51">
        <v>1</v>
      </c>
      <c r="M11" s="51">
        <f t="shared" ref="M11" si="1">L11*5</f>
        <v>5</v>
      </c>
      <c r="N11" s="51">
        <v>10</v>
      </c>
      <c r="O11" s="61" t="s">
        <v>251</v>
      </c>
      <c r="P11" s="52">
        <v>1.7399999999999999E-2</v>
      </c>
      <c r="Q11" s="52">
        <f t="shared" ref="Q11" si="2">P11*N11</f>
        <v>0.17399999999999999</v>
      </c>
      <c r="R11" s="51"/>
      <c r="S11" s="51"/>
    </row>
    <row r="12" spans="1:19" x14ac:dyDescent="0.25">
      <c r="A12" s="1"/>
      <c r="B12" s="46">
        <f>ROW(B12) - ROW($B$9)</f>
        <v>3</v>
      </c>
      <c r="C12" s="54" t="s">
        <v>9</v>
      </c>
      <c r="D12" s="37" t="s">
        <v>23</v>
      </c>
      <c r="E12" s="37" t="s">
        <v>62</v>
      </c>
      <c r="F12" s="37" t="s">
        <v>101</v>
      </c>
      <c r="G12" s="62" t="s">
        <v>119</v>
      </c>
      <c r="H12" s="37" t="s">
        <v>154</v>
      </c>
      <c r="I12" s="37" t="s">
        <v>254</v>
      </c>
      <c r="J12" s="37" t="s">
        <v>257</v>
      </c>
      <c r="K12" s="37" t="s">
        <v>209</v>
      </c>
      <c r="L12" s="37">
        <v>3</v>
      </c>
      <c r="M12" s="37">
        <f>L12*5</f>
        <v>15</v>
      </c>
      <c r="N12" s="37">
        <v>50</v>
      </c>
      <c r="O12" s="61" t="s">
        <v>251</v>
      </c>
      <c r="P12" s="38">
        <v>1.2E-2</v>
      </c>
      <c r="Q12" s="38">
        <f>P12*N12</f>
        <v>0.6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9</v>
      </c>
      <c r="D13" s="51" t="s">
        <v>24</v>
      </c>
      <c r="E13" s="51" t="s">
        <v>63</v>
      </c>
      <c r="F13" s="51" t="s">
        <v>102</v>
      </c>
      <c r="G13" s="51" t="s">
        <v>120</v>
      </c>
      <c r="H13" s="51" t="s">
        <v>156</v>
      </c>
      <c r="I13" s="51" t="s">
        <v>249</v>
      </c>
      <c r="J13" s="51" t="s">
        <v>176</v>
      </c>
      <c r="K13" s="51" t="s">
        <v>210</v>
      </c>
      <c r="L13" s="51">
        <v>1</v>
      </c>
      <c r="M13" s="51">
        <f t="shared" ref="M13" si="3">L13*5</f>
        <v>5</v>
      </c>
      <c r="N13" s="51">
        <v>6</v>
      </c>
      <c r="O13" s="61" t="s">
        <v>251</v>
      </c>
      <c r="P13" s="52">
        <v>1.1597999999999999</v>
      </c>
      <c r="Q13" s="52">
        <f t="shared" ref="Q13" si="4">P13*N13</f>
        <v>6.9588000000000001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9</v>
      </c>
      <c r="D14" s="37" t="s">
        <v>25</v>
      </c>
      <c r="E14" s="37" t="s">
        <v>64</v>
      </c>
      <c r="F14" s="37" t="s">
        <v>99</v>
      </c>
      <c r="G14" s="37" t="s">
        <v>121</v>
      </c>
      <c r="H14" s="37" t="s">
        <v>157</v>
      </c>
      <c r="I14" s="37" t="s">
        <v>249</v>
      </c>
      <c r="J14" s="37" t="s">
        <v>177</v>
      </c>
      <c r="K14" s="37" t="s">
        <v>211</v>
      </c>
      <c r="L14" s="37">
        <v>1</v>
      </c>
      <c r="M14" s="37">
        <f>L14*5</f>
        <v>5</v>
      </c>
      <c r="N14" s="37">
        <v>100</v>
      </c>
      <c r="O14" s="61" t="s">
        <v>251</v>
      </c>
      <c r="P14" s="38">
        <v>2.5000000000000001E-3</v>
      </c>
      <c r="Q14" s="38">
        <f>P14*N14</f>
        <v>0.25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9</v>
      </c>
      <c r="D15" s="51" t="s">
        <v>26</v>
      </c>
      <c r="E15" s="51" t="s">
        <v>65</v>
      </c>
      <c r="F15" s="51" t="s">
        <v>99</v>
      </c>
      <c r="G15" s="62" t="s">
        <v>122</v>
      </c>
      <c r="H15" s="51" t="s">
        <v>157</v>
      </c>
      <c r="I15" s="51" t="s">
        <v>255</v>
      </c>
      <c r="J15" s="51" t="s">
        <v>256</v>
      </c>
      <c r="K15" s="51" t="s">
        <v>212</v>
      </c>
      <c r="L15" s="51">
        <v>3</v>
      </c>
      <c r="M15" s="51">
        <f t="shared" ref="M15" si="5">L15*5</f>
        <v>15</v>
      </c>
      <c r="N15" s="51">
        <v>100</v>
      </c>
      <c r="O15" s="61" t="s">
        <v>251</v>
      </c>
      <c r="P15" s="52">
        <v>1.9E-3</v>
      </c>
      <c r="Q15" s="52">
        <f t="shared" ref="Q15" si="6">P15*N15</f>
        <v>0.19</v>
      </c>
      <c r="R15" s="51"/>
      <c r="S15" s="59"/>
    </row>
    <row r="16" spans="1:19" x14ac:dyDescent="0.25">
      <c r="A16" s="1"/>
      <c r="B16" s="46">
        <f>ROW(B16) - ROW($B$9)</f>
        <v>7</v>
      </c>
      <c r="C16" s="53" t="s">
        <v>9</v>
      </c>
      <c r="D16" s="37" t="s">
        <v>27</v>
      </c>
      <c r="E16" s="37" t="s">
        <v>66</v>
      </c>
      <c r="F16" s="37" t="s">
        <v>101</v>
      </c>
      <c r="G16" s="37" t="s">
        <v>123</v>
      </c>
      <c r="H16" s="37" t="s">
        <v>158</v>
      </c>
      <c r="I16" s="37" t="s">
        <v>249</v>
      </c>
      <c r="J16" s="37" t="s">
        <v>178</v>
      </c>
      <c r="K16" s="37" t="s">
        <v>213</v>
      </c>
      <c r="L16" s="37">
        <v>1</v>
      </c>
      <c r="M16" s="37">
        <f>L16*5</f>
        <v>5</v>
      </c>
      <c r="N16" s="37">
        <v>6</v>
      </c>
      <c r="O16" s="61" t="s">
        <v>251</v>
      </c>
      <c r="P16" s="38">
        <v>0.84960000000000002</v>
      </c>
      <c r="Q16" s="38">
        <f>P16*N16</f>
        <v>5.0975999999999999</v>
      </c>
      <c r="R16" s="37"/>
      <c r="S16" s="59"/>
    </row>
    <row r="17" spans="1:19" x14ac:dyDescent="0.25">
      <c r="A17" s="1"/>
      <c r="B17" s="47">
        <f t="shared" si="0"/>
        <v>8</v>
      </c>
      <c r="C17" s="54" t="s">
        <v>9</v>
      </c>
      <c r="D17" s="51" t="s">
        <v>28</v>
      </c>
      <c r="E17" s="51" t="s">
        <v>67</v>
      </c>
      <c r="F17" s="51" t="s">
        <v>101</v>
      </c>
      <c r="G17" s="51" t="s">
        <v>124</v>
      </c>
      <c r="H17" s="51" t="s">
        <v>159</v>
      </c>
      <c r="I17" s="51" t="s">
        <v>249</v>
      </c>
      <c r="J17" s="51" t="s">
        <v>179</v>
      </c>
      <c r="K17" s="51" t="s">
        <v>214</v>
      </c>
      <c r="L17" s="51">
        <v>2</v>
      </c>
      <c r="M17" s="51">
        <f t="shared" ref="M17" si="7">L17*5</f>
        <v>10</v>
      </c>
      <c r="N17" s="51">
        <v>100</v>
      </c>
      <c r="O17" s="61" t="s">
        <v>251</v>
      </c>
      <c r="P17" s="52">
        <v>2.8E-3</v>
      </c>
      <c r="Q17" s="52">
        <f t="shared" ref="Q17" si="8">P17*N17</f>
        <v>0.27999999999999997</v>
      </c>
      <c r="R17" s="51"/>
      <c r="S17" s="59"/>
    </row>
    <row r="18" spans="1:19" x14ac:dyDescent="0.25">
      <c r="A18" s="1"/>
      <c r="B18" s="46">
        <f>ROW(B18) - ROW($B$9)</f>
        <v>9</v>
      </c>
      <c r="C18" s="53" t="s">
        <v>9</v>
      </c>
      <c r="D18" s="37" t="s">
        <v>29</v>
      </c>
      <c r="E18" s="37" t="s">
        <v>68</v>
      </c>
      <c r="F18" s="37" t="s">
        <v>101</v>
      </c>
      <c r="G18" s="37" t="s">
        <v>125</v>
      </c>
      <c r="H18" s="37" t="s">
        <v>157</v>
      </c>
      <c r="I18" s="37" t="s">
        <v>249</v>
      </c>
      <c r="J18" s="37" t="s">
        <v>180</v>
      </c>
      <c r="K18" s="37" t="s">
        <v>215</v>
      </c>
      <c r="L18" s="37">
        <v>2</v>
      </c>
      <c r="M18" s="37">
        <f>L18*5</f>
        <v>10</v>
      </c>
      <c r="N18" s="37">
        <v>100</v>
      </c>
      <c r="O18" s="61" t="s">
        <v>251</v>
      </c>
      <c r="P18" s="38">
        <v>6.8999999999999999E-3</v>
      </c>
      <c r="Q18" s="38">
        <f>P18*N18</f>
        <v>0.69</v>
      </c>
      <c r="R18" s="37"/>
      <c r="S18" s="59"/>
    </row>
    <row r="19" spans="1:19" x14ac:dyDescent="0.25">
      <c r="A19" s="1"/>
      <c r="B19" s="47">
        <f t="shared" si="0"/>
        <v>10</v>
      </c>
      <c r="C19" s="53" t="s">
        <v>9</v>
      </c>
      <c r="D19" s="51" t="s">
        <v>30</v>
      </c>
      <c r="E19" s="51" t="s">
        <v>69</v>
      </c>
      <c r="F19" s="51" t="s">
        <v>101</v>
      </c>
      <c r="G19" s="51" t="s">
        <v>126</v>
      </c>
      <c r="H19" s="51" t="s">
        <v>158</v>
      </c>
      <c r="I19" s="51" t="s">
        <v>249</v>
      </c>
      <c r="J19" s="51" t="s">
        <v>181</v>
      </c>
      <c r="K19" s="51" t="s">
        <v>216</v>
      </c>
      <c r="L19" s="51">
        <v>1</v>
      </c>
      <c r="M19" s="51">
        <f t="shared" ref="M19" si="9">L19*5</f>
        <v>5</v>
      </c>
      <c r="N19" s="51">
        <v>10</v>
      </c>
      <c r="O19" s="61" t="s">
        <v>251</v>
      </c>
      <c r="P19" s="52">
        <v>4.2299999999999997E-2</v>
      </c>
      <c r="Q19" s="52">
        <f t="shared" ref="Q19" si="10">P19*N19</f>
        <v>0.42299999999999999</v>
      </c>
      <c r="R19" s="51"/>
      <c r="S19" s="59"/>
    </row>
    <row r="20" spans="1:19" ht="24" x14ac:dyDescent="0.25">
      <c r="A20" s="1"/>
      <c r="B20" s="46">
        <f>ROW(B20) - ROW($B$9)</f>
        <v>11</v>
      </c>
      <c r="C20" s="53" t="s">
        <v>10</v>
      </c>
      <c r="D20" s="37" t="s">
        <v>31</v>
      </c>
      <c r="E20" s="37" t="s">
        <v>70</v>
      </c>
      <c r="F20" s="37" t="s">
        <v>103</v>
      </c>
      <c r="G20" s="37" t="s">
        <v>127</v>
      </c>
      <c r="H20" s="37" t="s">
        <v>160</v>
      </c>
      <c r="I20" s="37" t="s">
        <v>249</v>
      </c>
      <c r="J20" s="37" t="s">
        <v>182</v>
      </c>
      <c r="K20" s="37" t="s">
        <v>249</v>
      </c>
      <c r="L20" s="37">
        <v>1</v>
      </c>
      <c r="M20" s="37">
        <f>L20*5</f>
        <v>5</v>
      </c>
      <c r="N20" s="37">
        <v>10</v>
      </c>
      <c r="O20" s="61" t="s">
        <v>251</v>
      </c>
      <c r="P20" s="38">
        <v>4.6899999999999997E-2</v>
      </c>
      <c r="Q20" s="38">
        <f>P20*N20</f>
        <v>0.46899999999999997</v>
      </c>
      <c r="R20" s="37"/>
      <c r="S20" s="59"/>
    </row>
    <row r="21" spans="1:19" x14ac:dyDescent="0.25">
      <c r="A21" s="1"/>
      <c r="B21" s="47">
        <f t="shared" si="0"/>
        <v>12</v>
      </c>
      <c r="C21" s="54" t="s">
        <v>10</v>
      </c>
      <c r="D21" s="51" t="s">
        <v>32</v>
      </c>
      <c r="E21" s="51" t="s">
        <v>71</v>
      </c>
      <c r="F21" s="51" t="s">
        <v>104</v>
      </c>
      <c r="G21" s="51" t="s">
        <v>128</v>
      </c>
      <c r="H21" s="51" t="s">
        <v>161</v>
      </c>
      <c r="I21" s="51" t="s">
        <v>249</v>
      </c>
      <c r="J21" s="51" t="s">
        <v>183</v>
      </c>
      <c r="K21" s="51" t="s">
        <v>249</v>
      </c>
      <c r="L21" s="51">
        <v>1</v>
      </c>
      <c r="M21" s="51">
        <f t="shared" ref="M21:M22" si="11">L21*5</f>
        <v>5</v>
      </c>
      <c r="N21" s="51">
        <v>10</v>
      </c>
      <c r="O21" s="61" t="s">
        <v>251</v>
      </c>
      <c r="P21" s="52">
        <v>4.5600000000000002E-2</v>
      </c>
      <c r="Q21" s="52">
        <f t="shared" ref="Q21:Q22" si="12">P21*N21</f>
        <v>0.45600000000000002</v>
      </c>
      <c r="R21" s="51"/>
      <c r="S21" s="59"/>
    </row>
    <row r="22" spans="1:19" x14ac:dyDescent="0.25">
      <c r="A22" s="1"/>
      <c r="B22" s="47">
        <f t="shared" si="0"/>
        <v>13</v>
      </c>
      <c r="C22" s="53" t="s">
        <v>18</v>
      </c>
      <c r="D22" s="37" t="s">
        <v>280</v>
      </c>
      <c r="E22" s="37" t="s">
        <v>281</v>
      </c>
      <c r="F22" s="37" t="s">
        <v>109</v>
      </c>
      <c r="G22" s="37" t="s">
        <v>282</v>
      </c>
      <c r="H22" s="37" t="s">
        <v>171</v>
      </c>
      <c r="I22" s="37" t="s">
        <v>249</v>
      </c>
      <c r="J22" s="37" t="s">
        <v>283</v>
      </c>
      <c r="K22" s="37" t="s">
        <v>249</v>
      </c>
      <c r="L22" s="37">
        <v>2</v>
      </c>
      <c r="M22" s="37">
        <f t="shared" si="11"/>
        <v>10</v>
      </c>
      <c r="N22" s="37">
        <v>15</v>
      </c>
      <c r="O22" s="61" t="s">
        <v>251</v>
      </c>
      <c r="P22" s="38">
        <v>0.13789999999999999</v>
      </c>
      <c r="Q22" s="52">
        <f t="shared" si="12"/>
        <v>2.0684999999999998</v>
      </c>
      <c r="R22" s="37"/>
      <c r="S22" s="59"/>
    </row>
    <row r="23" spans="1:19" ht="24" x14ac:dyDescent="0.25">
      <c r="A23" s="1"/>
      <c r="B23" s="46">
        <f>ROW(B23) - ROW($B$9)</f>
        <v>14</v>
      </c>
      <c r="C23" s="53" t="s">
        <v>11</v>
      </c>
      <c r="D23" s="37" t="s">
        <v>33</v>
      </c>
      <c r="E23" s="37" t="s">
        <v>271</v>
      </c>
      <c r="F23" s="37" t="s">
        <v>105</v>
      </c>
      <c r="G23" s="37" t="s">
        <v>272</v>
      </c>
      <c r="H23" s="37" t="s">
        <v>273</v>
      </c>
      <c r="I23" s="37" t="s">
        <v>249</v>
      </c>
      <c r="J23" s="37" t="s">
        <v>274</v>
      </c>
      <c r="K23" s="37" t="s">
        <v>249</v>
      </c>
      <c r="L23" s="37">
        <v>1</v>
      </c>
      <c r="M23" s="37">
        <f>L23*5</f>
        <v>5</v>
      </c>
      <c r="N23" s="37">
        <v>10</v>
      </c>
      <c r="O23" s="61" t="s">
        <v>251</v>
      </c>
      <c r="P23" s="38">
        <v>9.2999999999999999E-2</v>
      </c>
      <c r="Q23" s="38">
        <f>P23*N23</f>
        <v>0.92999999999999994</v>
      </c>
      <c r="R23" s="37"/>
      <c r="S23" s="59"/>
    </row>
    <row r="24" spans="1:19" x14ac:dyDescent="0.25">
      <c r="A24" s="1"/>
      <c r="B24" s="47">
        <f t="shared" si="0"/>
        <v>15</v>
      </c>
      <c r="C24" s="54" t="s">
        <v>12</v>
      </c>
      <c r="D24" s="51" t="s">
        <v>34</v>
      </c>
      <c r="E24" s="51" t="s">
        <v>72</v>
      </c>
      <c r="F24" s="51" t="s">
        <v>106</v>
      </c>
      <c r="G24" s="51" t="s">
        <v>129</v>
      </c>
      <c r="H24" s="51" t="s">
        <v>162</v>
      </c>
      <c r="I24" s="51" t="s">
        <v>249</v>
      </c>
      <c r="J24" s="51" t="s">
        <v>184</v>
      </c>
      <c r="K24" s="51" t="s">
        <v>249</v>
      </c>
      <c r="L24" s="51">
        <v>2</v>
      </c>
      <c r="M24" s="51">
        <f t="shared" ref="M24" si="13">L24*5</f>
        <v>10</v>
      </c>
      <c r="N24" s="51">
        <v>15</v>
      </c>
      <c r="O24" s="61" t="s">
        <v>251</v>
      </c>
      <c r="P24" s="52">
        <v>0.18790000000000001</v>
      </c>
      <c r="Q24" s="52">
        <f t="shared" ref="Q24" si="14">P24*N24</f>
        <v>2.8185000000000002</v>
      </c>
      <c r="R24" s="51"/>
      <c r="S24" s="59"/>
    </row>
    <row r="25" spans="1:19" x14ac:dyDescent="0.25">
      <c r="A25" s="1"/>
      <c r="B25" s="46">
        <f>ROW(B25) - ROW($B$9)</f>
        <v>16</v>
      </c>
      <c r="C25" s="53" t="s">
        <v>250</v>
      </c>
      <c r="D25" s="62" t="s">
        <v>35</v>
      </c>
      <c r="E25" s="62" t="s">
        <v>73</v>
      </c>
      <c r="F25" s="63" t="s">
        <v>252</v>
      </c>
      <c r="G25" s="62" t="s">
        <v>107</v>
      </c>
      <c r="H25" s="62" t="s">
        <v>249</v>
      </c>
      <c r="I25" s="62" t="s">
        <v>249</v>
      </c>
      <c r="J25" s="62" t="s">
        <v>249</v>
      </c>
      <c r="K25" s="62" t="s">
        <v>249</v>
      </c>
      <c r="L25" s="62">
        <v>1</v>
      </c>
      <c r="M25" s="62">
        <f>L25*5</f>
        <v>5</v>
      </c>
      <c r="N25" s="62" t="s">
        <v>249</v>
      </c>
      <c r="O25" s="62" t="s">
        <v>249</v>
      </c>
      <c r="P25" s="64" t="s">
        <v>249</v>
      </c>
      <c r="Q25" s="64" t="s">
        <v>249</v>
      </c>
      <c r="R25" s="37"/>
      <c r="S25" s="59"/>
    </row>
    <row r="26" spans="1:19" x14ac:dyDescent="0.25">
      <c r="A26" s="1"/>
      <c r="B26" s="47">
        <f t="shared" si="0"/>
        <v>17</v>
      </c>
      <c r="C26" s="54" t="s">
        <v>13</v>
      </c>
      <c r="D26" s="51" t="s">
        <v>36</v>
      </c>
      <c r="E26" s="51" t="s">
        <v>260</v>
      </c>
      <c r="F26" s="51" t="s">
        <v>252</v>
      </c>
      <c r="G26" s="51" t="s">
        <v>261</v>
      </c>
      <c r="H26" s="51" t="s">
        <v>262</v>
      </c>
      <c r="I26" s="51" t="s">
        <v>249</v>
      </c>
      <c r="J26" s="51" t="s">
        <v>249</v>
      </c>
      <c r="K26" s="51" t="s">
        <v>249</v>
      </c>
      <c r="L26" s="51">
        <v>1</v>
      </c>
      <c r="M26" s="51">
        <f t="shared" ref="M26" si="15">L26*5</f>
        <v>5</v>
      </c>
      <c r="N26" s="51">
        <v>6</v>
      </c>
      <c r="O26" s="61" t="s">
        <v>264</v>
      </c>
      <c r="P26" s="52">
        <v>3.47</v>
      </c>
      <c r="Q26" s="52">
        <f t="shared" ref="Q26" si="16">P26*N26</f>
        <v>20.82</v>
      </c>
      <c r="R26" s="51"/>
      <c r="S26" s="59"/>
    </row>
    <row r="27" spans="1:19" ht="24" x14ac:dyDescent="0.25">
      <c r="A27" s="1"/>
      <c r="B27" s="46">
        <f>ROW(B27) - ROW($B$9)</f>
        <v>18</v>
      </c>
      <c r="C27" s="53" t="s">
        <v>14</v>
      </c>
      <c r="D27" s="37" t="s">
        <v>37</v>
      </c>
      <c r="E27" s="37" t="s">
        <v>74</v>
      </c>
      <c r="F27" s="51" t="s">
        <v>252</v>
      </c>
      <c r="G27" s="37" t="s">
        <v>130</v>
      </c>
      <c r="H27" s="37" t="s">
        <v>163</v>
      </c>
      <c r="I27" s="37" t="s">
        <v>249</v>
      </c>
      <c r="J27" s="37" t="s">
        <v>185</v>
      </c>
      <c r="K27" s="37" t="s">
        <v>217</v>
      </c>
      <c r="L27" s="37">
        <v>1</v>
      </c>
      <c r="M27" s="37">
        <f>L27*5</f>
        <v>5</v>
      </c>
      <c r="N27" s="37">
        <v>6</v>
      </c>
      <c r="O27" s="61" t="s">
        <v>251</v>
      </c>
      <c r="P27" s="38">
        <v>0.94820000000000004</v>
      </c>
      <c r="Q27" s="38">
        <f>P27*N27</f>
        <v>5.6892000000000005</v>
      </c>
      <c r="R27" s="37"/>
      <c r="S27" s="59"/>
    </row>
    <row r="28" spans="1:19" ht="48" x14ac:dyDescent="0.25">
      <c r="A28" s="1"/>
      <c r="B28" s="47">
        <f t="shared" si="0"/>
        <v>19</v>
      </c>
      <c r="C28" s="54" t="s">
        <v>15</v>
      </c>
      <c r="D28" s="51" t="s">
        <v>38</v>
      </c>
      <c r="E28" s="51" t="s">
        <v>75</v>
      </c>
      <c r="F28" s="51" t="s">
        <v>108</v>
      </c>
      <c r="G28" s="51" t="s">
        <v>131</v>
      </c>
      <c r="H28" s="51" t="s">
        <v>164</v>
      </c>
      <c r="I28" s="51" t="s">
        <v>249</v>
      </c>
      <c r="J28" s="51" t="s">
        <v>186</v>
      </c>
      <c r="K28" s="37" t="s">
        <v>249</v>
      </c>
      <c r="L28" s="51">
        <v>1</v>
      </c>
      <c r="M28" s="51">
        <f t="shared" ref="M28" si="17">L28*5</f>
        <v>5</v>
      </c>
      <c r="N28" s="51">
        <v>20</v>
      </c>
      <c r="O28" s="61" t="s">
        <v>251</v>
      </c>
      <c r="P28" s="52">
        <v>3.3500000000000002E-2</v>
      </c>
      <c r="Q28" s="52">
        <f t="shared" ref="Q28" si="18">P28*N28</f>
        <v>0.67</v>
      </c>
      <c r="R28" s="51"/>
      <c r="S28" s="59"/>
    </row>
    <row r="29" spans="1:19" ht="24" x14ac:dyDescent="0.25">
      <c r="A29" s="1"/>
      <c r="B29" s="46">
        <f>ROW(B29) - ROW($B$9)</f>
        <v>20</v>
      </c>
      <c r="C29" s="54" t="s">
        <v>15</v>
      </c>
      <c r="D29" s="37" t="s">
        <v>39</v>
      </c>
      <c r="E29" s="37" t="s">
        <v>76</v>
      </c>
      <c r="F29" s="37" t="s">
        <v>109</v>
      </c>
      <c r="G29" s="37" t="s">
        <v>132</v>
      </c>
      <c r="H29" s="37" t="s">
        <v>165</v>
      </c>
      <c r="I29" s="37" t="s">
        <v>249</v>
      </c>
      <c r="J29" s="37" t="s">
        <v>253</v>
      </c>
      <c r="K29" s="51" t="s">
        <v>249</v>
      </c>
      <c r="L29" s="37">
        <v>1</v>
      </c>
      <c r="M29" s="37">
        <f>L29*5</f>
        <v>5</v>
      </c>
      <c r="N29" s="37">
        <v>6</v>
      </c>
      <c r="O29" s="61" t="s">
        <v>251</v>
      </c>
      <c r="P29" s="38">
        <v>0.3453</v>
      </c>
      <c r="Q29" s="38">
        <f>P29*N29</f>
        <v>2.0718000000000001</v>
      </c>
      <c r="R29" s="37"/>
      <c r="S29" s="59"/>
    </row>
    <row r="30" spans="1:19" ht="36" x14ac:dyDescent="0.25">
      <c r="A30" s="1"/>
      <c r="B30" s="47">
        <f t="shared" si="0"/>
        <v>21</v>
      </c>
      <c r="C30" s="54" t="s">
        <v>16</v>
      </c>
      <c r="D30" s="51" t="s">
        <v>40</v>
      </c>
      <c r="E30" s="51" t="s">
        <v>77</v>
      </c>
      <c r="F30" s="51" t="s">
        <v>110</v>
      </c>
      <c r="G30" s="51" t="s">
        <v>133</v>
      </c>
      <c r="H30" s="51" t="s">
        <v>166</v>
      </c>
      <c r="I30" s="51" t="s">
        <v>249</v>
      </c>
      <c r="J30" s="51" t="s">
        <v>187</v>
      </c>
      <c r="K30" s="51" t="s">
        <v>218</v>
      </c>
      <c r="L30" s="51">
        <v>1</v>
      </c>
      <c r="M30" s="51">
        <f t="shared" ref="M30" si="19">L30*5</f>
        <v>5</v>
      </c>
      <c r="N30" s="51">
        <v>100</v>
      </c>
      <c r="O30" s="61" t="s">
        <v>251</v>
      </c>
      <c r="P30" s="52">
        <v>1.8E-3</v>
      </c>
      <c r="Q30" s="52">
        <f t="shared" ref="Q30" si="20">P30*N30</f>
        <v>0.18</v>
      </c>
      <c r="R30" s="51"/>
      <c r="S30" s="59"/>
    </row>
    <row r="31" spans="1:19" x14ac:dyDescent="0.25">
      <c r="A31" s="1"/>
      <c r="B31" s="46">
        <f>ROW(B31) - ROW($B$9)</f>
        <v>22</v>
      </c>
      <c r="C31" s="53" t="s">
        <v>16</v>
      </c>
      <c r="D31" s="37" t="s">
        <v>41</v>
      </c>
      <c r="E31" s="37" t="s">
        <v>78</v>
      </c>
      <c r="F31" s="37" t="s">
        <v>110</v>
      </c>
      <c r="G31" s="37" t="s">
        <v>134</v>
      </c>
      <c r="H31" s="37" t="s">
        <v>157</v>
      </c>
      <c r="I31" s="37" t="s">
        <v>249</v>
      </c>
      <c r="J31" s="37" t="s">
        <v>188</v>
      </c>
      <c r="K31" s="37" t="s">
        <v>219</v>
      </c>
      <c r="L31" s="37">
        <v>1</v>
      </c>
      <c r="M31" s="37">
        <f>L31*5</f>
        <v>5</v>
      </c>
      <c r="N31" s="37">
        <v>50</v>
      </c>
      <c r="O31" s="61" t="s">
        <v>251</v>
      </c>
      <c r="P31" s="38">
        <v>5.4999999999999997E-3</v>
      </c>
      <c r="Q31" s="38">
        <f>P31*N31</f>
        <v>0.27499999999999997</v>
      </c>
      <c r="R31" s="37"/>
      <c r="S31" s="59"/>
    </row>
    <row r="32" spans="1:19" x14ac:dyDescent="0.25">
      <c r="A32" s="1"/>
      <c r="B32" s="47">
        <f t="shared" si="0"/>
        <v>23</v>
      </c>
      <c r="C32" s="54" t="s">
        <v>16</v>
      </c>
      <c r="D32" s="51" t="s">
        <v>275</v>
      </c>
      <c r="E32" s="51" t="s">
        <v>79</v>
      </c>
      <c r="F32" s="51" t="s">
        <v>111</v>
      </c>
      <c r="G32" s="51" t="s">
        <v>135</v>
      </c>
      <c r="H32" s="51" t="s">
        <v>157</v>
      </c>
      <c r="I32" s="51" t="s">
        <v>249</v>
      </c>
      <c r="J32" s="51" t="s">
        <v>189</v>
      </c>
      <c r="K32" s="51" t="s">
        <v>220</v>
      </c>
      <c r="L32" s="51">
        <v>2</v>
      </c>
      <c r="M32" s="51">
        <f t="shared" ref="M32" si="21">L32*5</f>
        <v>10</v>
      </c>
      <c r="N32" s="51">
        <v>100</v>
      </c>
      <c r="O32" s="61" t="s">
        <v>251</v>
      </c>
      <c r="P32" s="52">
        <v>6.9999999999999999E-4</v>
      </c>
      <c r="Q32" s="52">
        <f t="shared" ref="Q32" si="22">P32*N32</f>
        <v>6.9999999999999993E-2</v>
      </c>
      <c r="R32" s="51"/>
      <c r="S32" s="59"/>
    </row>
    <row r="33" spans="1:19" x14ac:dyDescent="0.25">
      <c r="A33" s="1"/>
      <c r="B33" s="46">
        <f>ROW(B33) - ROW($B$9)</f>
        <v>24</v>
      </c>
      <c r="C33" s="53" t="s">
        <v>16</v>
      </c>
      <c r="D33" s="37" t="s">
        <v>42</v>
      </c>
      <c r="E33" s="37" t="s">
        <v>80</v>
      </c>
      <c r="F33" s="37" t="s">
        <v>112</v>
      </c>
      <c r="G33" s="37" t="s">
        <v>136</v>
      </c>
      <c r="H33" s="37" t="s">
        <v>157</v>
      </c>
      <c r="I33" s="37" t="s">
        <v>249</v>
      </c>
      <c r="J33" s="37" t="s">
        <v>190</v>
      </c>
      <c r="K33" s="37" t="s">
        <v>221</v>
      </c>
      <c r="L33" s="37">
        <v>1</v>
      </c>
      <c r="M33" s="37">
        <f>L33*5</f>
        <v>5</v>
      </c>
      <c r="N33" s="37">
        <v>10</v>
      </c>
      <c r="O33" s="61" t="s">
        <v>251</v>
      </c>
      <c r="P33" s="38">
        <v>7.4800000000000005E-2</v>
      </c>
      <c r="Q33" s="38">
        <f>P33*N33</f>
        <v>0.748</v>
      </c>
      <c r="R33" s="37"/>
      <c r="S33" s="59"/>
    </row>
    <row r="34" spans="1:19" x14ac:dyDescent="0.25">
      <c r="A34" s="1"/>
      <c r="B34" s="47">
        <f t="shared" si="0"/>
        <v>25</v>
      </c>
      <c r="C34" s="54" t="s">
        <v>16</v>
      </c>
      <c r="D34" s="51" t="s">
        <v>43</v>
      </c>
      <c r="E34" s="51" t="s">
        <v>81</v>
      </c>
      <c r="F34" s="51" t="s">
        <v>110</v>
      </c>
      <c r="G34" s="51" t="s">
        <v>137</v>
      </c>
      <c r="H34" s="51" t="s">
        <v>157</v>
      </c>
      <c r="I34" s="51" t="s">
        <v>249</v>
      </c>
      <c r="J34" s="51" t="s">
        <v>191</v>
      </c>
      <c r="K34" s="51" t="s">
        <v>222</v>
      </c>
      <c r="L34" s="51">
        <v>1</v>
      </c>
      <c r="M34" s="51">
        <f t="shared" ref="M34" si="23">L34*5</f>
        <v>5</v>
      </c>
      <c r="N34" s="51">
        <v>100</v>
      </c>
      <c r="O34" s="61" t="s">
        <v>251</v>
      </c>
      <c r="P34" s="52">
        <v>6.9999999999999999E-4</v>
      </c>
      <c r="Q34" s="52">
        <f t="shared" ref="Q34" si="24">P34*N34</f>
        <v>6.9999999999999993E-2</v>
      </c>
      <c r="R34" s="51"/>
      <c r="S34" s="59"/>
    </row>
    <row r="35" spans="1:19" ht="24" x14ac:dyDescent="0.25">
      <c r="A35" s="1"/>
      <c r="B35" s="46">
        <f>ROW(B35) - ROW($B$9)</f>
        <v>26</v>
      </c>
      <c r="C35" s="53" t="s">
        <v>16</v>
      </c>
      <c r="D35" s="37" t="s">
        <v>44</v>
      </c>
      <c r="E35" s="37" t="s">
        <v>82</v>
      </c>
      <c r="F35" s="37" t="s">
        <v>110</v>
      </c>
      <c r="G35" s="37" t="s">
        <v>138</v>
      </c>
      <c r="H35" s="37" t="s">
        <v>166</v>
      </c>
      <c r="I35" s="37" t="s">
        <v>249</v>
      </c>
      <c r="J35" s="37" t="s">
        <v>192</v>
      </c>
      <c r="K35" s="37" t="s">
        <v>223</v>
      </c>
      <c r="L35" s="37">
        <v>1</v>
      </c>
      <c r="M35" s="37">
        <f>L35*5</f>
        <v>5</v>
      </c>
      <c r="N35" s="37">
        <v>100</v>
      </c>
      <c r="O35" s="61" t="s">
        <v>251</v>
      </c>
      <c r="P35" s="38">
        <v>1E-3</v>
      </c>
      <c r="Q35" s="38">
        <f>P35*N35</f>
        <v>0.1</v>
      </c>
      <c r="R35" s="37"/>
      <c r="S35" s="59"/>
    </row>
    <row r="36" spans="1:19" x14ac:dyDescent="0.25">
      <c r="A36" s="1"/>
      <c r="B36" s="47">
        <f t="shared" si="0"/>
        <v>27</v>
      </c>
      <c r="C36" s="53" t="s">
        <v>16</v>
      </c>
      <c r="D36" s="51" t="s">
        <v>45</v>
      </c>
      <c r="E36" s="51" t="s">
        <v>83</v>
      </c>
      <c r="F36" s="51" t="s">
        <v>113</v>
      </c>
      <c r="G36" s="62" t="s">
        <v>139</v>
      </c>
      <c r="H36" s="51" t="s">
        <v>167</v>
      </c>
      <c r="I36" s="51" t="s">
        <v>258</v>
      </c>
      <c r="J36" s="51" t="s">
        <v>259</v>
      </c>
      <c r="K36" s="51" t="s">
        <v>224</v>
      </c>
      <c r="L36" s="51">
        <v>1</v>
      </c>
      <c r="M36" s="51">
        <f t="shared" ref="M36" si="25">L36*5</f>
        <v>5</v>
      </c>
      <c r="N36" s="51">
        <v>100</v>
      </c>
      <c r="O36" s="61" t="s">
        <v>251</v>
      </c>
      <c r="P36" s="52">
        <v>1.1999999999999999E-3</v>
      </c>
      <c r="Q36" s="52">
        <f t="shared" ref="Q36" si="26">P36*N36</f>
        <v>0.12</v>
      </c>
      <c r="R36" s="51"/>
      <c r="S36" s="59"/>
    </row>
    <row r="37" spans="1:19" x14ac:dyDescent="0.25">
      <c r="A37" s="1"/>
      <c r="B37" s="46">
        <f>ROW(B37) - ROW($B$9)</f>
        <v>28</v>
      </c>
      <c r="C37" s="53" t="s">
        <v>16</v>
      </c>
      <c r="D37" s="37" t="s">
        <v>46</v>
      </c>
      <c r="E37" s="37" t="s">
        <v>84</v>
      </c>
      <c r="F37" s="37" t="s">
        <v>110</v>
      </c>
      <c r="G37" s="37" t="s">
        <v>140</v>
      </c>
      <c r="H37" s="37" t="s">
        <v>157</v>
      </c>
      <c r="I37" s="37" t="s">
        <v>249</v>
      </c>
      <c r="J37" s="37" t="s">
        <v>193</v>
      </c>
      <c r="K37" s="37" t="s">
        <v>225</v>
      </c>
      <c r="L37" s="37">
        <v>1</v>
      </c>
      <c r="M37" s="37">
        <f>L37*5</f>
        <v>5</v>
      </c>
      <c r="N37" s="37">
        <v>100</v>
      </c>
      <c r="O37" s="61" t="s">
        <v>251</v>
      </c>
      <c r="P37" s="38">
        <v>8.9999999999999998E-4</v>
      </c>
      <c r="Q37" s="38">
        <f>P37*N37</f>
        <v>0.09</v>
      </c>
      <c r="R37" s="37"/>
      <c r="S37" s="59"/>
    </row>
    <row r="38" spans="1:19" x14ac:dyDescent="0.25">
      <c r="A38" s="1"/>
      <c r="B38" s="47">
        <f t="shared" si="0"/>
        <v>29</v>
      </c>
      <c r="C38" s="54" t="s">
        <v>16</v>
      </c>
      <c r="D38" s="51" t="s">
        <v>47</v>
      </c>
      <c r="E38" s="51" t="s">
        <v>85</v>
      </c>
      <c r="F38" s="51" t="s">
        <v>110</v>
      </c>
      <c r="G38" s="51" t="s">
        <v>141</v>
      </c>
      <c r="H38" s="51" t="s">
        <v>157</v>
      </c>
      <c r="I38" s="51" t="s">
        <v>249</v>
      </c>
      <c r="J38" s="51" t="s">
        <v>194</v>
      </c>
      <c r="K38" s="51" t="s">
        <v>226</v>
      </c>
      <c r="L38" s="51">
        <v>1</v>
      </c>
      <c r="M38" s="51">
        <f t="shared" ref="M38" si="27">L38*5</f>
        <v>5</v>
      </c>
      <c r="N38" s="51">
        <v>50</v>
      </c>
      <c r="O38" s="61" t="s">
        <v>251</v>
      </c>
      <c r="P38" s="52">
        <v>5.4999999999999997E-3</v>
      </c>
      <c r="Q38" s="52">
        <f t="shared" ref="Q38" si="28">P38*N38</f>
        <v>0.27499999999999997</v>
      </c>
      <c r="R38" s="51"/>
      <c r="S38" s="59"/>
    </row>
    <row r="39" spans="1:19" ht="24" x14ac:dyDescent="0.25">
      <c r="A39" s="1"/>
      <c r="B39" s="46">
        <f>ROW(B39) - ROW($B$9)</f>
        <v>30</v>
      </c>
      <c r="C39" s="53" t="s">
        <v>16</v>
      </c>
      <c r="D39" s="37" t="s">
        <v>269</v>
      </c>
      <c r="E39" s="37" t="s">
        <v>86</v>
      </c>
      <c r="F39" s="37" t="s">
        <v>110</v>
      </c>
      <c r="G39" s="37" t="s">
        <v>142</v>
      </c>
      <c r="H39" s="37" t="s">
        <v>157</v>
      </c>
      <c r="I39" s="37" t="s">
        <v>249</v>
      </c>
      <c r="J39" s="37" t="s">
        <v>195</v>
      </c>
      <c r="K39" s="37" t="s">
        <v>227</v>
      </c>
      <c r="L39" s="37">
        <v>13</v>
      </c>
      <c r="M39" s="37">
        <f>L39*5</f>
        <v>65</v>
      </c>
      <c r="N39" s="37">
        <v>100</v>
      </c>
      <c r="O39" s="61" t="s">
        <v>251</v>
      </c>
      <c r="P39" s="38">
        <v>8.9999999999999998E-4</v>
      </c>
      <c r="Q39" s="38">
        <f>P39*N39</f>
        <v>0.09</v>
      </c>
      <c r="R39" s="37"/>
      <c r="S39" s="59"/>
    </row>
    <row r="40" spans="1:19" x14ac:dyDescent="0.25">
      <c r="A40" s="1"/>
      <c r="B40" s="47">
        <f>ROW(B40) - ROW($B$9)</f>
        <v>31</v>
      </c>
      <c r="C40" s="54" t="s">
        <v>16</v>
      </c>
      <c r="D40" s="51" t="s">
        <v>270</v>
      </c>
      <c r="E40" s="51" t="s">
        <v>89</v>
      </c>
      <c r="F40" s="51" t="s">
        <v>113</v>
      </c>
      <c r="G40" s="51" t="s">
        <v>145</v>
      </c>
      <c r="H40" s="51" t="s">
        <v>157</v>
      </c>
      <c r="I40" s="51" t="s">
        <v>249</v>
      </c>
      <c r="J40" s="51" t="s">
        <v>198</v>
      </c>
      <c r="K40" s="51" t="s">
        <v>230</v>
      </c>
      <c r="L40" s="51">
        <v>3</v>
      </c>
      <c r="M40" s="51">
        <f t="shared" ref="M40" si="29">L40*5</f>
        <v>15</v>
      </c>
      <c r="N40" s="51">
        <v>100</v>
      </c>
      <c r="O40" s="61" t="s">
        <v>251</v>
      </c>
      <c r="P40" s="52">
        <v>1.2999999999999999E-3</v>
      </c>
      <c r="Q40" s="52">
        <f t="shared" ref="Q40" si="30">P40*N40</f>
        <v>0.13</v>
      </c>
      <c r="R40" s="51"/>
      <c r="S40" s="59"/>
    </row>
    <row r="41" spans="1:19" x14ac:dyDescent="0.25">
      <c r="A41" s="1"/>
      <c r="B41" s="47">
        <f t="shared" si="0"/>
        <v>32</v>
      </c>
      <c r="C41" s="54" t="s">
        <v>16</v>
      </c>
      <c r="D41" s="51" t="s">
        <v>48</v>
      </c>
      <c r="E41" s="51" t="s">
        <v>87</v>
      </c>
      <c r="F41" s="51" t="s">
        <v>113</v>
      </c>
      <c r="G41" s="51" t="s">
        <v>143</v>
      </c>
      <c r="H41" s="51" t="s">
        <v>157</v>
      </c>
      <c r="I41" s="51" t="s">
        <v>249</v>
      </c>
      <c r="J41" s="51" t="s">
        <v>196</v>
      </c>
      <c r="K41" s="51" t="s">
        <v>228</v>
      </c>
      <c r="L41" s="51">
        <v>1</v>
      </c>
      <c r="M41" s="51">
        <f t="shared" ref="M41" si="31">L41*5</f>
        <v>5</v>
      </c>
      <c r="N41" s="51">
        <v>100</v>
      </c>
      <c r="O41" s="61" t="s">
        <v>251</v>
      </c>
      <c r="P41" s="52">
        <v>1E-3</v>
      </c>
      <c r="Q41" s="52">
        <f t="shared" ref="Q41" si="32">P41*N41</f>
        <v>0.1</v>
      </c>
      <c r="R41" s="51"/>
      <c r="S41" s="59"/>
    </row>
    <row r="42" spans="1:19" x14ac:dyDescent="0.25">
      <c r="A42" s="1"/>
      <c r="B42" s="46">
        <f>ROW(B42) - ROW($B$9)</f>
        <v>33</v>
      </c>
      <c r="C42" s="53" t="s">
        <v>16</v>
      </c>
      <c r="D42" s="37" t="s">
        <v>49</v>
      </c>
      <c r="E42" s="37" t="s">
        <v>88</v>
      </c>
      <c r="F42" s="37" t="s">
        <v>113</v>
      </c>
      <c r="G42" s="37" t="s">
        <v>144</v>
      </c>
      <c r="H42" s="37" t="s">
        <v>157</v>
      </c>
      <c r="I42" s="37" t="s">
        <v>249</v>
      </c>
      <c r="J42" s="37" t="s">
        <v>197</v>
      </c>
      <c r="K42" s="37" t="s">
        <v>229</v>
      </c>
      <c r="L42" s="37">
        <v>2</v>
      </c>
      <c r="M42" s="37">
        <f>L42*5</f>
        <v>10</v>
      </c>
      <c r="N42" s="37">
        <v>100</v>
      </c>
      <c r="O42" s="61" t="s">
        <v>251</v>
      </c>
      <c r="P42" s="38">
        <v>1.1000000000000001E-3</v>
      </c>
      <c r="Q42" s="38">
        <f>P42*N42</f>
        <v>0.11</v>
      </c>
      <c r="R42" s="37"/>
      <c r="S42" s="59"/>
    </row>
    <row r="43" spans="1:19" x14ac:dyDescent="0.25">
      <c r="A43" s="1"/>
      <c r="B43" s="46">
        <f>ROW(B43) - ROW($B$9)</f>
        <v>34</v>
      </c>
      <c r="C43" s="53" t="s">
        <v>16</v>
      </c>
      <c r="D43" s="37" t="s">
        <v>50</v>
      </c>
      <c r="E43" s="37" t="s">
        <v>90</v>
      </c>
      <c r="F43" s="37" t="s">
        <v>110</v>
      </c>
      <c r="G43" s="37" t="s">
        <v>146</v>
      </c>
      <c r="H43" s="37" t="s">
        <v>157</v>
      </c>
      <c r="I43" s="37" t="s">
        <v>249</v>
      </c>
      <c r="J43" s="37" t="s">
        <v>199</v>
      </c>
      <c r="K43" s="37" t="s">
        <v>231</v>
      </c>
      <c r="L43" s="37">
        <v>4</v>
      </c>
      <c r="M43" s="37">
        <f>L43*5</f>
        <v>20</v>
      </c>
      <c r="N43" s="37">
        <v>100</v>
      </c>
      <c r="O43" s="61" t="s">
        <v>251</v>
      </c>
      <c r="P43" s="38">
        <v>1E-3</v>
      </c>
      <c r="Q43" s="38">
        <f>P43*N43</f>
        <v>0.1</v>
      </c>
      <c r="R43" s="37"/>
      <c r="S43" s="59"/>
    </row>
    <row r="44" spans="1:19" x14ac:dyDescent="0.25">
      <c r="A44" s="1"/>
      <c r="B44" s="47">
        <f t="shared" si="0"/>
        <v>35</v>
      </c>
      <c r="C44" s="54" t="s">
        <v>16</v>
      </c>
      <c r="D44" s="51" t="s">
        <v>51</v>
      </c>
      <c r="E44" s="51" t="s">
        <v>91</v>
      </c>
      <c r="F44" s="51" t="s">
        <v>113</v>
      </c>
      <c r="G44" s="51" t="s">
        <v>147</v>
      </c>
      <c r="H44" s="51" t="s">
        <v>157</v>
      </c>
      <c r="I44" s="51" t="s">
        <v>249</v>
      </c>
      <c r="J44" s="51" t="s">
        <v>200</v>
      </c>
      <c r="K44" s="51" t="s">
        <v>232</v>
      </c>
      <c r="L44" s="51">
        <v>1</v>
      </c>
      <c r="M44" s="51">
        <f t="shared" ref="M44" si="33">L44*5</f>
        <v>5</v>
      </c>
      <c r="N44" s="51">
        <v>100</v>
      </c>
      <c r="O44" s="61" t="s">
        <v>251</v>
      </c>
      <c r="P44" s="52">
        <v>2.7000000000000001E-3</v>
      </c>
      <c r="Q44" s="52">
        <f t="shared" ref="Q44" si="34">P44*N44</f>
        <v>0.27</v>
      </c>
      <c r="R44" s="51"/>
      <c r="S44" s="59"/>
    </row>
    <row r="45" spans="1:19" x14ac:dyDescent="0.25">
      <c r="A45" s="1"/>
      <c r="B45" s="46">
        <f>ROW(B45) - ROW($B$9)</f>
        <v>36</v>
      </c>
      <c r="C45" s="53" t="s">
        <v>16</v>
      </c>
      <c r="D45" s="37" t="s">
        <v>52</v>
      </c>
      <c r="E45" s="37" t="s">
        <v>92</v>
      </c>
      <c r="F45" s="37" t="s">
        <v>113</v>
      </c>
      <c r="G45" s="37" t="s">
        <v>148</v>
      </c>
      <c r="H45" s="37" t="s">
        <v>157</v>
      </c>
      <c r="I45" s="37" t="s">
        <v>249</v>
      </c>
      <c r="J45" s="37" t="s">
        <v>201</v>
      </c>
      <c r="K45" s="37" t="s">
        <v>233</v>
      </c>
      <c r="L45" s="37">
        <v>4</v>
      </c>
      <c r="M45" s="37">
        <f>L45*5</f>
        <v>20</v>
      </c>
      <c r="N45" s="37">
        <v>100</v>
      </c>
      <c r="O45" s="61" t="s">
        <v>251</v>
      </c>
      <c r="P45" s="38">
        <v>1.1999999999999999E-3</v>
      </c>
      <c r="Q45" s="38">
        <f>P45*N45</f>
        <v>0.12</v>
      </c>
      <c r="R45" s="37"/>
      <c r="S45" s="59"/>
    </row>
    <row r="46" spans="1:19" x14ac:dyDescent="0.25">
      <c r="A46" s="1"/>
      <c r="B46" s="47">
        <f t="shared" si="0"/>
        <v>37</v>
      </c>
      <c r="C46" s="53" t="s">
        <v>16</v>
      </c>
      <c r="D46" s="51" t="s">
        <v>53</v>
      </c>
      <c r="E46" s="51" t="s">
        <v>93</v>
      </c>
      <c r="F46" s="51" t="s">
        <v>113</v>
      </c>
      <c r="G46" s="51" t="s">
        <v>149</v>
      </c>
      <c r="H46" s="51" t="s">
        <v>157</v>
      </c>
      <c r="I46" s="51" t="s">
        <v>249</v>
      </c>
      <c r="J46" s="51" t="s">
        <v>202</v>
      </c>
      <c r="K46" s="51" t="s">
        <v>234</v>
      </c>
      <c r="L46" s="51">
        <v>1</v>
      </c>
      <c r="M46" s="51">
        <f t="shared" ref="M46" si="35">L46*5</f>
        <v>5</v>
      </c>
      <c r="N46" s="51">
        <v>100</v>
      </c>
      <c r="O46" s="61" t="s">
        <v>251</v>
      </c>
      <c r="P46" s="52">
        <v>1.2999999999999999E-3</v>
      </c>
      <c r="Q46" s="52">
        <f t="shared" ref="Q46" si="36">P46*N46</f>
        <v>0.13</v>
      </c>
      <c r="R46" s="51"/>
      <c r="S46" s="59"/>
    </row>
    <row r="47" spans="1:19" x14ac:dyDescent="0.25">
      <c r="A47" s="1"/>
      <c r="B47" s="46">
        <f>ROW(B47) - ROW($B$9)</f>
        <v>38</v>
      </c>
      <c r="C47" s="53" t="s">
        <v>16</v>
      </c>
      <c r="D47" s="37" t="s">
        <v>54</v>
      </c>
      <c r="E47" s="37" t="s">
        <v>94</v>
      </c>
      <c r="F47" s="37" t="s">
        <v>113</v>
      </c>
      <c r="G47" s="37" t="s">
        <v>150</v>
      </c>
      <c r="H47" s="37" t="s">
        <v>157</v>
      </c>
      <c r="I47" s="37" t="s">
        <v>249</v>
      </c>
      <c r="J47" s="37" t="s">
        <v>203</v>
      </c>
      <c r="K47" s="37" t="s">
        <v>235</v>
      </c>
      <c r="L47" s="37">
        <v>1</v>
      </c>
      <c r="M47" s="37">
        <f>L47*5</f>
        <v>5</v>
      </c>
      <c r="N47" s="37">
        <v>100</v>
      </c>
      <c r="O47" s="61" t="s">
        <v>251</v>
      </c>
      <c r="P47" s="38">
        <v>1.2999999999999999E-3</v>
      </c>
      <c r="Q47" s="38">
        <f>P47*N47</f>
        <v>0.13</v>
      </c>
      <c r="R47" s="37"/>
      <c r="S47" s="59"/>
    </row>
    <row r="48" spans="1:19" x14ac:dyDescent="0.25">
      <c r="A48" s="1"/>
      <c r="B48" s="47">
        <f t="shared" si="0"/>
        <v>39</v>
      </c>
      <c r="C48" s="54" t="s">
        <v>17</v>
      </c>
      <c r="D48" s="51" t="s">
        <v>55</v>
      </c>
      <c r="E48" s="51" t="s">
        <v>265</v>
      </c>
      <c r="F48" s="51" t="s">
        <v>266</v>
      </c>
      <c r="G48" s="51" t="s">
        <v>267</v>
      </c>
      <c r="H48" s="51" t="s">
        <v>168</v>
      </c>
      <c r="I48" s="51" t="s">
        <v>249</v>
      </c>
      <c r="J48" s="51" t="s">
        <v>268</v>
      </c>
      <c r="K48" s="51" t="s">
        <v>249</v>
      </c>
      <c r="L48" s="51">
        <v>1</v>
      </c>
      <c r="M48" s="51">
        <f t="shared" ref="M48" si="37">L48*5</f>
        <v>5</v>
      </c>
      <c r="N48" s="51">
        <v>6</v>
      </c>
      <c r="O48" s="61" t="s">
        <v>251</v>
      </c>
      <c r="P48" s="52">
        <v>2.1716000000000002</v>
      </c>
      <c r="Q48" s="52">
        <f t="shared" ref="Q48" si="38">P48*N48</f>
        <v>13.029600000000002</v>
      </c>
      <c r="R48" s="51"/>
      <c r="S48" s="59"/>
    </row>
    <row r="49" spans="1:19" ht="24" x14ac:dyDescent="0.25">
      <c r="A49" s="1"/>
      <c r="B49" s="46">
        <f>ROW(B49) - ROW($B$9)</f>
        <v>40</v>
      </c>
      <c r="C49" s="53" t="s">
        <v>17</v>
      </c>
      <c r="D49" s="37" t="s">
        <v>56</v>
      </c>
      <c r="E49" s="37" t="s">
        <v>95</v>
      </c>
      <c r="F49" s="37" t="s">
        <v>114</v>
      </c>
      <c r="G49" s="37" t="s">
        <v>151</v>
      </c>
      <c r="H49" s="37" t="s">
        <v>169</v>
      </c>
      <c r="I49" s="37" t="s">
        <v>249</v>
      </c>
      <c r="J49" s="37" t="s">
        <v>204</v>
      </c>
      <c r="K49" s="37" t="s">
        <v>249</v>
      </c>
      <c r="L49" s="37">
        <v>1</v>
      </c>
      <c r="M49" s="37">
        <f>L49*5</f>
        <v>5</v>
      </c>
      <c r="N49" s="37">
        <v>6</v>
      </c>
      <c r="O49" s="61" t="s">
        <v>251</v>
      </c>
      <c r="P49" s="38">
        <v>0.64910000000000001</v>
      </c>
      <c r="Q49" s="38">
        <f>P49*N49</f>
        <v>3.8946000000000001</v>
      </c>
      <c r="R49" s="37"/>
      <c r="S49" s="59"/>
    </row>
    <row r="50" spans="1:19" x14ac:dyDescent="0.25">
      <c r="A50" s="1"/>
      <c r="B50" s="47">
        <f t="shared" si="0"/>
        <v>41</v>
      </c>
      <c r="C50" s="54" t="s">
        <v>17</v>
      </c>
      <c r="D50" s="51" t="s">
        <v>57</v>
      </c>
      <c r="E50" s="51" t="s">
        <v>96</v>
      </c>
      <c r="F50" s="51" t="s">
        <v>115</v>
      </c>
      <c r="G50" s="51" t="s">
        <v>152</v>
      </c>
      <c r="H50" s="51" t="s">
        <v>170</v>
      </c>
      <c r="I50" s="51" t="s">
        <v>249</v>
      </c>
      <c r="J50" s="51" t="s">
        <v>205</v>
      </c>
      <c r="K50" s="51" t="s">
        <v>249</v>
      </c>
      <c r="L50" s="51">
        <v>1</v>
      </c>
      <c r="M50" s="51">
        <f t="shared" ref="M50" si="39">L50*5</f>
        <v>5</v>
      </c>
      <c r="N50" s="51">
        <v>6</v>
      </c>
      <c r="O50" s="61" t="s">
        <v>251</v>
      </c>
      <c r="P50" s="52">
        <v>2.6839</v>
      </c>
      <c r="Q50" s="52">
        <f t="shared" ref="Q50" si="40">P50*N50</f>
        <v>16.103400000000001</v>
      </c>
      <c r="R50" s="51"/>
      <c r="S50" s="59"/>
    </row>
    <row r="51" spans="1:19" ht="15.75" thickBot="1" x14ac:dyDescent="0.3">
      <c r="A51" s="1"/>
      <c r="B51" s="47">
        <f t="shared" si="0"/>
        <v>42</v>
      </c>
      <c r="C51" s="54" t="s">
        <v>19</v>
      </c>
      <c r="D51" s="51" t="s">
        <v>58</v>
      </c>
      <c r="E51" s="51" t="s">
        <v>97</v>
      </c>
      <c r="F51" s="51" t="s">
        <v>252</v>
      </c>
      <c r="G51" s="51" t="s">
        <v>116</v>
      </c>
      <c r="H51" s="51" t="s">
        <v>172</v>
      </c>
      <c r="I51" s="51" t="s">
        <v>249</v>
      </c>
      <c r="J51" s="51" t="s">
        <v>206</v>
      </c>
      <c r="K51" s="51" t="s">
        <v>263</v>
      </c>
      <c r="L51" s="51">
        <v>1</v>
      </c>
      <c r="M51" s="51">
        <f t="shared" ref="M51:M52" si="41">L51*5</f>
        <v>5</v>
      </c>
      <c r="N51" s="51">
        <v>6</v>
      </c>
      <c r="O51" s="61" t="s">
        <v>251</v>
      </c>
      <c r="P51" s="52">
        <v>0.25240000000000001</v>
      </c>
      <c r="Q51" s="52">
        <f t="shared" ref="Q51:Q52" si="42">P51*N51</f>
        <v>1.5144000000000002</v>
      </c>
      <c r="R51" s="51"/>
      <c r="S51" s="39"/>
    </row>
    <row r="52" spans="1:19" ht="15.75" thickBot="1" x14ac:dyDescent="0.3">
      <c r="A52" s="1"/>
      <c r="B52" s="47">
        <f t="shared" si="0"/>
        <v>43</v>
      </c>
      <c r="C52" s="54" t="s">
        <v>276</v>
      </c>
      <c r="D52" s="51" t="s">
        <v>249</v>
      </c>
      <c r="E52" s="51" t="s">
        <v>249</v>
      </c>
      <c r="F52" s="51" t="s">
        <v>249</v>
      </c>
      <c r="G52" s="51" t="s">
        <v>277</v>
      </c>
      <c r="H52" s="51" t="s">
        <v>278</v>
      </c>
      <c r="I52" s="51" t="s">
        <v>249</v>
      </c>
      <c r="J52" s="51" t="s">
        <v>279</v>
      </c>
      <c r="K52" s="51" t="s">
        <v>249</v>
      </c>
      <c r="L52" s="51">
        <v>1</v>
      </c>
      <c r="M52" s="51">
        <f t="shared" si="41"/>
        <v>5</v>
      </c>
      <c r="N52" s="51">
        <v>5</v>
      </c>
      <c r="O52" s="61" t="s">
        <v>251</v>
      </c>
      <c r="P52" s="52">
        <v>1.3189</v>
      </c>
      <c r="Q52" s="52">
        <f t="shared" si="42"/>
        <v>6.5945</v>
      </c>
      <c r="R52" s="51"/>
      <c r="S52" s="39"/>
    </row>
    <row r="53" spans="1:19" ht="19.5" thickBot="1" x14ac:dyDescent="0.3">
      <c r="A53" s="1"/>
      <c r="B53" s="40"/>
      <c r="C53" s="41"/>
      <c r="D53" s="42"/>
      <c r="E53" s="43"/>
      <c r="F53" s="44"/>
      <c r="G53" s="45"/>
      <c r="H53" s="44"/>
      <c r="I53" s="45"/>
      <c r="J53" s="44"/>
      <c r="K53" s="45"/>
      <c r="L53" s="45"/>
      <c r="M53" s="45"/>
      <c r="N53" s="73" t="s">
        <v>5</v>
      </c>
      <c r="O53" s="74"/>
      <c r="P53" s="74"/>
      <c r="Q53" s="48">
        <f>SUM(Q10:Q52)</f>
        <v>96.000900000000016</v>
      </c>
      <c r="R53" s="69"/>
      <c r="S53" s="70"/>
    </row>
    <row r="54" spans="1:19" ht="19.5" thickBot="1" x14ac:dyDescent="0.3">
      <c r="A54" s="1"/>
      <c r="B54" s="25"/>
      <c r="C54" s="36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73" t="s">
        <v>6</v>
      </c>
      <c r="O54" s="74"/>
      <c r="P54" s="74"/>
      <c r="Q54" s="49">
        <f>Q53/5</f>
        <v>19.200180000000003</v>
      </c>
      <c r="R54" s="71"/>
      <c r="S54" s="72"/>
    </row>
  </sheetData>
  <mergeCells count="5">
    <mergeCell ref="K1:S1"/>
    <mergeCell ref="S3:S8"/>
    <mergeCell ref="R53:S54"/>
    <mergeCell ref="N53:P53"/>
    <mergeCell ref="N54:P54"/>
  </mergeCells>
  <hyperlinks>
    <hyperlink ref="O10" r:id="rId1"/>
    <hyperlink ref="O11" r:id="rId2"/>
    <hyperlink ref="O13" r:id="rId3"/>
    <hyperlink ref="O14" r:id="rId4"/>
    <hyperlink ref="O16" r:id="rId5"/>
    <hyperlink ref="O17" r:id="rId6"/>
    <hyperlink ref="O18" r:id="rId7"/>
    <hyperlink ref="O19" r:id="rId8"/>
    <hyperlink ref="O20" r:id="rId9"/>
    <hyperlink ref="O21" r:id="rId10"/>
    <hyperlink ref="O24" r:id="rId11"/>
    <hyperlink ref="O27" r:id="rId12"/>
    <hyperlink ref="O28" r:id="rId13"/>
    <hyperlink ref="O29" r:id="rId14"/>
    <hyperlink ref="O30" r:id="rId15"/>
    <hyperlink ref="O31" r:id="rId16"/>
    <hyperlink ref="O32" r:id="rId17"/>
    <hyperlink ref="O33" r:id="rId18"/>
    <hyperlink ref="O34" r:id="rId19"/>
    <hyperlink ref="O35" r:id="rId20"/>
    <hyperlink ref="O37" r:id="rId21"/>
    <hyperlink ref="O38" r:id="rId22"/>
    <hyperlink ref="O39" r:id="rId23"/>
    <hyperlink ref="O41" r:id="rId24"/>
    <hyperlink ref="O42" r:id="rId25"/>
    <hyperlink ref="O40" r:id="rId26"/>
    <hyperlink ref="O43" r:id="rId27"/>
    <hyperlink ref="O44" r:id="rId28"/>
    <hyperlink ref="O45" r:id="rId29"/>
    <hyperlink ref="O46" r:id="rId30"/>
    <hyperlink ref="O47" r:id="rId31"/>
    <hyperlink ref="O49" r:id="rId32"/>
    <hyperlink ref="O50" r:id="rId33"/>
    <hyperlink ref="O51" r:id="rId34"/>
    <hyperlink ref="O12" r:id="rId35"/>
    <hyperlink ref="O15" r:id="rId36"/>
    <hyperlink ref="O36" r:id="rId37"/>
    <hyperlink ref="O26" r:id="rId38"/>
    <hyperlink ref="O48" r:id="rId39"/>
    <hyperlink ref="O23" r:id="rId40"/>
    <hyperlink ref="O52" r:id="rId41"/>
    <hyperlink ref="O22" r:id="rId42"/>
  </hyperlinks>
  <pageMargins left="0.7" right="0.7" top="0.75" bottom="0.75" header="0.3" footer="0.3"/>
  <pageSetup paperSize="9" orientation="portrait" r:id="rId43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opLeftCell="A10" workbookViewId="0">
      <selection activeCell="P30" sqref="P30"/>
    </sheetView>
  </sheetViews>
  <sheetFormatPr defaultRowHeight="15" x14ac:dyDescent="0.25"/>
  <cols>
    <col min="2" max="2" width="3" bestFit="1" customWidth="1"/>
    <col min="3" max="3" width="9.85546875" bestFit="1" customWidth="1"/>
    <col min="4" max="4" width="31.140625" bestFit="1" customWidth="1"/>
    <col min="5" max="5" width="26.85546875" customWidth="1"/>
    <col min="6" max="6" width="12.5703125" customWidth="1"/>
    <col min="7" max="7" width="25.28515625" bestFit="1" customWidth="1"/>
    <col min="8" max="8" width="15.140625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7.7109375" bestFit="1" customWidth="1"/>
    <col min="16" max="16" width="18.7109375" bestFit="1" customWidth="1"/>
    <col min="17" max="17" width="19.28515625" bestFit="1" customWidth="1"/>
    <col min="19" max="19" width="26.425781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5"/>
      <c r="L1" s="65"/>
      <c r="M1" s="65"/>
      <c r="N1" s="65"/>
      <c r="O1" s="65"/>
      <c r="P1" s="65"/>
      <c r="Q1" s="65"/>
      <c r="R1" s="65"/>
      <c r="S1" s="66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237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238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7"/>
    </row>
    <row r="4" spans="1:19" x14ac:dyDescent="0.25">
      <c r="A4" s="1"/>
      <c r="B4" s="22"/>
      <c r="C4" s="32"/>
      <c r="D4" s="13" t="s">
        <v>2</v>
      </c>
      <c r="E4" s="13"/>
      <c r="F4" s="57" t="s">
        <v>239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8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8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8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8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8"/>
    </row>
    <row r="9" spans="1:19" ht="15.75" thickBot="1" x14ac:dyDescent="0.3">
      <c r="A9" s="1"/>
      <c r="B9" s="30" t="s">
        <v>4</v>
      </c>
      <c r="C9" s="30" t="s">
        <v>8</v>
      </c>
      <c r="D9" s="30" t="s">
        <v>20</v>
      </c>
      <c r="E9" s="30" t="s">
        <v>59</v>
      </c>
      <c r="F9" s="30" t="s">
        <v>98</v>
      </c>
      <c r="G9" s="30" t="s">
        <v>117</v>
      </c>
      <c r="H9" s="30" t="s">
        <v>153</v>
      </c>
      <c r="I9" s="30" t="s">
        <v>240</v>
      </c>
      <c r="J9" s="30" t="s">
        <v>173</v>
      </c>
      <c r="K9" s="60" t="s">
        <v>241</v>
      </c>
      <c r="L9" s="30" t="s">
        <v>236</v>
      </c>
      <c r="M9" s="30" t="s">
        <v>284</v>
      </c>
      <c r="N9" s="30" t="s">
        <v>285</v>
      </c>
      <c r="O9" s="30" t="s">
        <v>244</v>
      </c>
      <c r="P9" s="30" t="s">
        <v>286</v>
      </c>
      <c r="Q9" s="30" t="s">
        <v>287</v>
      </c>
      <c r="R9" s="30" t="s">
        <v>247</v>
      </c>
      <c r="S9" s="30" t="s">
        <v>248</v>
      </c>
    </row>
    <row r="10" spans="1:19" s="77" customFormat="1" ht="24" x14ac:dyDescent="0.25">
      <c r="A10" s="75"/>
      <c r="B10" s="46">
        <f>ROW(B10) - ROW($B$9)</f>
        <v>1</v>
      </c>
      <c r="C10" s="53" t="s">
        <v>9</v>
      </c>
      <c r="D10" s="37" t="s">
        <v>21</v>
      </c>
      <c r="E10" s="37" t="s">
        <v>60</v>
      </c>
      <c r="F10" s="37" t="s">
        <v>99</v>
      </c>
      <c r="G10" s="37" t="s">
        <v>118</v>
      </c>
      <c r="H10" s="37" t="s">
        <v>154</v>
      </c>
      <c r="I10" s="37" t="s">
        <v>249</v>
      </c>
      <c r="J10" s="37" t="s">
        <v>174</v>
      </c>
      <c r="K10" s="37" t="s">
        <v>207</v>
      </c>
      <c r="L10" s="37">
        <v>10</v>
      </c>
      <c r="M10" s="37">
        <f>L10*20</f>
        <v>200</v>
      </c>
      <c r="N10" s="37">
        <v>250</v>
      </c>
      <c r="O10" s="61" t="s">
        <v>251</v>
      </c>
      <c r="P10" s="38">
        <v>1.0999999999999999E-2</v>
      </c>
      <c r="Q10" s="38">
        <f>P10*N10</f>
        <v>2.75</v>
      </c>
      <c r="R10" s="37"/>
      <c r="S10" s="76"/>
    </row>
    <row r="11" spans="1:19" s="77" customFormat="1" ht="36" x14ac:dyDescent="0.25">
      <c r="A11" s="75"/>
      <c r="B11" s="47">
        <f t="shared" ref="B11:B52" si="0">ROW(B11) - ROW($B$9)</f>
        <v>2</v>
      </c>
      <c r="C11" s="54" t="s">
        <v>9</v>
      </c>
      <c r="D11" s="51" t="s">
        <v>22</v>
      </c>
      <c r="E11" s="51" t="s">
        <v>61</v>
      </c>
      <c r="F11" s="51" t="s">
        <v>252</v>
      </c>
      <c r="G11" s="51" t="s">
        <v>100</v>
      </c>
      <c r="H11" s="51" t="s">
        <v>155</v>
      </c>
      <c r="I11" s="51" t="s">
        <v>249</v>
      </c>
      <c r="J11" s="51" t="s">
        <v>175</v>
      </c>
      <c r="K11" s="51" t="s">
        <v>208</v>
      </c>
      <c r="L11" s="51">
        <v>1</v>
      </c>
      <c r="M11" s="37">
        <f t="shared" ref="M11:M52" si="1">L11*20</f>
        <v>20</v>
      </c>
      <c r="N11" s="51">
        <v>30</v>
      </c>
      <c r="O11" s="61" t="s">
        <v>251</v>
      </c>
      <c r="P11" s="52">
        <v>1.7399999999999999E-2</v>
      </c>
      <c r="Q11" s="52">
        <f t="shared" ref="Q11" si="2">P11*N11</f>
        <v>0.52200000000000002</v>
      </c>
      <c r="R11" s="51"/>
      <c r="S11" s="51"/>
    </row>
    <row r="12" spans="1:19" s="77" customFormat="1" x14ac:dyDescent="0.25">
      <c r="A12" s="75"/>
      <c r="B12" s="46">
        <f>ROW(B12) - ROW($B$9)</f>
        <v>3</v>
      </c>
      <c r="C12" s="54" t="s">
        <v>9</v>
      </c>
      <c r="D12" s="37" t="s">
        <v>23</v>
      </c>
      <c r="E12" s="37" t="s">
        <v>62</v>
      </c>
      <c r="F12" s="37" t="s">
        <v>101</v>
      </c>
      <c r="G12" s="62" t="s">
        <v>119</v>
      </c>
      <c r="H12" s="37" t="s">
        <v>154</v>
      </c>
      <c r="I12" s="37" t="s">
        <v>254</v>
      </c>
      <c r="J12" s="37" t="s">
        <v>257</v>
      </c>
      <c r="K12" s="37" t="s">
        <v>209</v>
      </c>
      <c r="L12" s="37">
        <v>3</v>
      </c>
      <c r="M12" s="37">
        <f t="shared" si="1"/>
        <v>60</v>
      </c>
      <c r="N12" s="37">
        <v>100</v>
      </c>
      <c r="O12" s="61" t="s">
        <v>251</v>
      </c>
      <c r="P12" s="38">
        <v>1.2E-2</v>
      </c>
      <c r="Q12" s="38">
        <f>P12*N12</f>
        <v>1.2</v>
      </c>
      <c r="R12" s="37"/>
      <c r="S12" s="59"/>
    </row>
    <row r="13" spans="1:19" s="77" customFormat="1" x14ac:dyDescent="0.25">
      <c r="A13" s="75"/>
      <c r="B13" s="47">
        <f t="shared" si="0"/>
        <v>4</v>
      </c>
      <c r="C13" s="54" t="s">
        <v>9</v>
      </c>
      <c r="D13" s="51" t="s">
        <v>24</v>
      </c>
      <c r="E13" s="51" t="s">
        <v>63</v>
      </c>
      <c r="F13" s="51" t="s">
        <v>102</v>
      </c>
      <c r="G13" s="51" t="s">
        <v>120</v>
      </c>
      <c r="H13" s="51" t="s">
        <v>156</v>
      </c>
      <c r="I13" s="51" t="s">
        <v>249</v>
      </c>
      <c r="J13" s="51" t="s">
        <v>176</v>
      </c>
      <c r="K13" s="51" t="s">
        <v>210</v>
      </c>
      <c r="L13" s="51">
        <v>1</v>
      </c>
      <c r="M13" s="37">
        <f t="shared" si="1"/>
        <v>20</v>
      </c>
      <c r="N13" s="51">
        <v>21</v>
      </c>
      <c r="O13" s="61" t="s">
        <v>251</v>
      </c>
      <c r="P13" s="52">
        <v>1.0437000000000001</v>
      </c>
      <c r="Q13" s="52">
        <f t="shared" ref="Q13" si="3">P13*N13</f>
        <v>21.9177</v>
      </c>
      <c r="R13" s="51"/>
      <c r="S13" s="59"/>
    </row>
    <row r="14" spans="1:19" s="77" customFormat="1" x14ac:dyDescent="0.25">
      <c r="A14" s="75"/>
      <c r="B14" s="46">
        <f>ROW(B14) - ROW($B$9)</f>
        <v>5</v>
      </c>
      <c r="C14" s="53" t="s">
        <v>9</v>
      </c>
      <c r="D14" s="37" t="s">
        <v>25</v>
      </c>
      <c r="E14" s="37" t="s">
        <v>64</v>
      </c>
      <c r="F14" s="37" t="s">
        <v>99</v>
      </c>
      <c r="G14" s="37" t="s">
        <v>121</v>
      </c>
      <c r="H14" s="37" t="s">
        <v>157</v>
      </c>
      <c r="I14" s="37" t="s">
        <v>249</v>
      </c>
      <c r="J14" s="37" t="s">
        <v>177</v>
      </c>
      <c r="K14" s="37" t="s">
        <v>211</v>
      </c>
      <c r="L14" s="37">
        <v>1</v>
      </c>
      <c r="M14" s="37">
        <f t="shared" si="1"/>
        <v>20</v>
      </c>
      <c r="N14" s="37">
        <v>100</v>
      </c>
      <c r="O14" s="61" t="s">
        <v>251</v>
      </c>
      <c r="P14" s="38">
        <v>2.5000000000000001E-3</v>
      </c>
      <c r="Q14" s="38">
        <f>P14*N14</f>
        <v>0.25</v>
      </c>
      <c r="R14" s="37"/>
      <c r="S14" s="59"/>
    </row>
    <row r="15" spans="1:19" s="77" customFormat="1" x14ac:dyDescent="0.25">
      <c r="A15" s="75"/>
      <c r="B15" s="47">
        <f t="shared" si="0"/>
        <v>6</v>
      </c>
      <c r="C15" s="54" t="s">
        <v>9</v>
      </c>
      <c r="D15" s="51" t="s">
        <v>26</v>
      </c>
      <c r="E15" s="51" t="s">
        <v>65</v>
      </c>
      <c r="F15" s="51" t="s">
        <v>99</v>
      </c>
      <c r="G15" s="62" t="s">
        <v>122</v>
      </c>
      <c r="H15" s="51" t="s">
        <v>157</v>
      </c>
      <c r="I15" s="51" t="s">
        <v>255</v>
      </c>
      <c r="J15" s="51" t="s">
        <v>256</v>
      </c>
      <c r="K15" s="51" t="s">
        <v>212</v>
      </c>
      <c r="L15" s="51">
        <v>3</v>
      </c>
      <c r="M15" s="37">
        <f t="shared" si="1"/>
        <v>60</v>
      </c>
      <c r="N15" s="51">
        <v>100</v>
      </c>
      <c r="O15" s="61" t="s">
        <v>251</v>
      </c>
      <c r="P15" s="52">
        <v>1.9E-3</v>
      </c>
      <c r="Q15" s="52">
        <f t="shared" ref="Q15" si="4">P15*N15</f>
        <v>0.19</v>
      </c>
      <c r="R15" s="51"/>
      <c r="S15" s="59"/>
    </row>
    <row r="16" spans="1:19" s="77" customFormat="1" x14ac:dyDescent="0.25">
      <c r="A16" s="75"/>
      <c r="B16" s="46">
        <f>ROW(B16) - ROW($B$9)</f>
        <v>7</v>
      </c>
      <c r="C16" s="53" t="s">
        <v>9</v>
      </c>
      <c r="D16" s="37" t="s">
        <v>27</v>
      </c>
      <c r="E16" s="37" t="s">
        <v>66</v>
      </c>
      <c r="F16" s="37" t="s">
        <v>101</v>
      </c>
      <c r="G16" s="37" t="s">
        <v>123</v>
      </c>
      <c r="H16" s="37" t="s">
        <v>158</v>
      </c>
      <c r="I16" s="37" t="s">
        <v>249</v>
      </c>
      <c r="J16" s="37" t="s">
        <v>178</v>
      </c>
      <c r="K16" s="37" t="s">
        <v>213</v>
      </c>
      <c r="L16" s="37">
        <v>1</v>
      </c>
      <c r="M16" s="37">
        <f t="shared" si="1"/>
        <v>20</v>
      </c>
      <c r="N16" s="37">
        <v>21</v>
      </c>
      <c r="O16" s="61" t="s">
        <v>251</v>
      </c>
      <c r="P16" s="38">
        <v>0.75260000000000005</v>
      </c>
      <c r="Q16" s="38">
        <f>P16*N16</f>
        <v>15.804600000000001</v>
      </c>
      <c r="R16" s="37"/>
      <c r="S16" s="59"/>
    </row>
    <row r="17" spans="1:19" s="77" customFormat="1" x14ac:dyDescent="0.25">
      <c r="A17" s="75"/>
      <c r="B17" s="47">
        <f t="shared" si="0"/>
        <v>8</v>
      </c>
      <c r="C17" s="54" t="s">
        <v>9</v>
      </c>
      <c r="D17" s="51" t="s">
        <v>28</v>
      </c>
      <c r="E17" s="51" t="s">
        <v>67</v>
      </c>
      <c r="F17" s="51" t="s">
        <v>101</v>
      </c>
      <c r="G17" s="51" t="s">
        <v>124</v>
      </c>
      <c r="H17" s="51" t="s">
        <v>159</v>
      </c>
      <c r="I17" s="51" t="s">
        <v>249</v>
      </c>
      <c r="J17" s="51" t="s">
        <v>179</v>
      </c>
      <c r="K17" s="51" t="s">
        <v>214</v>
      </c>
      <c r="L17" s="51">
        <v>2</v>
      </c>
      <c r="M17" s="37">
        <f t="shared" si="1"/>
        <v>40</v>
      </c>
      <c r="N17" s="51">
        <v>100</v>
      </c>
      <c r="O17" s="61" t="s">
        <v>251</v>
      </c>
      <c r="P17" s="52">
        <v>2.8E-3</v>
      </c>
      <c r="Q17" s="52">
        <f t="shared" ref="Q17" si="5">P17*N17</f>
        <v>0.27999999999999997</v>
      </c>
      <c r="R17" s="51"/>
      <c r="S17" s="59"/>
    </row>
    <row r="18" spans="1:19" s="77" customFormat="1" x14ac:dyDescent="0.25">
      <c r="A18" s="75"/>
      <c r="B18" s="46">
        <f>ROW(B18) - ROW($B$9)</f>
        <v>9</v>
      </c>
      <c r="C18" s="53" t="s">
        <v>9</v>
      </c>
      <c r="D18" s="37" t="s">
        <v>29</v>
      </c>
      <c r="E18" s="37" t="s">
        <v>68</v>
      </c>
      <c r="F18" s="37" t="s">
        <v>101</v>
      </c>
      <c r="G18" s="37" t="s">
        <v>125</v>
      </c>
      <c r="H18" s="37" t="s">
        <v>157</v>
      </c>
      <c r="I18" s="37" t="s">
        <v>249</v>
      </c>
      <c r="J18" s="37" t="s">
        <v>180</v>
      </c>
      <c r="K18" s="37" t="s">
        <v>215</v>
      </c>
      <c r="L18" s="37">
        <v>2</v>
      </c>
      <c r="M18" s="37">
        <f t="shared" si="1"/>
        <v>40</v>
      </c>
      <c r="N18" s="37">
        <v>100</v>
      </c>
      <c r="O18" s="61" t="s">
        <v>251</v>
      </c>
      <c r="P18" s="38">
        <v>6.8999999999999999E-3</v>
      </c>
      <c r="Q18" s="38">
        <f>P18*N18</f>
        <v>0.69</v>
      </c>
      <c r="R18" s="37"/>
      <c r="S18" s="59"/>
    </row>
    <row r="19" spans="1:19" s="77" customFormat="1" x14ac:dyDescent="0.25">
      <c r="A19" s="75"/>
      <c r="B19" s="47">
        <f t="shared" si="0"/>
        <v>10</v>
      </c>
      <c r="C19" s="53" t="s">
        <v>9</v>
      </c>
      <c r="D19" s="51" t="s">
        <v>30</v>
      </c>
      <c r="E19" s="51" t="s">
        <v>69</v>
      </c>
      <c r="F19" s="51" t="s">
        <v>101</v>
      </c>
      <c r="G19" s="51" t="s">
        <v>126</v>
      </c>
      <c r="H19" s="51" t="s">
        <v>158</v>
      </c>
      <c r="I19" s="51" t="s">
        <v>249</v>
      </c>
      <c r="J19" s="51" t="s">
        <v>181</v>
      </c>
      <c r="K19" s="51" t="s">
        <v>216</v>
      </c>
      <c r="L19" s="51">
        <v>1</v>
      </c>
      <c r="M19" s="37">
        <f t="shared" si="1"/>
        <v>20</v>
      </c>
      <c r="N19" s="51">
        <v>30</v>
      </c>
      <c r="O19" s="61" t="s">
        <v>251</v>
      </c>
      <c r="P19" s="52">
        <v>4.1700000000000001E-2</v>
      </c>
      <c r="Q19" s="52">
        <f t="shared" ref="Q19" si="6">P19*N19</f>
        <v>1.2510000000000001</v>
      </c>
      <c r="R19" s="51"/>
      <c r="S19" s="59"/>
    </row>
    <row r="20" spans="1:19" s="77" customFormat="1" ht="24" x14ac:dyDescent="0.25">
      <c r="A20" s="75"/>
      <c r="B20" s="46">
        <f>ROW(B20) - ROW($B$9)</f>
        <v>11</v>
      </c>
      <c r="C20" s="53" t="s">
        <v>10</v>
      </c>
      <c r="D20" s="37" t="s">
        <v>31</v>
      </c>
      <c r="E20" s="37" t="s">
        <v>70</v>
      </c>
      <c r="F20" s="37" t="s">
        <v>103</v>
      </c>
      <c r="G20" s="37" t="s">
        <v>127</v>
      </c>
      <c r="H20" s="37" t="s">
        <v>160</v>
      </c>
      <c r="I20" s="37" t="s">
        <v>249</v>
      </c>
      <c r="J20" s="37" t="s">
        <v>182</v>
      </c>
      <c r="K20" s="37" t="s">
        <v>249</v>
      </c>
      <c r="L20" s="37">
        <v>1</v>
      </c>
      <c r="M20" s="37">
        <f t="shared" si="1"/>
        <v>20</v>
      </c>
      <c r="N20" s="37">
        <v>30</v>
      </c>
      <c r="O20" s="61" t="s">
        <v>251</v>
      </c>
      <c r="P20" s="38">
        <v>4.6899999999999997E-2</v>
      </c>
      <c r="Q20" s="38">
        <f>P20*N20</f>
        <v>1.407</v>
      </c>
      <c r="R20" s="37"/>
      <c r="S20" s="59"/>
    </row>
    <row r="21" spans="1:19" s="77" customFormat="1" x14ac:dyDescent="0.25">
      <c r="A21" s="75"/>
      <c r="B21" s="47">
        <f t="shared" si="0"/>
        <v>12</v>
      </c>
      <c r="C21" s="54" t="s">
        <v>10</v>
      </c>
      <c r="D21" s="51" t="s">
        <v>32</v>
      </c>
      <c r="E21" s="51" t="s">
        <v>71</v>
      </c>
      <c r="F21" s="51" t="s">
        <v>104</v>
      </c>
      <c r="G21" s="51" t="s">
        <v>128</v>
      </c>
      <c r="H21" s="51" t="s">
        <v>161</v>
      </c>
      <c r="I21" s="51" t="s">
        <v>249</v>
      </c>
      <c r="J21" s="51" t="s">
        <v>183</v>
      </c>
      <c r="K21" s="51" t="s">
        <v>249</v>
      </c>
      <c r="L21" s="51">
        <v>1</v>
      </c>
      <c r="M21" s="37">
        <f t="shared" si="1"/>
        <v>20</v>
      </c>
      <c r="N21" s="51">
        <v>25</v>
      </c>
      <c r="O21" s="61" t="s">
        <v>251</v>
      </c>
      <c r="P21" s="52">
        <v>4.5600000000000002E-2</v>
      </c>
      <c r="Q21" s="52">
        <f t="shared" ref="Q21:Q22" si="7">P21*N21</f>
        <v>1.1400000000000001</v>
      </c>
      <c r="R21" s="51"/>
      <c r="S21" s="59"/>
    </row>
    <row r="22" spans="1:19" s="84" customFormat="1" x14ac:dyDescent="0.25">
      <c r="A22" s="78"/>
      <c r="B22" s="85">
        <f t="shared" si="0"/>
        <v>13</v>
      </c>
      <c r="C22" s="79" t="s">
        <v>18</v>
      </c>
      <c r="D22" s="80" t="s">
        <v>280</v>
      </c>
      <c r="E22" s="80" t="s">
        <v>281</v>
      </c>
      <c r="F22" s="80" t="s">
        <v>109</v>
      </c>
      <c r="G22" s="80" t="s">
        <v>282</v>
      </c>
      <c r="H22" s="80" t="s">
        <v>171</v>
      </c>
      <c r="I22" s="37" t="s">
        <v>249</v>
      </c>
      <c r="J22" s="80" t="s">
        <v>283</v>
      </c>
      <c r="K22" s="80" t="s">
        <v>249</v>
      </c>
      <c r="L22" s="80">
        <v>2</v>
      </c>
      <c r="M22" s="80">
        <f t="shared" si="1"/>
        <v>40</v>
      </c>
      <c r="N22" s="80">
        <v>45</v>
      </c>
      <c r="O22" s="81" t="s">
        <v>251</v>
      </c>
      <c r="P22" s="82">
        <v>0.13789999999999999</v>
      </c>
      <c r="Q22" s="86">
        <f t="shared" si="7"/>
        <v>6.2054999999999998</v>
      </c>
      <c r="R22" s="80"/>
      <c r="S22" s="83"/>
    </row>
    <row r="23" spans="1:19" s="77" customFormat="1" ht="36" x14ac:dyDescent="0.25">
      <c r="A23" s="75"/>
      <c r="B23" s="46">
        <f>ROW(B23) - ROW($B$9)</f>
        <v>14</v>
      </c>
      <c r="C23" s="53" t="s">
        <v>11</v>
      </c>
      <c r="D23" s="37" t="s">
        <v>33</v>
      </c>
      <c r="E23" s="37" t="s">
        <v>271</v>
      </c>
      <c r="F23" s="37" t="s">
        <v>105</v>
      </c>
      <c r="G23" s="37" t="s">
        <v>272</v>
      </c>
      <c r="H23" s="37" t="s">
        <v>273</v>
      </c>
      <c r="I23" s="37" t="s">
        <v>249</v>
      </c>
      <c r="J23" s="37" t="s">
        <v>274</v>
      </c>
      <c r="K23" s="37" t="s">
        <v>249</v>
      </c>
      <c r="L23" s="37">
        <v>1</v>
      </c>
      <c r="M23" s="37">
        <f t="shared" si="1"/>
        <v>20</v>
      </c>
      <c r="N23" s="37">
        <v>25</v>
      </c>
      <c r="O23" s="61" t="s">
        <v>251</v>
      </c>
      <c r="P23" s="38">
        <v>9.2999999999999999E-2</v>
      </c>
      <c r="Q23" s="38">
        <f>P23*N23</f>
        <v>2.3250000000000002</v>
      </c>
      <c r="R23" s="37"/>
      <c r="S23" s="59"/>
    </row>
    <row r="24" spans="1:19" s="77" customFormat="1" ht="25.5" x14ac:dyDescent="0.25">
      <c r="A24" s="75"/>
      <c r="B24" s="47">
        <f t="shared" si="0"/>
        <v>15</v>
      </c>
      <c r="C24" s="54" t="s">
        <v>12</v>
      </c>
      <c r="D24" s="51" t="s">
        <v>34</v>
      </c>
      <c r="E24" s="51" t="s">
        <v>72</v>
      </c>
      <c r="F24" s="51" t="s">
        <v>106</v>
      </c>
      <c r="G24" s="51" t="s">
        <v>129</v>
      </c>
      <c r="H24" s="51" t="s">
        <v>162</v>
      </c>
      <c r="I24" s="51" t="s">
        <v>249</v>
      </c>
      <c r="J24" s="51" t="s">
        <v>184</v>
      </c>
      <c r="K24" s="51" t="s">
        <v>249</v>
      </c>
      <c r="L24" s="51">
        <v>2</v>
      </c>
      <c r="M24" s="37">
        <f t="shared" si="1"/>
        <v>40</v>
      </c>
      <c r="N24" s="51">
        <v>45</v>
      </c>
      <c r="O24" s="61" t="s">
        <v>251</v>
      </c>
      <c r="P24" s="52">
        <v>0.14219999999999999</v>
      </c>
      <c r="Q24" s="52">
        <f t="shared" ref="Q24" si="8">P24*N24</f>
        <v>6.399</v>
      </c>
      <c r="R24" s="51"/>
      <c r="S24" s="59"/>
    </row>
    <row r="25" spans="1:19" s="77" customFormat="1" ht="25.5" x14ac:dyDescent="0.25">
      <c r="A25" s="75"/>
      <c r="B25" s="46">
        <f>ROW(B25) - ROW($B$9)</f>
        <v>16</v>
      </c>
      <c r="C25" s="53" t="s">
        <v>250</v>
      </c>
      <c r="D25" s="62" t="s">
        <v>35</v>
      </c>
      <c r="E25" s="62" t="s">
        <v>73</v>
      </c>
      <c r="F25" s="63" t="s">
        <v>252</v>
      </c>
      <c r="G25" s="62" t="s">
        <v>107</v>
      </c>
      <c r="H25" s="62" t="s">
        <v>249</v>
      </c>
      <c r="I25" s="62" t="s">
        <v>249</v>
      </c>
      <c r="J25" s="62" t="s">
        <v>249</v>
      </c>
      <c r="K25" s="62" t="s">
        <v>249</v>
      </c>
      <c r="L25" s="62">
        <v>1</v>
      </c>
      <c r="M25" s="62">
        <f t="shared" si="1"/>
        <v>20</v>
      </c>
      <c r="N25" s="62" t="s">
        <v>249</v>
      </c>
      <c r="O25" s="62" t="s">
        <v>249</v>
      </c>
      <c r="P25" s="64" t="s">
        <v>249</v>
      </c>
      <c r="Q25" s="64" t="s">
        <v>249</v>
      </c>
      <c r="R25" s="37"/>
      <c r="S25" s="59"/>
    </row>
    <row r="26" spans="1:19" s="77" customFormat="1" ht="25.5" x14ac:dyDescent="0.25">
      <c r="A26" s="75"/>
      <c r="B26" s="47">
        <f t="shared" si="0"/>
        <v>17</v>
      </c>
      <c r="C26" s="54" t="s">
        <v>13</v>
      </c>
      <c r="D26" s="51" t="s">
        <v>36</v>
      </c>
      <c r="E26" s="51" t="s">
        <v>260</v>
      </c>
      <c r="F26" s="51" t="s">
        <v>252</v>
      </c>
      <c r="G26" s="51" t="s">
        <v>261</v>
      </c>
      <c r="H26" s="51" t="s">
        <v>262</v>
      </c>
      <c r="I26" s="37" t="s">
        <v>249</v>
      </c>
      <c r="J26" s="51" t="s">
        <v>249</v>
      </c>
      <c r="K26" s="51" t="s">
        <v>249</v>
      </c>
      <c r="L26" s="51">
        <v>1</v>
      </c>
      <c r="M26" s="37">
        <f t="shared" si="1"/>
        <v>20</v>
      </c>
      <c r="N26" s="51">
        <v>21</v>
      </c>
      <c r="O26" s="61" t="s">
        <v>264</v>
      </c>
      <c r="P26" s="52">
        <v>3.32</v>
      </c>
      <c r="Q26" s="52">
        <f t="shared" ref="Q26" si="9">P26*N26</f>
        <v>69.72</v>
      </c>
      <c r="R26" s="51"/>
      <c r="S26" s="59"/>
    </row>
    <row r="27" spans="1:19" s="77" customFormat="1" ht="24" x14ac:dyDescent="0.25">
      <c r="A27" s="75"/>
      <c r="B27" s="46">
        <f>ROW(B27) - ROW($B$9)</f>
        <v>18</v>
      </c>
      <c r="C27" s="53" t="s">
        <v>14</v>
      </c>
      <c r="D27" s="37" t="s">
        <v>37</v>
      </c>
      <c r="E27" s="37" t="s">
        <v>74</v>
      </c>
      <c r="F27" s="51" t="s">
        <v>252</v>
      </c>
      <c r="G27" s="37" t="s">
        <v>130</v>
      </c>
      <c r="H27" s="37" t="s">
        <v>163</v>
      </c>
      <c r="I27" s="51" t="s">
        <v>249</v>
      </c>
      <c r="J27" s="37" t="s">
        <v>185</v>
      </c>
      <c r="K27" s="37" t="s">
        <v>217</v>
      </c>
      <c r="L27" s="37">
        <v>1</v>
      </c>
      <c r="M27" s="37">
        <f t="shared" si="1"/>
        <v>20</v>
      </c>
      <c r="N27" s="37">
        <v>21</v>
      </c>
      <c r="O27" s="61" t="s">
        <v>251</v>
      </c>
      <c r="P27" s="38">
        <v>0.75409999999999999</v>
      </c>
      <c r="Q27" s="38">
        <f>P27*N27</f>
        <v>15.8361</v>
      </c>
      <c r="R27" s="37"/>
      <c r="S27" s="59"/>
    </row>
    <row r="28" spans="1:19" s="77" customFormat="1" ht="48" x14ac:dyDescent="0.25">
      <c r="A28" s="75"/>
      <c r="B28" s="47">
        <f t="shared" si="0"/>
        <v>19</v>
      </c>
      <c r="C28" s="54" t="s">
        <v>15</v>
      </c>
      <c r="D28" s="51" t="s">
        <v>38</v>
      </c>
      <c r="E28" s="51" t="s">
        <v>75</v>
      </c>
      <c r="F28" s="51" t="s">
        <v>108</v>
      </c>
      <c r="G28" s="51" t="s">
        <v>131</v>
      </c>
      <c r="H28" s="51" t="s">
        <v>164</v>
      </c>
      <c r="I28" s="37" t="s">
        <v>249</v>
      </c>
      <c r="J28" s="51" t="s">
        <v>186</v>
      </c>
      <c r="K28" s="37" t="s">
        <v>249</v>
      </c>
      <c r="L28" s="51">
        <v>1</v>
      </c>
      <c r="M28" s="37">
        <f t="shared" si="1"/>
        <v>20</v>
      </c>
      <c r="N28" s="51">
        <v>40</v>
      </c>
      <c r="O28" s="61" t="s">
        <v>251</v>
      </c>
      <c r="P28" s="52">
        <v>3.3500000000000002E-2</v>
      </c>
      <c r="Q28" s="52">
        <f t="shared" ref="Q28" si="10">P28*N28</f>
        <v>1.34</v>
      </c>
      <c r="R28" s="51"/>
      <c r="S28" s="59"/>
    </row>
    <row r="29" spans="1:19" s="77" customFormat="1" ht="36" x14ac:dyDescent="0.25">
      <c r="A29" s="75"/>
      <c r="B29" s="46">
        <f>ROW(B29) - ROW($B$9)</f>
        <v>20</v>
      </c>
      <c r="C29" s="54" t="s">
        <v>15</v>
      </c>
      <c r="D29" s="37" t="s">
        <v>39</v>
      </c>
      <c r="E29" s="37" t="s">
        <v>76</v>
      </c>
      <c r="F29" s="37" t="s">
        <v>109</v>
      </c>
      <c r="G29" s="37" t="s">
        <v>132</v>
      </c>
      <c r="H29" s="37" t="s">
        <v>165</v>
      </c>
      <c r="I29" s="51" t="s">
        <v>249</v>
      </c>
      <c r="J29" s="37" t="s">
        <v>253</v>
      </c>
      <c r="K29" s="51" t="s">
        <v>249</v>
      </c>
      <c r="L29" s="37">
        <v>1</v>
      </c>
      <c r="M29" s="37">
        <f t="shared" si="1"/>
        <v>20</v>
      </c>
      <c r="N29" s="37">
        <v>25</v>
      </c>
      <c r="O29" s="61" t="s">
        <v>251</v>
      </c>
      <c r="P29" s="38">
        <v>0.3271</v>
      </c>
      <c r="Q29" s="38">
        <f>P29*N29</f>
        <v>8.1775000000000002</v>
      </c>
      <c r="R29" s="37"/>
      <c r="S29" s="59"/>
    </row>
    <row r="30" spans="1:19" s="77" customFormat="1" ht="48" x14ac:dyDescent="0.25">
      <c r="A30" s="75"/>
      <c r="B30" s="47">
        <f t="shared" si="0"/>
        <v>21</v>
      </c>
      <c r="C30" s="54" t="s">
        <v>16</v>
      </c>
      <c r="D30" s="51" t="s">
        <v>40</v>
      </c>
      <c r="E30" s="51" t="s">
        <v>77</v>
      </c>
      <c r="F30" s="51" t="s">
        <v>110</v>
      </c>
      <c r="G30" s="51" t="s">
        <v>133</v>
      </c>
      <c r="H30" s="51" t="s">
        <v>166</v>
      </c>
      <c r="I30" s="37" t="s">
        <v>249</v>
      </c>
      <c r="J30" s="51" t="s">
        <v>187</v>
      </c>
      <c r="K30" s="51" t="s">
        <v>218</v>
      </c>
      <c r="L30" s="51">
        <v>1</v>
      </c>
      <c r="M30" s="37">
        <f t="shared" si="1"/>
        <v>20</v>
      </c>
      <c r="N30" s="51">
        <v>100</v>
      </c>
      <c r="O30" s="61" t="s">
        <v>251</v>
      </c>
      <c r="P30" s="52">
        <v>1.8E-3</v>
      </c>
      <c r="Q30" s="52">
        <f t="shared" ref="Q30" si="11">P30*N30</f>
        <v>0.18</v>
      </c>
      <c r="R30" s="51"/>
      <c r="S30" s="59"/>
    </row>
    <row r="31" spans="1:19" s="77" customFormat="1" x14ac:dyDescent="0.25">
      <c r="A31" s="75"/>
      <c r="B31" s="46">
        <f>ROW(B31) - ROW($B$9)</f>
        <v>22</v>
      </c>
      <c r="C31" s="53" t="s">
        <v>16</v>
      </c>
      <c r="D31" s="37" t="s">
        <v>41</v>
      </c>
      <c r="E31" s="37" t="s">
        <v>78</v>
      </c>
      <c r="F31" s="37" t="s">
        <v>110</v>
      </c>
      <c r="G31" s="37" t="s">
        <v>134</v>
      </c>
      <c r="H31" s="37" t="s">
        <v>157</v>
      </c>
      <c r="I31" s="51" t="s">
        <v>249</v>
      </c>
      <c r="J31" s="37" t="s">
        <v>188</v>
      </c>
      <c r="K31" s="37" t="s">
        <v>219</v>
      </c>
      <c r="L31" s="37">
        <v>1</v>
      </c>
      <c r="M31" s="37">
        <f t="shared" si="1"/>
        <v>20</v>
      </c>
      <c r="N31" s="37">
        <v>50</v>
      </c>
      <c r="O31" s="61" t="s">
        <v>251</v>
      </c>
      <c r="P31" s="38">
        <v>5.4999999999999997E-3</v>
      </c>
      <c r="Q31" s="38">
        <f>P31*N31</f>
        <v>0.27499999999999997</v>
      </c>
      <c r="R31" s="37"/>
      <c r="S31" s="59"/>
    </row>
    <row r="32" spans="1:19" s="77" customFormat="1" x14ac:dyDescent="0.25">
      <c r="A32" s="75"/>
      <c r="B32" s="47">
        <f t="shared" si="0"/>
        <v>23</v>
      </c>
      <c r="C32" s="54" t="s">
        <v>16</v>
      </c>
      <c r="D32" s="51" t="s">
        <v>275</v>
      </c>
      <c r="E32" s="51" t="s">
        <v>79</v>
      </c>
      <c r="F32" s="51" t="s">
        <v>111</v>
      </c>
      <c r="G32" s="51" t="s">
        <v>135</v>
      </c>
      <c r="H32" s="51" t="s">
        <v>157</v>
      </c>
      <c r="I32" s="37" t="s">
        <v>249</v>
      </c>
      <c r="J32" s="51" t="s">
        <v>189</v>
      </c>
      <c r="K32" s="51" t="s">
        <v>220</v>
      </c>
      <c r="L32" s="51">
        <v>2</v>
      </c>
      <c r="M32" s="37">
        <f t="shared" si="1"/>
        <v>40</v>
      </c>
      <c r="N32" s="51">
        <v>100</v>
      </c>
      <c r="O32" s="61" t="s">
        <v>251</v>
      </c>
      <c r="P32" s="52">
        <v>6.9999999999999999E-4</v>
      </c>
      <c r="Q32" s="52">
        <f t="shared" ref="Q32" si="12">P32*N32</f>
        <v>6.9999999999999993E-2</v>
      </c>
      <c r="R32" s="51"/>
      <c r="S32" s="59"/>
    </row>
    <row r="33" spans="1:19" s="77" customFormat="1" x14ac:dyDescent="0.25">
      <c r="A33" s="75"/>
      <c r="B33" s="46">
        <f>ROW(B33) - ROW($B$9)</f>
        <v>24</v>
      </c>
      <c r="C33" s="53" t="s">
        <v>16</v>
      </c>
      <c r="D33" s="37" t="s">
        <v>42</v>
      </c>
      <c r="E33" s="37" t="s">
        <v>80</v>
      </c>
      <c r="F33" s="37" t="s">
        <v>112</v>
      </c>
      <c r="G33" s="37" t="s">
        <v>136</v>
      </c>
      <c r="H33" s="37" t="s">
        <v>157</v>
      </c>
      <c r="I33" s="37" t="s">
        <v>249</v>
      </c>
      <c r="J33" s="37" t="s">
        <v>190</v>
      </c>
      <c r="K33" s="37" t="s">
        <v>221</v>
      </c>
      <c r="L33" s="37">
        <v>1</v>
      </c>
      <c r="M33" s="37">
        <f t="shared" si="1"/>
        <v>20</v>
      </c>
      <c r="N33" s="37">
        <v>25</v>
      </c>
      <c r="O33" s="61" t="s">
        <v>251</v>
      </c>
      <c r="P33" s="38">
        <v>8.5000000000000006E-2</v>
      </c>
      <c r="Q33" s="38">
        <f>P33*N33</f>
        <v>2.125</v>
      </c>
      <c r="R33" s="37"/>
      <c r="S33" s="59"/>
    </row>
    <row r="34" spans="1:19" s="77" customFormat="1" x14ac:dyDescent="0.25">
      <c r="A34" s="75"/>
      <c r="B34" s="47">
        <f t="shared" si="0"/>
        <v>25</v>
      </c>
      <c r="C34" s="54" t="s">
        <v>16</v>
      </c>
      <c r="D34" s="51" t="s">
        <v>43</v>
      </c>
      <c r="E34" s="51" t="s">
        <v>81</v>
      </c>
      <c r="F34" s="51" t="s">
        <v>110</v>
      </c>
      <c r="G34" s="51" t="s">
        <v>137</v>
      </c>
      <c r="H34" s="51" t="s">
        <v>157</v>
      </c>
      <c r="I34" s="51" t="s">
        <v>249</v>
      </c>
      <c r="J34" s="51" t="s">
        <v>191</v>
      </c>
      <c r="K34" s="51" t="s">
        <v>222</v>
      </c>
      <c r="L34" s="51">
        <v>1</v>
      </c>
      <c r="M34" s="37">
        <f t="shared" si="1"/>
        <v>20</v>
      </c>
      <c r="N34" s="51">
        <v>100</v>
      </c>
      <c r="O34" s="61" t="s">
        <v>251</v>
      </c>
      <c r="P34" s="52">
        <v>6.9999999999999999E-4</v>
      </c>
      <c r="Q34" s="52">
        <f t="shared" ref="Q34" si="13">P34*N34</f>
        <v>6.9999999999999993E-2</v>
      </c>
      <c r="R34" s="51"/>
      <c r="S34" s="59"/>
    </row>
    <row r="35" spans="1:19" s="77" customFormat="1" ht="24" x14ac:dyDescent="0.25">
      <c r="A35" s="75"/>
      <c r="B35" s="46">
        <f>ROW(B35) - ROW($B$9)</f>
        <v>26</v>
      </c>
      <c r="C35" s="53" t="s">
        <v>16</v>
      </c>
      <c r="D35" s="37" t="s">
        <v>44</v>
      </c>
      <c r="E35" s="37" t="s">
        <v>82</v>
      </c>
      <c r="F35" s="37" t="s">
        <v>110</v>
      </c>
      <c r="G35" s="37" t="s">
        <v>138</v>
      </c>
      <c r="H35" s="37" t="s">
        <v>166</v>
      </c>
      <c r="I35" s="37" t="s">
        <v>249</v>
      </c>
      <c r="J35" s="37" t="s">
        <v>192</v>
      </c>
      <c r="K35" s="37" t="s">
        <v>223</v>
      </c>
      <c r="L35" s="37">
        <v>1</v>
      </c>
      <c r="M35" s="37">
        <f t="shared" si="1"/>
        <v>20</v>
      </c>
      <c r="N35" s="37">
        <v>100</v>
      </c>
      <c r="O35" s="61" t="s">
        <v>251</v>
      </c>
      <c r="P35" s="38">
        <v>1E-3</v>
      </c>
      <c r="Q35" s="38">
        <f>P35*N35</f>
        <v>0.1</v>
      </c>
      <c r="R35" s="37"/>
      <c r="S35" s="59"/>
    </row>
    <row r="36" spans="1:19" s="77" customFormat="1" x14ac:dyDescent="0.25">
      <c r="A36" s="75"/>
      <c r="B36" s="47">
        <f t="shared" si="0"/>
        <v>27</v>
      </c>
      <c r="C36" s="53" t="s">
        <v>16</v>
      </c>
      <c r="D36" s="51" t="s">
        <v>45</v>
      </c>
      <c r="E36" s="51" t="s">
        <v>83</v>
      </c>
      <c r="F36" s="51" t="s">
        <v>113</v>
      </c>
      <c r="G36" s="62" t="s">
        <v>139</v>
      </c>
      <c r="H36" s="51" t="s">
        <v>167</v>
      </c>
      <c r="I36" s="51" t="s">
        <v>258</v>
      </c>
      <c r="J36" s="51" t="s">
        <v>259</v>
      </c>
      <c r="K36" s="51" t="s">
        <v>224</v>
      </c>
      <c r="L36" s="51">
        <v>1</v>
      </c>
      <c r="M36" s="37">
        <f t="shared" si="1"/>
        <v>20</v>
      </c>
      <c r="N36" s="51">
        <v>100</v>
      </c>
      <c r="O36" s="61" t="s">
        <v>251</v>
      </c>
      <c r="P36" s="52">
        <v>1.1999999999999999E-3</v>
      </c>
      <c r="Q36" s="52">
        <f t="shared" ref="Q36" si="14">P36*N36</f>
        <v>0.12</v>
      </c>
      <c r="R36" s="51"/>
      <c r="S36" s="59"/>
    </row>
    <row r="37" spans="1:19" s="77" customFormat="1" x14ac:dyDescent="0.25">
      <c r="A37" s="75"/>
      <c r="B37" s="46">
        <f>ROW(B37) - ROW($B$9)</f>
        <v>28</v>
      </c>
      <c r="C37" s="53" t="s">
        <v>16</v>
      </c>
      <c r="D37" s="37" t="s">
        <v>46</v>
      </c>
      <c r="E37" s="37" t="s">
        <v>84</v>
      </c>
      <c r="F37" s="37" t="s">
        <v>110</v>
      </c>
      <c r="G37" s="37" t="s">
        <v>140</v>
      </c>
      <c r="H37" s="37" t="s">
        <v>157</v>
      </c>
      <c r="I37" s="37" t="s">
        <v>249</v>
      </c>
      <c r="J37" s="37" t="s">
        <v>193</v>
      </c>
      <c r="K37" s="37" t="s">
        <v>225</v>
      </c>
      <c r="L37" s="37">
        <v>1</v>
      </c>
      <c r="M37" s="37">
        <f t="shared" si="1"/>
        <v>20</v>
      </c>
      <c r="N37" s="37">
        <v>100</v>
      </c>
      <c r="O37" s="61" t="s">
        <v>251</v>
      </c>
      <c r="P37" s="38">
        <v>8.9999999999999998E-4</v>
      </c>
      <c r="Q37" s="38">
        <f>P37*N37</f>
        <v>0.09</v>
      </c>
      <c r="R37" s="37"/>
      <c r="S37" s="59"/>
    </row>
    <row r="38" spans="1:19" s="77" customFormat="1" x14ac:dyDescent="0.25">
      <c r="A38" s="75"/>
      <c r="B38" s="47">
        <f t="shared" si="0"/>
        <v>29</v>
      </c>
      <c r="C38" s="54" t="s">
        <v>16</v>
      </c>
      <c r="D38" s="51" t="s">
        <v>47</v>
      </c>
      <c r="E38" s="51" t="s">
        <v>85</v>
      </c>
      <c r="F38" s="51" t="s">
        <v>110</v>
      </c>
      <c r="G38" s="51" t="s">
        <v>141</v>
      </c>
      <c r="H38" s="51" t="s">
        <v>157</v>
      </c>
      <c r="I38" s="51" t="s">
        <v>249</v>
      </c>
      <c r="J38" s="51" t="s">
        <v>194</v>
      </c>
      <c r="K38" s="51" t="s">
        <v>226</v>
      </c>
      <c r="L38" s="51">
        <v>1</v>
      </c>
      <c r="M38" s="37">
        <f t="shared" si="1"/>
        <v>20</v>
      </c>
      <c r="N38" s="51">
        <v>50</v>
      </c>
      <c r="O38" s="61" t="s">
        <v>251</v>
      </c>
      <c r="P38" s="52">
        <v>5.4999999999999997E-3</v>
      </c>
      <c r="Q38" s="52">
        <f t="shared" ref="Q38" si="15">P38*N38</f>
        <v>0.27499999999999997</v>
      </c>
      <c r="R38" s="51"/>
      <c r="S38" s="59"/>
    </row>
    <row r="39" spans="1:19" s="77" customFormat="1" ht="24" x14ac:dyDescent="0.25">
      <c r="A39" s="75"/>
      <c r="B39" s="46">
        <f>ROW(B39) - ROW($B$9)</f>
        <v>30</v>
      </c>
      <c r="C39" s="53" t="s">
        <v>16</v>
      </c>
      <c r="D39" s="37" t="s">
        <v>269</v>
      </c>
      <c r="E39" s="37" t="s">
        <v>86</v>
      </c>
      <c r="F39" s="37" t="s">
        <v>110</v>
      </c>
      <c r="G39" s="37" t="s">
        <v>142</v>
      </c>
      <c r="H39" s="37" t="s">
        <v>157</v>
      </c>
      <c r="I39" s="37" t="s">
        <v>249</v>
      </c>
      <c r="J39" s="37" t="s">
        <v>195</v>
      </c>
      <c r="K39" s="37" t="s">
        <v>227</v>
      </c>
      <c r="L39" s="37">
        <v>13</v>
      </c>
      <c r="M39" s="37">
        <f t="shared" si="1"/>
        <v>260</v>
      </c>
      <c r="N39" s="37">
        <v>300</v>
      </c>
      <c r="O39" s="61" t="s">
        <v>251</v>
      </c>
      <c r="P39" s="38">
        <v>8.9999999999999998E-4</v>
      </c>
      <c r="Q39" s="38">
        <f>P39*N39</f>
        <v>0.27</v>
      </c>
      <c r="R39" s="37"/>
      <c r="S39" s="59"/>
    </row>
    <row r="40" spans="1:19" s="77" customFormat="1" x14ac:dyDescent="0.25">
      <c r="A40" s="75"/>
      <c r="B40" s="47">
        <f>ROW(B40) - ROW($B$9)</f>
        <v>31</v>
      </c>
      <c r="C40" s="54" t="s">
        <v>16</v>
      </c>
      <c r="D40" s="51" t="s">
        <v>270</v>
      </c>
      <c r="E40" s="51" t="s">
        <v>89</v>
      </c>
      <c r="F40" s="51" t="s">
        <v>113</v>
      </c>
      <c r="G40" s="51" t="s">
        <v>145</v>
      </c>
      <c r="H40" s="51" t="s">
        <v>157</v>
      </c>
      <c r="I40" s="51" t="s">
        <v>249</v>
      </c>
      <c r="J40" s="51" t="s">
        <v>198</v>
      </c>
      <c r="K40" s="51" t="s">
        <v>230</v>
      </c>
      <c r="L40" s="51">
        <v>3</v>
      </c>
      <c r="M40" s="37">
        <f t="shared" si="1"/>
        <v>60</v>
      </c>
      <c r="N40" s="51">
        <v>100</v>
      </c>
      <c r="O40" s="61" t="s">
        <v>251</v>
      </c>
      <c r="P40" s="52">
        <v>1.2999999999999999E-3</v>
      </c>
      <c r="Q40" s="52">
        <f t="shared" ref="Q40:Q41" si="16">P40*N40</f>
        <v>0.13</v>
      </c>
      <c r="R40" s="51"/>
      <c r="S40" s="59"/>
    </row>
    <row r="41" spans="1:19" s="77" customFormat="1" x14ac:dyDescent="0.25">
      <c r="A41" s="75"/>
      <c r="B41" s="47">
        <f t="shared" si="0"/>
        <v>32</v>
      </c>
      <c r="C41" s="54" t="s">
        <v>16</v>
      </c>
      <c r="D41" s="51" t="s">
        <v>48</v>
      </c>
      <c r="E41" s="51" t="s">
        <v>87</v>
      </c>
      <c r="F41" s="51" t="s">
        <v>113</v>
      </c>
      <c r="G41" s="51" t="s">
        <v>143</v>
      </c>
      <c r="H41" s="51" t="s">
        <v>157</v>
      </c>
      <c r="I41" s="51" t="s">
        <v>249</v>
      </c>
      <c r="J41" s="51" t="s">
        <v>196</v>
      </c>
      <c r="K41" s="51" t="s">
        <v>228</v>
      </c>
      <c r="L41" s="51">
        <v>1</v>
      </c>
      <c r="M41" s="37">
        <f t="shared" si="1"/>
        <v>20</v>
      </c>
      <c r="N41" s="51">
        <v>100</v>
      </c>
      <c r="O41" s="61" t="s">
        <v>251</v>
      </c>
      <c r="P41" s="52">
        <v>1E-3</v>
      </c>
      <c r="Q41" s="52">
        <f t="shared" si="16"/>
        <v>0.1</v>
      </c>
      <c r="R41" s="51"/>
      <c r="S41" s="59"/>
    </row>
    <row r="42" spans="1:19" s="77" customFormat="1" x14ac:dyDescent="0.25">
      <c r="A42" s="75"/>
      <c r="B42" s="46">
        <f>ROW(B42) - ROW($B$9)</f>
        <v>33</v>
      </c>
      <c r="C42" s="53" t="s">
        <v>16</v>
      </c>
      <c r="D42" s="37" t="s">
        <v>49</v>
      </c>
      <c r="E42" s="37" t="s">
        <v>88</v>
      </c>
      <c r="F42" s="37" t="s">
        <v>113</v>
      </c>
      <c r="G42" s="37" t="s">
        <v>144</v>
      </c>
      <c r="H42" s="37" t="s">
        <v>157</v>
      </c>
      <c r="I42" s="37" t="s">
        <v>249</v>
      </c>
      <c r="J42" s="37" t="s">
        <v>197</v>
      </c>
      <c r="K42" s="37" t="s">
        <v>229</v>
      </c>
      <c r="L42" s="37">
        <v>2</v>
      </c>
      <c r="M42" s="37">
        <f t="shared" si="1"/>
        <v>40</v>
      </c>
      <c r="N42" s="37">
        <v>100</v>
      </c>
      <c r="O42" s="61" t="s">
        <v>251</v>
      </c>
      <c r="P42" s="38">
        <v>1.1000000000000001E-3</v>
      </c>
      <c r="Q42" s="38">
        <f>P42*N42</f>
        <v>0.11</v>
      </c>
      <c r="R42" s="37"/>
      <c r="S42" s="59"/>
    </row>
    <row r="43" spans="1:19" s="77" customFormat="1" ht="24" x14ac:dyDescent="0.25">
      <c r="A43" s="75"/>
      <c r="B43" s="46">
        <f>ROW(B43) - ROW($B$9)</f>
        <v>34</v>
      </c>
      <c r="C43" s="53" t="s">
        <v>16</v>
      </c>
      <c r="D43" s="37" t="s">
        <v>50</v>
      </c>
      <c r="E43" s="37" t="s">
        <v>90</v>
      </c>
      <c r="F43" s="37" t="s">
        <v>110</v>
      </c>
      <c r="G43" s="37" t="s">
        <v>146</v>
      </c>
      <c r="H43" s="37" t="s">
        <v>157</v>
      </c>
      <c r="I43" s="37" t="s">
        <v>249</v>
      </c>
      <c r="J43" s="37" t="s">
        <v>199</v>
      </c>
      <c r="K43" s="37" t="s">
        <v>231</v>
      </c>
      <c r="L43" s="37">
        <v>4</v>
      </c>
      <c r="M43" s="37">
        <f t="shared" si="1"/>
        <v>80</v>
      </c>
      <c r="N43" s="37">
        <v>100</v>
      </c>
      <c r="O43" s="61" t="s">
        <v>251</v>
      </c>
      <c r="P43" s="38">
        <v>1E-3</v>
      </c>
      <c r="Q43" s="38">
        <f>P43*N43</f>
        <v>0.1</v>
      </c>
      <c r="R43" s="37"/>
      <c r="S43" s="59"/>
    </row>
    <row r="44" spans="1:19" s="77" customFormat="1" x14ac:dyDescent="0.25">
      <c r="A44" s="75"/>
      <c r="B44" s="47">
        <f t="shared" si="0"/>
        <v>35</v>
      </c>
      <c r="C44" s="54" t="s">
        <v>16</v>
      </c>
      <c r="D44" s="51" t="s">
        <v>51</v>
      </c>
      <c r="E44" s="51" t="s">
        <v>91</v>
      </c>
      <c r="F44" s="51" t="s">
        <v>113</v>
      </c>
      <c r="G44" s="51" t="s">
        <v>147</v>
      </c>
      <c r="H44" s="51" t="s">
        <v>157</v>
      </c>
      <c r="I44" s="51" t="s">
        <v>249</v>
      </c>
      <c r="J44" s="51" t="s">
        <v>200</v>
      </c>
      <c r="K44" s="51" t="s">
        <v>232</v>
      </c>
      <c r="L44" s="51">
        <v>1</v>
      </c>
      <c r="M44" s="37">
        <f t="shared" si="1"/>
        <v>20</v>
      </c>
      <c r="N44" s="51">
        <v>100</v>
      </c>
      <c r="O44" s="61" t="s">
        <v>251</v>
      </c>
      <c r="P44" s="52">
        <v>2.7000000000000001E-3</v>
      </c>
      <c r="Q44" s="52">
        <f t="shared" ref="Q44" si="17">P44*N44</f>
        <v>0.27</v>
      </c>
      <c r="R44" s="51"/>
      <c r="S44" s="59"/>
    </row>
    <row r="45" spans="1:19" s="77" customFormat="1" x14ac:dyDescent="0.25">
      <c r="A45" s="75"/>
      <c r="B45" s="46">
        <f>ROW(B45) - ROW($B$9)</f>
        <v>36</v>
      </c>
      <c r="C45" s="53" t="s">
        <v>16</v>
      </c>
      <c r="D45" s="37" t="s">
        <v>52</v>
      </c>
      <c r="E45" s="37" t="s">
        <v>92</v>
      </c>
      <c r="F45" s="37" t="s">
        <v>113</v>
      </c>
      <c r="G45" s="37" t="s">
        <v>148</v>
      </c>
      <c r="H45" s="37" t="s">
        <v>157</v>
      </c>
      <c r="I45" s="37" t="s">
        <v>249</v>
      </c>
      <c r="J45" s="37" t="s">
        <v>201</v>
      </c>
      <c r="K45" s="37" t="s">
        <v>233</v>
      </c>
      <c r="L45" s="37">
        <v>4</v>
      </c>
      <c r="M45" s="37">
        <f t="shared" si="1"/>
        <v>80</v>
      </c>
      <c r="N45" s="37">
        <v>100</v>
      </c>
      <c r="O45" s="61" t="s">
        <v>251</v>
      </c>
      <c r="P45" s="38">
        <v>1.1999999999999999E-3</v>
      </c>
      <c r="Q45" s="38">
        <f>P45*N45</f>
        <v>0.12</v>
      </c>
      <c r="R45" s="37"/>
      <c r="S45" s="59"/>
    </row>
    <row r="46" spans="1:19" s="77" customFormat="1" x14ac:dyDescent="0.25">
      <c r="A46" s="75"/>
      <c r="B46" s="47">
        <f t="shared" si="0"/>
        <v>37</v>
      </c>
      <c r="C46" s="53" t="s">
        <v>16</v>
      </c>
      <c r="D46" s="51" t="s">
        <v>53</v>
      </c>
      <c r="E46" s="51" t="s">
        <v>93</v>
      </c>
      <c r="F46" s="51" t="s">
        <v>113</v>
      </c>
      <c r="G46" s="51" t="s">
        <v>149</v>
      </c>
      <c r="H46" s="51" t="s">
        <v>157</v>
      </c>
      <c r="I46" s="51" t="s">
        <v>249</v>
      </c>
      <c r="J46" s="51" t="s">
        <v>202</v>
      </c>
      <c r="K46" s="51" t="s">
        <v>234</v>
      </c>
      <c r="L46" s="51">
        <v>1</v>
      </c>
      <c r="M46" s="37">
        <f t="shared" si="1"/>
        <v>20</v>
      </c>
      <c r="N46" s="51">
        <v>100</v>
      </c>
      <c r="O46" s="61" t="s">
        <v>251</v>
      </c>
      <c r="P46" s="52">
        <v>1.2999999999999999E-3</v>
      </c>
      <c r="Q46" s="52">
        <f t="shared" ref="Q46" si="18">P46*N46</f>
        <v>0.13</v>
      </c>
      <c r="R46" s="51"/>
      <c r="S46" s="59"/>
    </row>
    <row r="47" spans="1:19" s="77" customFormat="1" ht="24" x14ac:dyDescent="0.25">
      <c r="A47" s="75"/>
      <c r="B47" s="46">
        <f>ROW(B47) - ROW($B$9)</f>
        <v>38</v>
      </c>
      <c r="C47" s="53" t="s">
        <v>16</v>
      </c>
      <c r="D47" s="37" t="s">
        <v>54</v>
      </c>
      <c r="E47" s="37" t="s">
        <v>94</v>
      </c>
      <c r="F47" s="37" t="s">
        <v>113</v>
      </c>
      <c r="G47" s="37" t="s">
        <v>150</v>
      </c>
      <c r="H47" s="37" t="s">
        <v>157</v>
      </c>
      <c r="I47" s="37" t="s">
        <v>249</v>
      </c>
      <c r="J47" s="37" t="s">
        <v>203</v>
      </c>
      <c r="K47" s="37" t="s">
        <v>235</v>
      </c>
      <c r="L47" s="37">
        <v>1</v>
      </c>
      <c r="M47" s="37">
        <f t="shared" si="1"/>
        <v>20</v>
      </c>
      <c r="N47" s="37">
        <v>100</v>
      </c>
      <c r="O47" s="61" t="s">
        <v>251</v>
      </c>
      <c r="P47" s="38">
        <v>1.2999999999999999E-3</v>
      </c>
      <c r="Q47" s="38">
        <f>P47*N47</f>
        <v>0.13</v>
      </c>
      <c r="R47" s="37"/>
      <c r="S47" s="59"/>
    </row>
    <row r="48" spans="1:19" s="77" customFormat="1" ht="24" x14ac:dyDescent="0.25">
      <c r="A48" s="75"/>
      <c r="B48" s="47">
        <f t="shared" si="0"/>
        <v>39</v>
      </c>
      <c r="C48" s="54" t="s">
        <v>17</v>
      </c>
      <c r="D48" s="51" t="s">
        <v>55</v>
      </c>
      <c r="E48" s="51" t="s">
        <v>265</v>
      </c>
      <c r="F48" s="51" t="s">
        <v>266</v>
      </c>
      <c r="G48" s="51" t="s">
        <v>267</v>
      </c>
      <c r="H48" s="51" t="s">
        <v>168</v>
      </c>
      <c r="I48" s="51" t="s">
        <v>249</v>
      </c>
      <c r="J48" s="51" t="s">
        <v>268</v>
      </c>
      <c r="K48" s="51" t="s">
        <v>249</v>
      </c>
      <c r="L48" s="51">
        <v>1</v>
      </c>
      <c r="M48" s="37">
        <f t="shared" si="1"/>
        <v>20</v>
      </c>
      <c r="N48" s="51">
        <v>21</v>
      </c>
      <c r="O48" s="61" t="s">
        <v>251</v>
      </c>
      <c r="P48" s="52">
        <v>1.8216000000000001</v>
      </c>
      <c r="Q48" s="52">
        <f t="shared" ref="Q48" si="19">P48*N48</f>
        <v>38.253600000000006</v>
      </c>
      <c r="R48" s="51"/>
      <c r="S48" s="59"/>
    </row>
    <row r="49" spans="1:19" s="77" customFormat="1" ht="24" x14ac:dyDescent="0.25">
      <c r="A49" s="75"/>
      <c r="B49" s="46">
        <f>ROW(B49) - ROW($B$9)</f>
        <v>40</v>
      </c>
      <c r="C49" s="53" t="s">
        <v>17</v>
      </c>
      <c r="D49" s="37" t="s">
        <v>56</v>
      </c>
      <c r="E49" s="37" t="s">
        <v>95</v>
      </c>
      <c r="F49" s="37" t="s">
        <v>114</v>
      </c>
      <c r="G49" s="37" t="s">
        <v>151</v>
      </c>
      <c r="H49" s="37" t="s">
        <v>169</v>
      </c>
      <c r="I49" s="37" t="s">
        <v>249</v>
      </c>
      <c r="J49" s="37" t="s">
        <v>204</v>
      </c>
      <c r="K49" s="37" t="s">
        <v>249</v>
      </c>
      <c r="L49" s="37">
        <v>1</v>
      </c>
      <c r="M49" s="37">
        <f t="shared" si="1"/>
        <v>20</v>
      </c>
      <c r="N49" s="37">
        <v>21</v>
      </c>
      <c r="O49" s="61" t="s">
        <v>251</v>
      </c>
      <c r="P49" s="38">
        <v>0.55369999999999997</v>
      </c>
      <c r="Q49" s="38">
        <f>P49*N49</f>
        <v>11.627699999999999</v>
      </c>
      <c r="R49" s="37"/>
      <c r="S49" s="59"/>
    </row>
    <row r="50" spans="1:19" s="77" customFormat="1" ht="24" x14ac:dyDescent="0.25">
      <c r="A50" s="75"/>
      <c r="B50" s="47">
        <f t="shared" si="0"/>
        <v>41</v>
      </c>
      <c r="C50" s="54" t="s">
        <v>17</v>
      </c>
      <c r="D50" s="51" t="s">
        <v>57</v>
      </c>
      <c r="E50" s="51" t="s">
        <v>96</v>
      </c>
      <c r="F50" s="51" t="s">
        <v>115</v>
      </c>
      <c r="G50" s="51" t="s">
        <v>152</v>
      </c>
      <c r="H50" s="51" t="s">
        <v>170</v>
      </c>
      <c r="I50" s="51" t="s">
        <v>249</v>
      </c>
      <c r="J50" s="51" t="s">
        <v>205</v>
      </c>
      <c r="K50" s="51" t="s">
        <v>249</v>
      </c>
      <c r="L50" s="51">
        <v>1</v>
      </c>
      <c r="M50" s="37">
        <f t="shared" si="1"/>
        <v>20</v>
      </c>
      <c r="N50" s="51">
        <v>21</v>
      </c>
      <c r="O50" s="61" t="s">
        <v>251</v>
      </c>
      <c r="P50" s="52">
        <v>2.3896000000000002</v>
      </c>
      <c r="Q50" s="52">
        <f t="shared" ref="Q50:Q52" si="20">P50*N50</f>
        <v>50.181600000000003</v>
      </c>
      <c r="R50" s="51"/>
      <c r="S50" s="59"/>
    </row>
    <row r="51" spans="1:19" s="77" customFormat="1" ht="15.75" thickBot="1" x14ac:dyDescent="0.3">
      <c r="A51" s="75"/>
      <c r="B51" s="47">
        <f t="shared" si="0"/>
        <v>42</v>
      </c>
      <c r="C51" s="54" t="s">
        <v>19</v>
      </c>
      <c r="D51" s="51" t="s">
        <v>58</v>
      </c>
      <c r="E51" s="51" t="s">
        <v>97</v>
      </c>
      <c r="F51" s="51" t="s">
        <v>252</v>
      </c>
      <c r="G51" s="51" t="s">
        <v>116</v>
      </c>
      <c r="H51" s="51" t="s">
        <v>172</v>
      </c>
      <c r="I51" s="51" t="s">
        <v>249</v>
      </c>
      <c r="J51" s="51" t="s">
        <v>206</v>
      </c>
      <c r="K51" s="51" t="s">
        <v>263</v>
      </c>
      <c r="L51" s="51">
        <v>1</v>
      </c>
      <c r="M51" s="37">
        <f t="shared" si="1"/>
        <v>20</v>
      </c>
      <c r="N51" s="51">
        <v>21</v>
      </c>
      <c r="O51" s="61" t="s">
        <v>251</v>
      </c>
      <c r="P51" s="52">
        <v>0.2036</v>
      </c>
      <c r="Q51" s="52">
        <f t="shared" si="20"/>
        <v>4.2755999999999998</v>
      </c>
      <c r="R51" s="51"/>
      <c r="S51" s="39"/>
    </row>
    <row r="52" spans="1:19" s="77" customFormat="1" ht="15.75" thickBot="1" x14ac:dyDescent="0.3">
      <c r="A52" s="75"/>
      <c r="B52" s="47">
        <f t="shared" si="0"/>
        <v>43</v>
      </c>
      <c r="C52" s="54" t="s">
        <v>276</v>
      </c>
      <c r="D52" s="51" t="s">
        <v>249</v>
      </c>
      <c r="E52" s="51" t="s">
        <v>249</v>
      </c>
      <c r="F52" s="51" t="s">
        <v>249</v>
      </c>
      <c r="G52" s="51" t="s">
        <v>277</v>
      </c>
      <c r="H52" s="51" t="s">
        <v>278</v>
      </c>
      <c r="I52" s="51" t="s">
        <v>249</v>
      </c>
      <c r="J52" s="51" t="s">
        <v>279</v>
      </c>
      <c r="K52" s="51" t="s">
        <v>249</v>
      </c>
      <c r="L52" s="51">
        <v>1</v>
      </c>
      <c r="M52" s="37">
        <f t="shared" si="1"/>
        <v>20</v>
      </c>
      <c r="N52" s="51">
        <v>20</v>
      </c>
      <c r="O52" s="61" t="s">
        <v>251</v>
      </c>
      <c r="P52" s="52">
        <v>1.2712000000000001</v>
      </c>
      <c r="Q52" s="52">
        <f t="shared" si="20"/>
        <v>25.424000000000003</v>
      </c>
      <c r="R52" s="51"/>
      <c r="S52" s="39"/>
    </row>
    <row r="53" spans="1:19" ht="19.5" thickBot="1" x14ac:dyDescent="0.3">
      <c r="A53" s="1"/>
      <c r="B53" s="40"/>
      <c r="C53" s="41"/>
      <c r="D53" s="42"/>
      <c r="E53" s="43"/>
      <c r="F53" s="44"/>
      <c r="G53" s="45"/>
      <c r="H53" s="44"/>
      <c r="I53" s="45"/>
      <c r="J53" s="44"/>
      <c r="K53" s="45"/>
      <c r="L53" s="45"/>
      <c r="M53" s="45"/>
      <c r="N53" s="73" t="s">
        <v>5</v>
      </c>
      <c r="O53" s="74"/>
      <c r="P53" s="74"/>
      <c r="Q53" s="48">
        <f>SUM(Q10:Q52)</f>
        <v>291.83290000000005</v>
      </c>
      <c r="R53" s="69"/>
      <c r="S53" s="70"/>
    </row>
    <row r="54" spans="1:19" ht="19.5" thickBot="1" x14ac:dyDescent="0.3">
      <c r="A54" s="1"/>
      <c r="B54" s="25"/>
      <c r="C54" s="36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73" t="s">
        <v>6</v>
      </c>
      <c r="O54" s="74"/>
      <c r="P54" s="74"/>
      <c r="Q54" s="49">
        <f>Q53/20</f>
        <v>14.591645000000003</v>
      </c>
      <c r="R54" s="71"/>
      <c r="S54" s="72"/>
    </row>
  </sheetData>
  <mergeCells count="5">
    <mergeCell ref="K1:S1"/>
    <mergeCell ref="S3:S8"/>
    <mergeCell ref="N53:P53"/>
    <mergeCell ref="R53:S54"/>
    <mergeCell ref="N54:P54"/>
  </mergeCells>
  <hyperlinks>
    <hyperlink ref="O10" r:id="rId1"/>
    <hyperlink ref="O11" r:id="rId2"/>
    <hyperlink ref="O13" r:id="rId3"/>
    <hyperlink ref="O14" r:id="rId4"/>
    <hyperlink ref="O16" r:id="rId5"/>
    <hyperlink ref="O17" r:id="rId6"/>
    <hyperlink ref="O18" r:id="rId7"/>
    <hyperlink ref="O19" r:id="rId8"/>
    <hyperlink ref="O20" r:id="rId9"/>
    <hyperlink ref="O21" r:id="rId10"/>
    <hyperlink ref="O24" r:id="rId11"/>
    <hyperlink ref="O27" r:id="rId12"/>
    <hyperlink ref="O28" r:id="rId13"/>
    <hyperlink ref="O29" r:id="rId14"/>
    <hyperlink ref="O30" r:id="rId15"/>
    <hyperlink ref="O31" r:id="rId16"/>
    <hyperlink ref="O32" r:id="rId17"/>
    <hyperlink ref="O33" r:id="rId18"/>
    <hyperlink ref="O34" r:id="rId19"/>
    <hyperlink ref="O35" r:id="rId20"/>
    <hyperlink ref="O37" r:id="rId21"/>
    <hyperlink ref="O38" r:id="rId22"/>
    <hyperlink ref="O39" r:id="rId23"/>
    <hyperlink ref="O41" r:id="rId24"/>
    <hyperlink ref="O42" r:id="rId25"/>
    <hyperlink ref="O40" r:id="rId26"/>
    <hyperlink ref="O43" r:id="rId27"/>
    <hyperlink ref="O44" r:id="rId28"/>
    <hyperlink ref="O45" r:id="rId29"/>
    <hyperlink ref="O46" r:id="rId30"/>
    <hyperlink ref="O47" r:id="rId31"/>
    <hyperlink ref="O49" r:id="rId32"/>
    <hyperlink ref="O50" r:id="rId33"/>
    <hyperlink ref="O51" r:id="rId34"/>
    <hyperlink ref="O12" r:id="rId35"/>
    <hyperlink ref="O15" r:id="rId36"/>
    <hyperlink ref="O36" r:id="rId37"/>
    <hyperlink ref="O26" r:id="rId38"/>
    <hyperlink ref="O48" r:id="rId39"/>
    <hyperlink ref="O23" r:id="rId40"/>
    <hyperlink ref="O52" r:id="rId41"/>
    <hyperlink ref="O22" r:id="rId42"/>
  </hyperlinks>
  <pageMargins left="0.7" right="0.7" top="0.75" bottom="0.75" header="0.3" footer="0.3"/>
  <drawing r:id="rId4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opLeftCell="E14" workbookViewId="0">
      <selection activeCell="P31" sqref="P31"/>
    </sheetView>
  </sheetViews>
  <sheetFormatPr defaultRowHeight="15" x14ac:dyDescent="0.25"/>
  <cols>
    <col min="2" max="2" width="3" bestFit="1" customWidth="1"/>
    <col min="3" max="3" width="11.42578125" customWidth="1"/>
    <col min="4" max="4" width="31.140625" bestFit="1" customWidth="1"/>
    <col min="5" max="5" width="31" customWidth="1"/>
    <col min="6" max="6" width="12.57031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6.140625" bestFit="1" customWidth="1"/>
    <col min="15" max="15" width="7.710937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140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5"/>
      <c r="L1" s="65"/>
      <c r="M1" s="65"/>
      <c r="N1" s="65"/>
      <c r="O1" s="65"/>
      <c r="P1" s="65"/>
      <c r="Q1" s="65"/>
      <c r="R1" s="65"/>
      <c r="S1" s="66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237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238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7"/>
    </row>
    <row r="4" spans="1:19" x14ac:dyDescent="0.25">
      <c r="A4" s="1"/>
      <c r="B4" s="22"/>
      <c r="C4" s="32"/>
      <c r="D4" s="13" t="s">
        <v>2</v>
      </c>
      <c r="E4" s="13"/>
      <c r="F4" s="57" t="s">
        <v>239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8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8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8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8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8"/>
    </row>
    <row r="9" spans="1:19" ht="15.75" thickBot="1" x14ac:dyDescent="0.3">
      <c r="A9" s="1"/>
      <c r="B9" s="30" t="s">
        <v>4</v>
      </c>
      <c r="C9" s="30" t="s">
        <v>8</v>
      </c>
      <c r="D9" s="30" t="s">
        <v>20</v>
      </c>
      <c r="E9" s="30" t="s">
        <v>59</v>
      </c>
      <c r="F9" s="30" t="s">
        <v>98</v>
      </c>
      <c r="G9" s="30" t="s">
        <v>117</v>
      </c>
      <c r="H9" s="30" t="s">
        <v>153</v>
      </c>
      <c r="I9" s="30" t="s">
        <v>240</v>
      </c>
      <c r="J9" s="30" t="s">
        <v>173</v>
      </c>
      <c r="K9" s="60" t="s">
        <v>241</v>
      </c>
      <c r="L9" s="30" t="s">
        <v>236</v>
      </c>
      <c r="M9" s="30" t="s">
        <v>288</v>
      </c>
      <c r="N9" s="30" t="s">
        <v>289</v>
      </c>
      <c r="O9" s="30" t="s">
        <v>244</v>
      </c>
      <c r="P9" s="30" t="s">
        <v>290</v>
      </c>
      <c r="Q9" s="30" t="s">
        <v>291</v>
      </c>
      <c r="R9" s="30" t="s">
        <v>247</v>
      </c>
      <c r="S9" s="30" t="s">
        <v>248</v>
      </c>
    </row>
    <row r="10" spans="1:19" ht="24" x14ac:dyDescent="0.25">
      <c r="A10" s="1"/>
      <c r="B10" s="46">
        <f>ROW(B10) - ROW($B$9)</f>
        <v>1</v>
      </c>
      <c r="C10" s="53" t="s">
        <v>9</v>
      </c>
      <c r="D10" s="37" t="s">
        <v>21</v>
      </c>
      <c r="E10" s="37" t="s">
        <v>60</v>
      </c>
      <c r="F10" s="37" t="s">
        <v>99</v>
      </c>
      <c r="G10" s="37" t="s">
        <v>118</v>
      </c>
      <c r="H10" s="37" t="s">
        <v>154</v>
      </c>
      <c r="I10" s="37" t="s">
        <v>249</v>
      </c>
      <c r="J10" s="37" t="s">
        <v>174</v>
      </c>
      <c r="K10" s="37" t="s">
        <v>207</v>
      </c>
      <c r="L10" s="37">
        <v>10</v>
      </c>
      <c r="M10" s="37">
        <f>L10*50</f>
        <v>500</v>
      </c>
      <c r="N10" s="37">
        <v>550</v>
      </c>
      <c r="O10" s="61" t="s">
        <v>251</v>
      </c>
      <c r="P10" s="38">
        <v>8.9999999999999993E-3</v>
      </c>
      <c r="Q10" s="38">
        <f>P10*N10</f>
        <v>4.9499999999999993</v>
      </c>
      <c r="R10" s="37"/>
      <c r="S10" s="50"/>
    </row>
    <row r="11" spans="1:19" ht="48" x14ac:dyDescent="0.25">
      <c r="A11" s="1"/>
      <c r="B11" s="47">
        <f t="shared" ref="B11:B52" si="0">ROW(B11) - ROW($B$9)</f>
        <v>2</v>
      </c>
      <c r="C11" s="54" t="s">
        <v>9</v>
      </c>
      <c r="D11" s="51" t="s">
        <v>22</v>
      </c>
      <c r="E11" s="51" t="s">
        <v>61</v>
      </c>
      <c r="F11" s="51" t="s">
        <v>252</v>
      </c>
      <c r="G11" s="51" t="s">
        <v>100</v>
      </c>
      <c r="H11" s="51" t="s">
        <v>155</v>
      </c>
      <c r="I11" s="51" t="s">
        <v>249</v>
      </c>
      <c r="J11" s="51" t="s">
        <v>175</v>
      </c>
      <c r="K11" s="51" t="s">
        <v>208</v>
      </c>
      <c r="L11" s="51">
        <v>1</v>
      </c>
      <c r="M11" s="37">
        <f t="shared" ref="M11:M52" si="1">L11*50</f>
        <v>50</v>
      </c>
      <c r="N11" s="51">
        <v>60</v>
      </c>
      <c r="O11" s="61" t="s">
        <v>251</v>
      </c>
      <c r="P11" s="52">
        <v>1.7399999999999999E-2</v>
      </c>
      <c r="Q11" s="52">
        <f t="shared" ref="Q11" si="2">P11*N11</f>
        <v>1.044</v>
      </c>
      <c r="R11" s="51"/>
      <c r="S11" s="51"/>
    </row>
    <row r="12" spans="1:19" x14ac:dyDescent="0.25">
      <c r="A12" s="1"/>
      <c r="B12" s="46">
        <f>ROW(B12) - ROW($B$9)</f>
        <v>3</v>
      </c>
      <c r="C12" s="54" t="s">
        <v>9</v>
      </c>
      <c r="D12" s="37" t="s">
        <v>23</v>
      </c>
      <c r="E12" s="37" t="s">
        <v>62</v>
      </c>
      <c r="F12" s="37" t="s">
        <v>101</v>
      </c>
      <c r="G12" s="62" t="s">
        <v>119</v>
      </c>
      <c r="H12" s="37" t="s">
        <v>154</v>
      </c>
      <c r="I12" s="37" t="s">
        <v>254</v>
      </c>
      <c r="J12" s="37" t="s">
        <v>257</v>
      </c>
      <c r="K12" s="37" t="s">
        <v>209</v>
      </c>
      <c r="L12" s="37">
        <v>3</v>
      </c>
      <c r="M12" s="37">
        <f t="shared" si="1"/>
        <v>150</v>
      </c>
      <c r="N12" s="37">
        <v>200</v>
      </c>
      <c r="O12" s="61" t="s">
        <v>251</v>
      </c>
      <c r="P12" s="38">
        <v>1.2E-2</v>
      </c>
      <c r="Q12" s="38">
        <f>P12*N12</f>
        <v>2.4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9</v>
      </c>
      <c r="D13" s="51" t="s">
        <v>24</v>
      </c>
      <c r="E13" s="51" t="s">
        <v>63</v>
      </c>
      <c r="F13" s="51" t="s">
        <v>102</v>
      </c>
      <c r="G13" s="51" t="s">
        <v>120</v>
      </c>
      <c r="H13" s="51" t="s">
        <v>156</v>
      </c>
      <c r="I13" s="51" t="s">
        <v>249</v>
      </c>
      <c r="J13" s="51" t="s">
        <v>176</v>
      </c>
      <c r="K13" s="51" t="s">
        <v>210</v>
      </c>
      <c r="L13" s="51">
        <v>1</v>
      </c>
      <c r="M13" s="37">
        <f t="shared" si="1"/>
        <v>50</v>
      </c>
      <c r="N13" s="51">
        <v>51</v>
      </c>
      <c r="O13" s="61" t="s">
        <v>251</v>
      </c>
      <c r="P13" s="52">
        <v>0.93230000000000002</v>
      </c>
      <c r="Q13" s="52">
        <f t="shared" ref="Q13" si="3">P13*N13</f>
        <v>47.5473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9</v>
      </c>
      <c r="D14" s="37" t="s">
        <v>25</v>
      </c>
      <c r="E14" s="37" t="s">
        <v>64</v>
      </c>
      <c r="F14" s="37" t="s">
        <v>99</v>
      </c>
      <c r="G14" s="37" t="s">
        <v>121</v>
      </c>
      <c r="H14" s="37" t="s">
        <v>157</v>
      </c>
      <c r="I14" s="37" t="s">
        <v>249</v>
      </c>
      <c r="J14" s="37" t="s">
        <v>177</v>
      </c>
      <c r="K14" s="37" t="s">
        <v>211</v>
      </c>
      <c r="L14" s="37">
        <v>1</v>
      </c>
      <c r="M14" s="37">
        <f t="shared" si="1"/>
        <v>50</v>
      </c>
      <c r="N14" s="37">
        <v>100</v>
      </c>
      <c r="O14" s="61" t="s">
        <v>251</v>
      </c>
      <c r="P14" s="38">
        <v>2.5000000000000001E-3</v>
      </c>
      <c r="Q14" s="38">
        <f>P14*N14</f>
        <v>0.25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9</v>
      </c>
      <c r="D15" s="51" t="s">
        <v>26</v>
      </c>
      <c r="E15" s="51" t="s">
        <v>65</v>
      </c>
      <c r="F15" s="51" t="s">
        <v>99</v>
      </c>
      <c r="G15" s="62" t="s">
        <v>122</v>
      </c>
      <c r="H15" s="51" t="s">
        <v>157</v>
      </c>
      <c r="I15" s="51" t="s">
        <v>255</v>
      </c>
      <c r="J15" s="51" t="s">
        <v>256</v>
      </c>
      <c r="K15" s="51" t="s">
        <v>212</v>
      </c>
      <c r="L15" s="51">
        <v>3</v>
      </c>
      <c r="M15" s="37">
        <f t="shared" si="1"/>
        <v>150</v>
      </c>
      <c r="N15" s="51">
        <v>200</v>
      </c>
      <c r="O15" s="61" t="s">
        <v>251</v>
      </c>
      <c r="P15" s="52">
        <v>1.9E-3</v>
      </c>
      <c r="Q15" s="52">
        <f t="shared" ref="Q15" si="4">P15*N15</f>
        <v>0.38</v>
      </c>
      <c r="R15" s="51"/>
      <c r="S15" s="59"/>
    </row>
    <row r="16" spans="1:19" x14ac:dyDescent="0.25">
      <c r="A16" s="1"/>
      <c r="B16" s="46">
        <f>ROW(B16) - ROW($B$9)</f>
        <v>7</v>
      </c>
      <c r="C16" s="53" t="s">
        <v>9</v>
      </c>
      <c r="D16" s="37" t="s">
        <v>27</v>
      </c>
      <c r="E16" s="37" t="s">
        <v>66</v>
      </c>
      <c r="F16" s="37" t="s">
        <v>101</v>
      </c>
      <c r="G16" s="37" t="s">
        <v>123</v>
      </c>
      <c r="H16" s="37" t="s">
        <v>158</v>
      </c>
      <c r="I16" s="37" t="s">
        <v>249</v>
      </c>
      <c r="J16" s="37" t="s">
        <v>178</v>
      </c>
      <c r="K16" s="37" t="s">
        <v>213</v>
      </c>
      <c r="L16" s="37">
        <v>1</v>
      </c>
      <c r="M16" s="37">
        <f t="shared" si="1"/>
        <v>50</v>
      </c>
      <c r="N16" s="37">
        <v>51</v>
      </c>
      <c r="O16" s="61" t="s">
        <v>251</v>
      </c>
      <c r="P16" s="38">
        <v>0.73660000000000003</v>
      </c>
      <c r="Q16" s="38">
        <f>P16*N16</f>
        <v>37.566600000000001</v>
      </c>
      <c r="R16" s="37"/>
      <c r="S16" s="59"/>
    </row>
    <row r="17" spans="1:19" x14ac:dyDescent="0.25">
      <c r="A17" s="1"/>
      <c r="B17" s="47">
        <f t="shared" si="0"/>
        <v>8</v>
      </c>
      <c r="C17" s="54" t="s">
        <v>9</v>
      </c>
      <c r="D17" s="51" t="s">
        <v>28</v>
      </c>
      <c r="E17" s="51" t="s">
        <v>67</v>
      </c>
      <c r="F17" s="51" t="s">
        <v>101</v>
      </c>
      <c r="G17" s="51" t="s">
        <v>124</v>
      </c>
      <c r="H17" s="51" t="s">
        <v>159</v>
      </c>
      <c r="I17" s="51" t="s">
        <v>249</v>
      </c>
      <c r="J17" s="51" t="s">
        <v>179</v>
      </c>
      <c r="K17" s="51" t="s">
        <v>214</v>
      </c>
      <c r="L17" s="51">
        <v>2</v>
      </c>
      <c r="M17" s="37">
        <f t="shared" si="1"/>
        <v>100</v>
      </c>
      <c r="N17" s="51">
        <v>200</v>
      </c>
      <c r="O17" s="61" t="s">
        <v>251</v>
      </c>
      <c r="P17" s="52">
        <v>2.8E-3</v>
      </c>
      <c r="Q17" s="52">
        <f t="shared" ref="Q17" si="5">P17*N17</f>
        <v>0.55999999999999994</v>
      </c>
      <c r="R17" s="51"/>
      <c r="S17" s="59"/>
    </row>
    <row r="18" spans="1:19" x14ac:dyDescent="0.25">
      <c r="A18" s="1"/>
      <c r="B18" s="46">
        <f>ROW(B18) - ROW($B$9)</f>
        <v>9</v>
      </c>
      <c r="C18" s="53" t="s">
        <v>9</v>
      </c>
      <c r="D18" s="37" t="s">
        <v>29</v>
      </c>
      <c r="E18" s="37" t="s">
        <v>68</v>
      </c>
      <c r="F18" s="37" t="s">
        <v>101</v>
      </c>
      <c r="G18" s="37" t="s">
        <v>125</v>
      </c>
      <c r="H18" s="37" t="s">
        <v>157</v>
      </c>
      <c r="I18" s="37" t="s">
        <v>249</v>
      </c>
      <c r="J18" s="37" t="s">
        <v>180</v>
      </c>
      <c r="K18" s="37" t="s">
        <v>215</v>
      </c>
      <c r="L18" s="37">
        <v>2</v>
      </c>
      <c r="M18" s="37">
        <f t="shared" si="1"/>
        <v>100</v>
      </c>
      <c r="N18" s="37">
        <v>200</v>
      </c>
      <c r="O18" s="61" t="s">
        <v>251</v>
      </c>
      <c r="P18" s="38">
        <v>6.8999999999999999E-3</v>
      </c>
      <c r="Q18" s="38">
        <f>P18*N18</f>
        <v>1.38</v>
      </c>
      <c r="R18" s="37"/>
      <c r="S18" s="59"/>
    </row>
    <row r="19" spans="1:19" x14ac:dyDescent="0.25">
      <c r="A19" s="1"/>
      <c r="B19" s="47">
        <f t="shared" si="0"/>
        <v>10</v>
      </c>
      <c r="C19" s="53" t="s">
        <v>9</v>
      </c>
      <c r="D19" s="51" t="s">
        <v>30</v>
      </c>
      <c r="E19" s="51" t="s">
        <v>69</v>
      </c>
      <c r="F19" s="51" t="s">
        <v>101</v>
      </c>
      <c r="G19" s="51" t="s">
        <v>126</v>
      </c>
      <c r="H19" s="51" t="s">
        <v>158</v>
      </c>
      <c r="I19" s="51" t="s">
        <v>249</v>
      </c>
      <c r="J19" s="51" t="s">
        <v>181</v>
      </c>
      <c r="K19" s="51" t="s">
        <v>216</v>
      </c>
      <c r="L19" s="51">
        <v>1</v>
      </c>
      <c r="M19" s="37">
        <f t="shared" si="1"/>
        <v>50</v>
      </c>
      <c r="N19" s="51">
        <v>60</v>
      </c>
      <c r="O19" s="61" t="s">
        <v>251</v>
      </c>
      <c r="P19" s="52">
        <v>4.1700000000000001E-2</v>
      </c>
      <c r="Q19" s="52">
        <f t="shared" ref="Q19" si="6">P19*N19</f>
        <v>2.5020000000000002</v>
      </c>
      <c r="R19" s="51"/>
      <c r="S19" s="59"/>
    </row>
    <row r="20" spans="1:19" ht="36" x14ac:dyDescent="0.25">
      <c r="A20" s="1"/>
      <c r="B20" s="46">
        <f>ROW(B20) - ROW($B$9)</f>
        <v>11</v>
      </c>
      <c r="C20" s="53" t="s">
        <v>10</v>
      </c>
      <c r="D20" s="37" t="s">
        <v>31</v>
      </c>
      <c r="E20" s="37" t="s">
        <v>70</v>
      </c>
      <c r="F20" s="37" t="s">
        <v>103</v>
      </c>
      <c r="G20" s="37" t="s">
        <v>127</v>
      </c>
      <c r="H20" s="37" t="s">
        <v>160</v>
      </c>
      <c r="I20" s="37" t="s">
        <v>249</v>
      </c>
      <c r="J20" s="37" t="s">
        <v>182</v>
      </c>
      <c r="K20" s="37" t="s">
        <v>249</v>
      </c>
      <c r="L20" s="37">
        <v>1</v>
      </c>
      <c r="M20" s="37">
        <f t="shared" si="1"/>
        <v>50</v>
      </c>
      <c r="N20" s="37">
        <v>60</v>
      </c>
      <c r="O20" s="61" t="s">
        <v>251</v>
      </c>
      <c r="P20" s="38">
        <v>4.6899999999999997E-2</v>
      </c>
      <c r="Q20" s="38">
        <f>P20*N20</f>
        <v>2.8140000000000001</v>
      </c>
      <c r="R20" s="37"/>
      <c r="S20" s="59"/>
    </row>
    <row r="21" spans="1:19" x14ac:dyDescent="0.25">
      <c r="A21" s="1"/>
      <c r="B21" s="47">
        <f t="shared" si="0"/>
        <v>12</v>
      </c>
      <c r="C21" s="54" t="s">
        <v>10</v>
      </c>
      <c r="D21" s="51" t="s">
        <v>32</v>
      </c>
      <c r="E21" s="51" t="s">
        <v>71</v>
      </c>
      <c r="F21" s="51" t="s">
        <v>104</v>
      </c>
      <c r="G21" s="51" t="s">
        <v>128</v>
      </c>
      <c r="H21" s="51" t="s">
        <v>161</v>
      </c>
      <c r="I21" s="51" t="s">
        <v>249</v>
      </c>
      <c r="J21" s="51" t="s">
        <v>183</v>
      </c>
      <c r="K21" s="51" t="s">
        <v>249</v>
      </c>
      <c r="L21" s="51">
        <v>1</v>
      </c>
      <c r="M21" s="37">
        <f t="shared" si="1"/>
        <v>50</v>
      </c>
      <c r="N21" s="51">
        <v>55</v>
      </c>
      <c r="O21" s="61" t="s">
        <v>251</v>
      </c>
      <c r="P21" s="52">
        <v>4.0099999999999997E-2</v>
      </c>
      <c r="Q21" s="52">
        <f t="shared" ref="Q21:Q22" si="7">P21*N21</f>
        <v>2.2054999999999998</v>
      </c>
      <c r="R21" s="51"/>
      <c r="S21" s="59"/>
    </row>
    <row r="22" spans="1:19" s="84" customFormat="1" x14ac:dyDescent="0.25">
      <c r="A22" s="78"/>
      <c r="B22" s="85">
        <f t="shared" si="0"/>
        <v>13</v>
      </c>
      <c r="C22" s="79" t="s">
        <v>18</v>
      </c>
      <c r="D22" s="80" t="s">
        <v>280</v>
      </c>
      <c r="E22" s="80" t="s">
        <v>281</v>
      </c>
      <c r="F22" s="80" t="s">
        <v>109</v>
      </c>
      <c r="G22" s="80" t="s">
        <v>282</v>
      </c>
      <c r="H22" s="80" t="s">
        <v>171</v>
      </c>
      <c r="I22" s="37" t="s">
        <v>249</v>
      </c>
      <c r="J22" s="80" t="s">
        <v>283</v>
      </c>
      <c r="K22" s="80" t="s">
        <v>249</v>
      </c>
      <c r="L22" s="80">
        <v>2</v>
      </c>
      <c r="M22" s="80">
        <f t="shared" si="1"/>
        <v>100</v>
      </c>
      <c r="N22" s="80">
        <v>105</v>
      </c>
      <c r="O22" s="81" t="s">
        <v>251</v>
      </c>
      <c r="P22" s="82">
        <v>0.1108</v>
      </c>
      <c r="Q22" s="82">
        <f t="shared" si="7"/>
        <v>11.634</v>
      </c>
      <c r="R22" s="80"/>
      <c r="S22" s="83"/>
    </row>
    <row r="23" spans="1:19" ht="36" x14ac:dyDescent="0.25">
      <c r="A23" s="1"/>
      <c r="B23" s="46">
        <f>ROW(B23) - ROW($B$9)</f>
        <v>14</v>
      </c>
      <c r="C23" s="53" t="s">
        <v>11</v>
      </c>
      <c r="D23" s="37" t="s">
        <v>33</v>
      </c>
      <c r="E23" s="37" t="s">
        <v>271</v>
      </c>
      <c r="F23" s="37" t="s">
        <v>105</v>
      </c>
      <c r="G23" s="37" t="s">
        <v>272</v>
      </c>
      <c r="H23" s="37" t="s">
        <v>273</v>
      </c>
      <c r="I23" s="37" t="s">
        <v>249</v>
      </c>
      <c r="J23" s="37" t="s">
        <v>274</v>
      </c>
      <c r="K23" s="37" t="s">
        <v>249</v>
      </c>
      <c r="L23" s="37">
        <v>1</v>
      </c>
      <c r="M23" s="37">
        <f t="shared" si="1"/>
        <v>50</v>
      </c>
      <c r="N23" s="37">
        <v>55</v>
      </c>
      <c r="O23" s="61" t="s">
        <v>251</v>
      </c>
      <c r="P23" s="38">
        <v>7.5800000000000006E-2</v>
      </c>
      <c r="Q23" s="38">
        <f>P23*N23</f>
        <v>4.1690000000000005</v>
      </c>
      <c r="R23" s="37"/>
      <c r="S23" s="59"/>
    </row>
    <row r="24" spans="1:19" x14ac:dyDescent="0.25">
      <c r="A24" s="1"/>
      <c r="B24" s="47">
        <f t="shared" si="0"/>
        <v>15</v>
      </c>
      <c r="C24" s="54" t="s">
        <v>12</v>
      </c>
      <c r="D24" s="51" t="s">
        <v>34</v>
      </c>
      <c r="E24" s="51" t="s">
        <v>72</v>
      </c>
      <c r="F24" s="51" t="s">
        <v>106</v>
      </c>
      <c r="G24" s="51" t="s">
        <v>129</v>
      </c>
      <c r="H24" s="51" t="s">
        <v>162</v>
      </c>
      <c r="I24" s="51" t="s">
        <v>249</v>
      </c>
      <c r="J24" s="51" t="s">
        <v>184</v>
      </c>
      <c r="K24" s="51" t="s">
        <v>249</v>
      </c>
      <c r="L24" s="51">
        <v>2</v>
      </c>
      <c r="M24" s="37">
        <f t="shared" si="1"/>
        <v>100</v>
      </c>
      <c r="N24" s="51">
        <v>105</v>
      </c>
      <c r="O24" s="61" t="s">
        <v>251</v>
      </c>
      <c r="P24" s="52">
        <v>0.1179</v>
      </c>
      <c r="Q24" s="52">
        <f t="shared" ref="Q24" si="8">P24*N24</f>
        <v>12.3795</v>
      </c>
      <c r="R24" s="51"/>
      <c r="S24" s="59"/>
    </row>
    <row r="25" spans="1:19" ht="25.5" x14ac:dyDescent="0.25">
      <c r="A25" s="1"/>
      <c r="B25" s="46">
        <f>ROW(B25) - ROW($B$9)</f>
        <v>16</v>
      </c>
      <c r="C25" s="53" t="s">
        <v>250</v>
      </c>
      <c r="D25" s="62" t="s">
        <v>35</v>
      </c>
      <c r="E25" s="62" t="s">
        <v>73</v>
      </c>
      <c r="F25" s="63" t="s">
        <v>252</v>
      </c>
      <c r="G25" s="62" t="s">
        <v>107</v>
      </c>
      <c r="H25" s="62" t="s">
        <v>249</v>
      </c>
      <c r="I25" s="62" t="s">
        <v>249</v>
      </c>
      <c r="J25" s="62" t="s">
        <v>249</v>
      </c>
      <c r="K25" s="62" t="s">
        <v>249</v>
      </c>
      <c r="L25" s="62">
        <v>1</v>
      </c>
      <c r="M25" s="62">
        <f t="shared" si="1"/>
        <v>50</v>
      </c>
      <c r="N25" s="62" t="s">
        <v>249</v>
      </c>
      <c r="O25" s="62" t="s">
        <v>249</v>
      </c>
      <c r="P25" s="64" t="s">
        <v>249</v>
      </c>
      <c r="Q25" s="64" t="s">
        <v>249</v>
      </c>
      <c r="R25" s="37"/>
      <c r="S25" s="59"/>
    </row>
    <row r="26" spans="1:19" ht="25.5" x14ac:dyDescent="0.25">
      <c r="A26" s="1"/>
      <c r="B26" s="47">
        <f t="shared" si="0"/>
        <v>17</v>
      </c>
      <c r="C26" s="54" t="s">
        <v>13</v>
      </c>
      <c r="D26" s="51" t="s">
        <v>36</v>
      </c>
      <c r="E26" s="51" t="s">
        <v>260</v>
      </c>
      <c r="F26" s="51" t="s">
        <v>252</v>
      </c>
      <c r="G26" s="51" t="s">
        <v>261</v>
      </c>
      <c r="H26" s="51" t="s">
        <v>262</v>
      </c>
      <c r="I26" s="51" t="s">
        <v>249</v>
      </c>
      <c r="J26" s="51" t="s">
        <v>249</v>
      </c>
      <c r="K26" s="51" t="s">
        <v>249</v>
      </c>
      <c r="L26" s="51">
        <v>1</v>
      </c>
      <c r="M26" s="37">
        <f t="shared" si="1"/>
        <v>50</v>
      </c>
      <c r="N26" s="51">
        <v>51</v>
      </c>
      <c r="O26" s="61" t="s">
        <v>264</v>
      </c>
      <c r="P26" s="52">
        <v>2.9</v>
      </c>
      <c r="Q26" s="52">
        <f t="shared" ref="Q26" si="9">P26*N26</f>
        <v>147.9</v>
      </c>
      <c r="R26" s="51"/>
      <c r="S26" s="59"/>
    </row>
    <row r="27" spans="1:19" ht="24" x14ac:dyDescent="0.25">
      <c r="A27" s="1"/>
      <c r="B27" s="46">
        <f>ROW(B27) - ROW($B$9)</f>
        <v>18</v>
      </c>
      <c r="C27" s="53" t="s">
        <v>14</v>
      </c>
      <c r="D27" s="37" t="s">
        <v>37</v>
      </c>
      <c r="E27" s="37" t="s">
        <v>74</v>
      </c>
      <c r="F27" s="51" t="s">
        <v>252</v>
      </c>
      <c r="G27" s="37" t="s">
        <v>130</v>
      </c>
      <c r="H27" s="37" t="s">
        <v>163</v>
      </c>
      <c r="I27" s="37" t="s">
        <v>249</v>
      </c>
      <c r="J27" s="37" t="s">
        <v>185</v>
      </c>
      <c r="K27" s="37" t="s">
        <v>217</v>
      </c>
      <c r="L27" s="37">
        <v>1</v>
      </c>
      <c r="M27" s="37">
        <f t="shared" si="1"/>
        <v>50</v>
      </c>
      <c r="N27" s="37">
        <v>51</v>
      </c>
      <c r="O27" s="61" t="s">
        <v>251</v>
      </c>
      <c r="P27" s="38">
        <v>0.6714</v>
      </c>
      <c r="Q27" s="38">
        <f>P27*N27</f>
        <v>34.241399999999999</v>
      </c>
      <c r="R27" s="37"/>
      <c r="S27" s="59"/>
    </row>
    <row r="28" spans="1:19" ht="60" x14ac:dyDescent="0.25">
      <c r="A28" s="1"/>
      <c r="B28" s="47">
        <f t="shared" si="0"/>
        <v>19</v>
      </c>
      <c r="C28" s="54" t="s">
        <v>15</v>
      </c>
      <c r="D28" s="51" t="s">
        <v>38</v>
      </c>
      <c r="E28" s="51" t="s">
        <v>75</v>
      </c>
      <c r="F28" s="51" t="s">
        <v>108</v>
      </c>
      <c r="G28" s="51" t="s">
        <v>131</v>
      </c>
      <c r="H28" s="51" t="s">
        <v>164</v>
      </c>
      <c r="I28" s="51" t="s">
        <v>249</v>
      </c>
      <c r="J28" s="51" t="s">
        <v>186</v>
      </c>
      <c r="K28" s="37" t="s">
        <v>249</v>
      </c>
      <c r="L28" s="51">
        <v>1</v>
      </c>
      <c r="M28" s="37">
        <f t="shared" si="1"/>
        <v>50</v>
      </c>
      <c r="N28" s="51">
        <v>60</v>
      </c>
      <c r="O28" s="61" t="s">
        <v>251</v>
      </c>
      <c r="P28" s="52">
        <v>3.3500000000000002E-2</v>
      </c>
      <c r="Q28" s="52">
        <f t="shared" ref="Q28" si="10">P28*N28</f>
        <v>2.0100000000000002</v>
      </c>
      <c r="R28" s="51"/>
      <c r="S28" s="59"/>
    </row>
    <row r="29" spans="1:19" ht="36" x14ac:dyDescent="0.25">
      <c r="A29" s="1"/>
      <c r="B29" s="46">
        <f>ROW(B29) - ROW($B$9)</f>
        <v>20</v>
      </c>
      <c r="C29" s="54" t="s">
        <v>15</v>
      </c>
      <c r="D29" s="37" t="s">
        <v>39</v>
      </c>
      <c r="E29" s="37" t="s">
        <v>76</v>
      </c>
      <c r="F29" s="37" t="s">
        <v>109</v>
      </c>
      <c r="G29" s="37" t="s">
        <v>132</v>
      </c>
      <c r="H29" s="37" t="s">
        <v>165</v>
      </c>
      <c r="I29" s="37" t="s">
        <v>249</v>
      </c>
      <c r="J29" s="37" t="s">
        <v>253</v>
      </c>
      <c r="K29" s="51" t="s">
        <v>249</v>
      </c>
      <c r="L29" s="37">
        <v>1</v>
      </c>
      <c r="M29" s="37">
        <f t="shared" si="1"/>
        <v>50</v>
      </c>
      <c r="N29" s="37">
        <v>55</v>
      </c>
      <c r="O29" s="61" t="s">
        <v>251</v>
      </c>
      <c r="P29" s="38">
        <v>0.2636</v>
      </c>
      <c r="Q29" s="38">
        <f>P29*N29</f>
        <v>14.497999999999999</v>
      </c>
      <c r="R29" s="37"/>
      <c r="S29" s="59"/>
    </row>
    <row r="30" spans="1:19" ht="36" x14ac:dyDescent="0.25">
      <c r="A30" s="1"/>
      <c r="B30" s="47">
        <f t="shared" si="0"/>
        <v>21</v>
      </c>
      <c r="C30" s="54" t="s">
        <v>16</v>
      </c>
      <c r="D30" s="51" t="s">
        <v>40</v>
      </c>
      <c r="E30" s="51" t="s">
        <v>77</v>
      </c>
      <c r="F30" s="51" t="s">
        <v>110</v>
      </c>
      <c r="G30" s="51" t="s">
        <v>133</v>
      </c>
      <c r="H30" s="51" t="s">
        <v>166</v>
      </c>
      <c r="I30" s="51" t="s">
        <v>249</v>
      </c>
      <c r="J30" s="51" t="s">
        <v>187</v>
      </c>
      <c r="K30" s="51" t="s">
        <v>218</v>
      </c>
      <c r="L30" s="51">
        <v>1</v>
      </c>
      <c r="M30" s="37">
        <f t="shared" si="1"/>
        <v>50</v>
      </c>
      <c r="N30" s="51">
        <v>100</v>
      </c>
      <c r="O30" s="61" t="s">
        <v>251</v>
      </c>
      <c r="P30" s="52">
        <v>1.8E-3</v>
      </c>
      <c r="Q30" s="52">
        <f t="shared" ref="Q30" si="11">P30*N30</f>
        <v>0.18</v>
      </c>
      <c r="R30" s="51"/>
      <c r="S30" s="59"/>
    </row>
    <row r="31" spans="1:19" x14ac:dyDescent="0.25">
      <c r="A31" s="1"/>
      <c r="B31" s="46">
        <f>ROW(B31) - ROW($B$9)</f>
        <v>22</v>
      </c>
      <c r="C31" s="53" t="s">
        <v>16</v>
      </c>
      <c r="D31" s="37" t="s">
        <v>41</v>
      </c>
      <c r="E31" s="37" t="s">
        <v>78</v>
      </c>
      <c r="F31" s="37" t="s">
        <v>110</v>
      </c>
      <c r="G31" s="37" t="s">
        <v>134</v>
      </c>
      <c r="H31" s="37" t="s">
        <v>157</v>
      </c>
      <c r="I31" s="37" t="s">
        <v>249</v>
      </c>
      <c r="J31" s="37" t="s">
        <v>188</v>
      </c>
      <c r="K31" s="37" t="s">
        <v>219</v>
      </c>
      <c r="L31" s="37">
        <v>1</v>
      </c>
      <c r="M31" s="37">
        <f t="shared" si="1"/>
        <v>50</v>
      </c>
      <c r="N31" s="37">
        <v>100</v>
      </c>
      <c r="O31" s="61" t="s">
        <v>251</v>
      </c>
      <c r="P31" s="38">
        <v>5.8999999999999999E-3</v>
      </c>
      <c r="Q31" s="38">
        <f>P31*N31</f>
        <v>0.59</v>
      </c>
      <c r="R31" s="37"/>
      <c r="S31" s="59"/>
    </row>
    <row r="32" spans="1:19" x14ac:dyDescent="0.25">
      <c r="A32" s="1"/>
      <c r="B32" s="47">
        <f t="shared" si="0"/>
        <v>23</v>
      </c>
      <c r="C32" s="54" t="s">
        <v>16</v>
      </c>
      <c r="D32" s="51" t="s">
        <v>275</v>
      </c>
      <c r="E32" s="51" t="s">
        <v>79</v>
      </c>
      <c r="F32" s="51" t="s">
        <v>111</v>
      </c>
      <c r="G32" s="51" t="s">
        <v>135</v>
      </c>
      <c r="H32" s="51" t="s">
        <v>157</v>
      </c>
      <c r="I32" s="51" t="s">
        <v>249</v>
      </c>
      <c r="J32" s="51" t="s">
        <v>189</v>
      </c>
      <c r="K32" s="51" t="s">
        <v>220</v>
      </c>
      <c r="L32" s="51">
        <v>2</v>
      </c>
      <c r="M32" s="37">
        <f t="shared" si="1"/>
        <v>100</v>
      </c>
      <c r="N32" s="51">
        <v>200</v>
      </c>
      <c r="O32" s="61" t="s">
        <v>251</v>
      </c>
      <c r="P32" s="52">
        <v>6.9999999999999999E-4</v>
      </c>
      <c r="Q32" s="52">
        <f t="shared" ref="Q32" si="12">P32*N32</f>
        <v>0.13999999999999999</v>
      </c>
      <c r="R32" s="51"/>
      <c r="S32" s="59"/>
    </row>
    <row r="33" spans="1:19" x14ac:dyDescent="0.25">
      <c r="A33" s="1"/>
      <c r="B33" s="46">
        <f>ROW(B33) - ROW($B$9)</f>
        <v>24</v>
      </c>
      <c r="C33" s="53" t="s">
        <v>16</v>
      </c>
      <c r="D33" s="37" t="s">
        <v>42</v>
      </c>
      <c r="E33" s="37" t="s">
        <v>80</v>
      </c>
      <c r="F33" s="37" t="s">
        <v>112</v>
      </c>
      <c r="G33" s="37" t="s">
        <v>136</v>
      </c>
      <c r="H33" s="37" t="s">
        <v>157</v>
      </c>
      <c r="I33" s="37" t="s">
        <v>249</v>
      </c>
      <c r="J33" s="37" t="s">
        <v>190</v>
      </c>
      <c r="K33" s="37" t="s">
        <v>221</v>
      </c>
      <c r="L33" s="37">
        <v>1</v>
      </c>
      <c r="M33" s="37">
        <f t="shared" si="1"/>
        <v>50</v>
      </c>
      <c r="N33" s="37">
        <v>55</v>
      </c>
      <c r="O33" s="61" t="s">
        <v>251</v>
      </c>
      <c r="P33" s="38">
        <v>7.0999999999999994E-2</v>
      </c>
      <c r="Q33" s="38">
        <f>P33*N33</f>
        <v>3.9049999999999998</v>
      </c>
      <c r="R33" s="37"/>
      <c r="S33" s="59"/>
    </row>
    <row r="34" spans="1:19" x14ac:dyDescent="0.25">
      <c r="A34" s="1"/>
      <c r="B34" s="47">
        <f t="shared" si="0"/>
        <v>25</v>
      </c>
      <c r="C34" s="54" t="s">
        <v>16</v>
      </c>
      <c r="D34" s="51" t="s">
        <v>43</v>
      </c>
      <c r="E34" s="51" t="s">
        <v>81</v>
      </c>
      <c r="F34" s="51" t="s">
        <v>110</v>
      </c>
      <c r="G34" s="51" t="s">
        <v>137</v>
      </c>
      <c r="H34" s="51" t="s">
        <v>157</v>
      </c>
      <c r="I34" s="37" t="s">
        <v>249</v>
      </c>
      <c r="J34" s="51" t="s">
        <v>191</v>
      </c>
      <c r="K34" s="51" t="s">
        <v>222</v>
      </c>
      <c r="L34" s="51">
        <v>1</v>
      </c>
      <c r="M34" s="37">
        <f t="shared" si="1"/>
        <v>50</v>
      </c>
      <c r="N34" s="51">
        <v>100</v>
      </c>
      <c r="O34" s="61" t="s">
        <v>251</v>
      </c>
      <c r="P34" s="52">
        <v>6.9999999999999999E-4</v>
      </c>
      <c r="Q34" s="52">
        <f t="shared" ref="Q34" si="13">P34*N34</f>
        <v>6.9999999999999993E-2</v>
      </c>
      <c r="R34" s="51"/>
      <c r="S34" s="59"/>
    </row>
    <row r="35" spans="1:19" ht="24" x14ac:dyDescent="0.25">
      <c r="A35" s="1"/>
      <c r="B35" s="46">
        <f>ROW(B35) - ROW($B$9)</f>
        <v>26</v>
      </c>
      <c r="C35" s="53" t="s">
        <v>16</v>
      </c>
      <c r="D35" s="37" t="s">
        <v>44</v>
      </c>
      <c r="E35" s="37" t="s">
        <v>82</v>
      </c>
      <c r="F35" s="37" t="s">
        <v>110</v>
      </c>
      <c r="G35" s="37" t="s">
        <v>138</v>
      </c>
      <c r="H35" s="37" t="s">
        <v>166</v>
      </c>
      <c r="I35" s="51" t="s">
        <v>249</v>
      </c>
      <c r="J35" s="37" t="s">
        <v>192</v>
      </c>
      <c r="K35" s="37" t="s">
        <v>223</v>
      </c>
      <c r="L35" s="37">
        <v>1</v>
      </c>
      <c r="M35" s="37">
        <f t="shared" si="1"/>
        <v>50</v>
      </c>
      <c r="N35" s="37">
        <v>100</v>
      </c>
      <c r="O35" s="61" t="s">
        <v>251</v>
      </c>
      <c r="P35" s="38">
        <v>1E-3</v>
      </c>
      <c r="Q35" s="38">
        <f>P35*N35</f>
        <v>0.1</v>
      </c>
      <c r="R35" s="37"/>
      <c r="S35" s="59"/>
    </row>
    <row r="36" spans="1:19" x14ac:dyDescent="0.25">
      <c r="A36" s="1"/>
      <c r="B36" s="47">
        <f t="shared" si="0"/>
        <v>27</v>
      </c>
      <c r="C36" s="53" t="s">
        <v>16</v>
      </c>
      <c r="D36" s="51" t="s">
        <v>45</v>
      </c>
      <c r="E36" s="51" t="s">
        <v>83</v>
      </c>
      <c r="F36" s="51" t="s">
        <v>113</v>
      </c>
      <c r="G36" s="62" t="s">
        <v>139</v>
      </c>
      <c r="H36" s="51" t="s">
        <v>167</v>
      </c>
      <c r="I36" s="51" t="s">
        <v>258</v>
      </c>
      <c r="J36" s="51" t="s">
        <v>259</v>
      </c>
      <c r="K36" s="51" t="s">
        <v>224</v>
      </c>
      <c r="L36" s="51">
        <v>1</v>
      </c>
      <c r="M36" s="37">
        <f t="shared" si="1"/>
        <v>50</v>
      </c>
      <c r="N36" s="51">
        <v>100</v>
      </c>
      <c r="O36" s="61" t="s">
        <v>251</v>
      </c>
      <c r="P36" s="52">
        <v>1.1999999999999999E-3</v>
      </c>
      <c r="Q36" s="52">
        <f t="shared" ref="Q36" si="14">P36*N36</f>
        <v>0.12</v>
      </c>
      <c r="R36" s="51"/>
      <c r="S36" s="59"/>
    </row>
    <row r="37" spans="1:19" x14ac:dyDescent="0.25">
      <c r="A37" s="1"/>
      <c r="B37" s="46">
        <f>ROW(B37) - ROW($B$9)</f>
        <v>28</v>
      </c>
      <c r="C37" s="53" t="s">
        <v>16</v>
      </c>
      <c r="D37" s="37" t="s">
        <v>46</v>
      </c>
      <c r="E37" s="37" t="s">
        <v>84</v>
      </c>
      <c r="F37" s="37" t="s">
        <v>110</v>
      </c>
      <c r="G37" s="37" t="s">
        <v>140</v>
      </c>
      <c r="H37" s="37" t="s">
        <v>157</v>
      </c>
      <c r="I37" s="37" t="s">
        <v>249</v>
      </c>
      <c r="J37" s="37" t="s">
        <v>193</v>
      </c>
      <c r="K37" s="37" t="s">
        <v>225</v>
      </c>
      <c r="L37" s="37">
        <v>1</v>
      </c>
      <c r="M37" s="37">
        <f t="shared" si="1"/>
        <v>50</v>
      </c>
      <c r="N37" s="37">
        <v>100</v>
      </c>
      <c r="O37" s="61" t="s">
        <v>251</v>
      </c>
      <c r="P37" s="38">
        <v>8.9999999999999998E-4</v>
      </c>
      <c r="Q37" s="38">
        <f>P37*N37</f>
        <v>0.09</v>
      </c>
      <c r="R37" s="37"/>
      <c r="S37" s="59"/>
    </row>
    <row r="38" spans="1:19" x14ac:dyDescent="0.25">
      <c r="A38" s="1"/>
      <c r="B38" s="47">
        <f t="shared" si="0"/>
        <v>29</v>
      </c>
      <c r="C38" s="54" t="s">
        <v>16</v>
      </c>
      <c r="D38" s="51" t="s">
        <v>47</v>
      </c>
      <c r="E38" s="51" t="s">
        <v>85</v>
      </c>
      <c r="F38" s="51" t="s">
        <v>110</v>
      </c>
      <c r="G38" s="51" t="s">
        <v>141</v>
      </c>
      <c r="H38" s="51" t="s">
        <v>157</v>
      </c>
      <c r="I38" s="51" t="s">
        <v>249</v>
      </c>
      <c r="J38" s="51" t="s">
        <v>194</v>
      </c>
      <c r="K38" s="51" t="s">
        <v>226</v>
      </c>
      <c r="L38" s="51">
        <v>1</v>
      </c>
      <c r="M38" s="37">
        <f t="shared" si="1"/>
        <v>50</v>
      </c>
      <c r="N38" s="51">
        <v>100</v>
      </c>
      <c r="O38" s="61" t="s">
        <v>251</v>
      </c>
      <c r="P38" s="52">
        <v>5.8999999999999999E-3</v>
      </c>
      <c r="Q38" s="52">
        <f t="shared" ref="Q38" si="15">P38*N38</f>
        <v>0.59</v>
      </c>
      <c r="R38" s="51"/>
      <c r="S38" s="59"/>
    </row>
    <row r="39" spans="1:19" ht="24" x14ac:dyDescent="0.25">
      <c r="A39" s="1"/>
      <c r="B39" s="46">
        <f>ROW(B39) - ROW($B$9)</f>
        <v>30</v>
      </c>
      <c r="C39" s="53" t="s">
        <v>16</v>
      </c>
      <c r="D39" s="37" t="s">
        <v>269</v>
      </c>
      <c r="E39" s="37" t="s">
        <v>86</v>
      </c>
      <c r="F39" s="37" t="s">
        <v>110</v>
      </c>
      <c r="G39" s="37" t="s">
        <v>142</v>
      </c>
      <c r="H39" s="37" t="s">
        <v>157</v>
      </c>
      <c r="I39" s="37" t="s">
        <v>249</v>
      </c>
      <c r="J39" s="37" t="s">
        <v>195</v>
      </c>
      <c r="K39" s="37" t="s">
        <v>227</v>
      </c>
      <c r="L39" s="37">
        <v>13</v>
      </c>
      <c r="M39" s="37">
        <f t="shared" si="1"/>
        <v>650</v>
      </c>
      <c r="N39" s="37">
        <v>700</v>
      </c>
      <c r="O39" s="61" t="s">
        <v>251</v>
      </c>
      <c r="P39" s="38">
        <v>8.9999999999999998E-4</v>
      </c>
      <c r="Q39" s="38">
        <f>P39*N39</f>
        <v>0.63</v>
      </c>
      <c r="R39" s="37"/>
      <c r="S39" s="59"/>
    </row>
    <row r="40" spans="1:19" x14ac:dyDescent="0.25">
      <c r="A40" s="1"/>
      <c r="B40" s="47">
        <f>ROW(B40) - ROW($B$9)</f>
        <v>31</v>
      </c>
      <c r="C40" s="54" t="s">
        <v>16</v>
      </c>
      <c r="D40" s="51" t="s">
        <v>270</v>
      </c>
      <c r="E40" s="51" t="s">
        <v>89</v>
      </c>
      <c r="F40" s="51" t="s">
        <v>113</v>
      </c>
      <c r="G40" s="51" t="s">
        <v>145</v>
      </c>
      <c r="H40" s="51" t="s">
        <v>157</v>
      </c>
      <c r="I40" s="51" t="s">
        <v>249</v>
      </c>
      <c r="J40" s="51" t="s">
        <v>198</v>
      </c>
      <c r="K40" s="51" t="s">
        <v>230</v>
      </c>
      <c r="L40" s="51">
        <v>3</v>
      </c>
      <c r="M40" s="37">
        <f t="shared" si="1"/>
        <v>150</v>
      </c>
      <c r="N40" s="51">
        <v>200</v>
      </c>
      <c r="O40" s="61" t="s">
        <v>251</v>
      </c>
      <c r="P40" s="52">
        <v>1.2999999999999999E-3</v>
      </c>
      <c r="Q40" s="52">
        <f t="shared" ref="Q40:Q41" si="16">P40*N40</f>
        <v>0.26</v>
      </c>
      <c r="R40" s="51"/>
      <c r="S40" s="59"/>
    </row>
    <row r="41" spans="1:19" x14ac:dyDescent="0.25">
      <c r="A41" s="1"/>
      <c r="B41" s="47">
        <f t="shared" si="0"/>
        <v>32</v>
      </c>
      <c r="C41" s="54" t="s">
        <v>16</v>
      </c>
      <c r="D41" s="51" t="s">
        <v>48</v>
      </c>
      <c r="E41" s="51" t="s">
        <v>87</v>
      </c>
      <c r="F41" s="51" t="s">
        <v>113</v>
      </c>
      <c r="G41" s="51" t="s">
        <v>143</v>
      </c>
      <c r="H41" s="51" t="s">
        <v>157</v>
      </c>
      <c r="I41" s="51" t="s">
        <v>249</v>
      </c>
      <c r="J41" s="51" t="s">
        <v>196</v>
      </c>
      <c r="K41" s="51" t="s">
        <v>228</v>
      </c>
      <c r="L41" s="51">
        <v>1</v>
      </c>
      <c r="M41" s="37">
        <f t="shared" si="1"/>
        <v>50</v>
      </c>
      <c r="N41" s="51">
        <v>100</v>
      </c>
      <c r="O41" s="61" t="s">
        <v>251</v>
      </c>
      <c r="P41" s="52">
        <v>1E-3</v>
      </c>
      <c r="Q41" s="52">
        <f t="shared" si="16"/>
        <v>0.1</v>
      </c>
      <c r="R41" s="51"/>
      <c r="S41" s="59"/>
    </row>
    <row r="42" spans="1:19" x14ac:dyDescent="0.25">
      <c r="A42" s="1"/>
      <c r="B42" s="46">
        <f>ROW(B42) - ROW($B$9)</f>
        <v>33</v>
      </c>
      <c r="C42" s="53" t="s">
        <v>16</v>
      </c>
      <c r="D42" s="37" t="s">
        <v>49</v>
      </c>
      <c r="E42" s="37" t="s">
        <v>88</v>
      </c>
      <c r="F42" s="37" t="s">
        <v>113</v>
      </c>
      <c r="G42" s="37" t="s">
        <v>144</v>
      </c>
      <c r="H42" s="37" t="s">
        <v>157</v>
      </c>
      <c r="I42" s="37" t="s">
        <v>249</v>
      </c>
      <c r="J42" s="37" t="s">
        <v>197</v>
      </c>
      <c r="K42" s="37" t="s">
        <v>229</v>
      </c>
      <c r="L42" s="37">
        <v>2</v>
      </c>
      <c r="M42" s="37">
        <f t="shared" si="1"/>
        <v>100</v>
      </c>
      <c r="N42" s="37">
        <v>200</v>
      </c>
      <c r="O42" s="61" t="s">
        <v>251</v>
      </c>
      <c r="P42" s="38">
        <v>1.1000000000000001E-3</v>
      </c>
      <c r="Q42" s="38">
        <f>P42*N42</f>
        <v>0.22</v>
      </c>
      <c r="R42" s="37"/>
      <c r="S42" s="59"/>
    </row>
    <row r="43" spans="1:19" s="77" customFormat="1" x14ac:dyDescent="0.25">
      <c r="A43" s="75"/>
      <c r="B43" s="46">
        <f>ROW(B43) - ROW($B$9)</f>
        <v>34</v>
      </c>
      <c r="C43" s="53" t="s">
        <v>16</v>
      </c>
      <c r="D43" s="37" t="s">
        <v>50</v>
      </c>
      <c r="E43" s="37" t="s">
        <v>90</v>
      </c>
      <c r="F43" s="37" t="s">
        <v>110</v>
      </c>
      <c r="G43" s="37" t="s">
        <v>146</v>
      </c>
      <c r="H43" s="37" t="s">
        <v>157</v>
      </c>
      <c r="I43" s="37" t="s">
        <v>249</v>
      </c>
      <c r="J43" s="37" t="s">
        <v>199</v>
      </c>
      <c r="K43" s="37" t="s">
        <v>231</v>
      </c>
      <c r="L43" s="37">
        <v>4</v>
      </c>
      <c r="M43" s="37">
        <f t="shared" si="1"/>
        <v>200</v>
      </c>
      <c r="N43" s="37">
        <v>300</v>
      </c>
      <c r="O43" s="61" t="s">
        <v>251</v>
      </c>
      <c r="P43" s="38">
        <v>1E-3</v>
      </c>
      <c r="Q43" s="38">
        <f>P43*N43</f>
        <v>0.3</v>
      </c>
      <c r="R43" s="37"/>
      <c r="S43" s="59"/>
    </row>
    <row r="44" spans="1:19" x14ac:dyDescent="0.25">
      <c r="A44" s="1"/>
      <c r="B44" s="47">
        <f t="shared" si="0"/>
        <v>35</v>
      </c>
      <c r="C44" s="54" t="s">
        <v>16</v>
      </c>
      <c r="D44" s="51" t="s">
        <v>51</v>
      </c>
      <c r="E44" s="51" t="s">
        <v>91</v>
      </c>
      <c r="F44" s="51" t="s">
        <v>113</v>
      </c>
      <c r="G44" s="51" t="s">
        <v>147</v>
      </c>
      <c r="H44" s="51" t="s">
        <v>157</v>
      </c>
      <c r="I44" s="51" t="s">
        <v>249</v>
      </c>
      <c r="J44" s="51" t="s">
        <v>200</v>
      </c>
      <c r="K44" s="51" t="s">
        <v>232</v>
      </c>
      <c r="L44" s="51">
        <v>1</v>
      </c>
      <c r="M44" s="37">
        <f t="shared" si="1"/>
        <v>50</v>
      </c>
      <c r="N44" s="51">
        <v>100</v>
      </c>
      <c r="O44" s="61" t="s">
        <v>251</v>
      </c>
      <c r="P44" s="52">
        <v>2.7000000000000001E-3</v>
      </c>
      <c r="Q44" s="52">
        <f t="shared" ref="Q44" si="17">P44*N44</f>
        <v>0.27</v>
      </c>
      <c r="R44" s="51"/>
      <c r="S44" s="59"/>
    </row>
    <row r="45" spans="1:19" x14ac:dyDescent="0.25">
      <c r="A45" s="1"/>
      <c r="B45" s="46">
        <f>ROW(B45) - ROW($B$9)</f>
        <v>36</v>
      </c>
      <c r="C45" s="53" t="s">
        <v>16</v>
      </c>
      <c r="D45" s="37" t="s">
        <v>52</v>
      </c>
      <c r="E45" s="37" t="s">
        <v>92</v>
      </c>
      <c r="F45" s="37" t="s">
        <v>113</v>
      </c>
      <c r="G45" s="37" t="s">
        <v>148</v>
      </c>
      <c r="H45" s="37" t="s">
        <v>157</v>
      </c>
      <c r="I45" s="37" t="s">
        <v>249</v>
      </c>
      <c r="J45" s="37" t="s">
        <v>201</v>
      </c>
      <c r="K45" s="37" t="s">
        <v>233</v>
      </c>
      <c r="L45" s="37">
        <v>4</v>
      </c>
      <c r="M45" s="37">
        <f t="shared" si="1"/>
        <v>200</v>
      </c>
      <c r="N45" s="37">
        <v>300</v>
      </c>
      <c r="O45" s="61" t="s">
        <v>251</v>
      </c>
      <c r="P45" s="38">
        <v>1.1999999999999999E-3</v>
      </c>
      <c r="Q45" s="38">
        <f>P45*N45</f>
        <v>0.36</v>
      </c>
      <c r="R45" s="37"/>
      <c r="S45" s="59"/>
    </row>
    <row r="46" spans="1:19" ht="24" x14ac:dyDescent="0.25">
      <c r="A46" s="1"/>
      <c r="B46" s="47">
        <f t="shared" si="0"/>
        <v>37</v>
      </c>
      <c r="C46" s="53" t="s">
        <v>16</v>
      </c>
      <c r="D46" s="51" t="s">
        <v>53</v>
      </c>
      <c r="E46" s="51" t="s">
        <v>93</v>
      </c>
      <c r="F46" s="51" t="s">
        <v>113</v>
      </c>
      <c r="G46" s="51" t="s">
        <v>149</v>
      </c>
      <c r="H46" s="51" t="s">
        <v>157</v>
      </c>
      <c r="I46" s="51" t="s">
        <v>249</v>
      </c>
      <c r="J46" s="51" t="s">
        <v>202</v>
      </c>
      <c r="K46" s="51" t="s">
        <v>234</v>
      </c>
      <c r="L46" s="51">
        <v>1</v>
      </c>
      <c r="M46" s="37">
        <f t="shared" si="1"/>
        <v>50</v>
      </c>
      <c r="N46" s="51">
        <v>100</v>
      </c>
      <c r="O46" s="61" t="s">
        <v>251</v>
      </c>
      <c r="P46" s="52">
        <v>1.2999999999999999E-3</v>
      </c>
      <c r="Q46" s="52">
        <f t="shared" ref="Q46" si="18">P46*N46</f>
        <v>0.13</v>
      </c>
      <c r="R46" s="51"/>
      <c r="S46" s="59"/>
    </row>
    <row r="47" spans="1:19" ht="24" x14ac:dyDescent="0.25">
      <c r="A47" s="1"/>
      <c r="B47" s="46">
        <f>ROW(B47) - ROW($B$9)</f>
        <v>38</v>
      </c>
      <c r="C47" s="53" t="s">
        <v>16</v>
      </c>
      <c r="D47" s="37" t="s">
        <v>54</v>
      </c>
      <c r="E47" s="37" t="s">
        <v>94</v>
      </c>
      <c r="F47" s="37" t="s">
        <v>113</v>
      </c>
      <c r="G47" s="37" t="s">
        <v>150</v>
      </c>
      <c r="H47" s="37" t="s">
        <v>157</v>
      </c>
      <c r="I47" s="37" t="s">
        <v>249</v>
      </c>
      <c r="J47" s="37" t="s">
        <v>203</v>
      </c>
      <c r="K47" s="37" t="s">
        <v>235</v>
      </c>
      <c r="L47" s="37">
        <v>1</v>
      </c>
      <c r="M47" s="37">
        <f t="shared" si="1"/>
        <v>50</v>
      </c>
      <c r="N47" s="37">
        <v>100</v>
      </c>
      <c r="O47" s="61" t="s">
        <v>251</v>
      </c>
      <c r="P47" s="38">
        <v>1.2999999999999999E-3</v>
      </c>
      <c r="Q47" s="38">
        <f>P47*N47</f>
        <v>0.13</v>
      </c>
      <c r="R47" s="37"/>
      <c r="S47" s="59"/>
    </row>
    <row r="48" spans="1:19" ht="24" x14ac:dyDescent="0.25">
      <c r="A48" s="1"/>
      <c r="B48" s="47">
        <f t="shared" si="0"/>
        <v>39</v>
      </c>
      <c r="C48" s="54" t="s">
        <v>17</v>
      </c>
      <c r="D48" s="51" t="s">
        <v>55</v>
      </c>
      <c r="E48" s="51" t="s">
        <v>265</v>
      </c>
      <c r="F48" s="51" t="s">
        <v>266</v>
      </c>
      <c r="G48" s="51" t="s">
        <v>267</v>
      </c>
      <c r="H48" s="51" t="s">
        <v>168</v>
      </c>
      <c r="I48" s="51" t="s">
        <v>249</v>
      </c>
      <c r="J48" s="51" t="s">
        <v>268</v>
      </c>
      <c r="K48" s="51" t="s">
        <v>249</v>
      </c>
      <c r="L48" s="51">
        <v>1</v>
      </c>
      <c r="M48" s="37">
        <f t="shared" si="1"/>
        <v>50</v>
      </c>
      <c r="N48" s="51">
        <v>51</v>
      </c>
      <c r="O48" s="61" t="s">
        <v>251</v>
      </c>
      <c r="P48" s="52">
        <v>1.6323000000000001</v>
      </c>
      <c r="Q48" s="52">
        <f t="shared" ref="Q48" si="19">P48*N48</f>
        <v>83.24730000000001</v>
      </c>
      <c r="R48" s="51"/>
      <c r="S48" s="59"/>
    </row>
    <row r="49" spans="1:19" ht="24" x14ac:dyDescent="0.25">
      <c r="A49" s="1"/>
      <c r="B49" s="46">
        <f>ROW(B49) - ROW($B$9)</f>
        <v>40</v>
      </c>
      <c r="C49" s="53" t="s">
        <v>17</v>
      </c>
      <c r="D49" s="37" t="s">
        <v>56</v>
      </c>
      <c r="E49" s="37" t="s">
        <v>95</v>
      </c>
      <c r="F49" s="37" t="s">
        <v>114</v>
      </c>
      <c r="G49" s="37" t="s">
        <v>151</v>
      </c>
      <c r="H49" s="37" t="s">
        <v>169</v>
      </c>
      <c r="I49" s="37" t="s">
        <v>249</v>
      </c>
      <c r="J49" s="37" t="s">
        <v>204</v>
      </c>
      <c r="K49" s="37" t="s">
        <v>249</v>
      </c>
      <c r="L49" s="37">
        <v>1</v>
      </c>
      <c r="M49" s="37">
        <f t="shared" si="1"/>
        <v>50</v>
      </c>
      <c r="N49" s="37">
        <v>51</v>
      </c>
      <c r="O49" s="61" t="s">
        <v>251</v>
      </c>
      <c r="P49" s="38">
        <v>0.4869</v>
      </c>
      <c r="Q49" s="38">
        <f>P49*N49</f>
        <v>24.831900000000001</v>
      </c>
      <c r="R49" s="37"/>
      <c r="S49" s="59"/>
    </row>
    <row r="50" spans="1:19" x14ac:dyDescent="0.25">
      <c r="A50" s="1"/>
      <c r="B50" s="47">
        <f t="shared" si="0"/>
        <v>41</v>
      </c>
      <c r="C50" s="54" t="s">
        <v>17</v>
      </c>
      <c r="D50" s="51" t="s">
        <v>57</v>
      </c>
      <c r="E50" s="51" t="s">
        <v>96</v>
      </c>
      <c r="F50" s="51" t="s">
        <v>115</v>
      </c>
      <c r="G50" s="51" t="s">
        <v>152</v>
      </c>
      <c r="H50" s="51" t="s">
        <v>170</v>
      </c>
      <c r="I50" s="51" t="s">
        <v>249</v>
      </c>
      <c r="J50" s="51" t="s">
        <v>205</v>
      </c>
      <c r="K50" s="51" t="s">
        <v>249</v>
      </c>
      <c r="L50" s="51">
        <v>1</v>
      </c>
      <c r="M50" s="37">
        <f t="shared" si="1"/>
        <v>50</v>
      </c>
      <c r="N50" s="51">
        <v>51</v>
      </c>
      <c r="O50" s="61" t="s">
        <v>251</v>
      </c>
      <c r="P50" s="52">
        <v>2.2336999999999998</v>
      </c>
      <c r="Q50" s="52">
        <f t="shared" ref="Q50:Q52" si="20">P50*N50</f>
        <v>113.91869999999999</v>
      </c>
      <c r="R50" s="51"/>
      <c r="S50" s="59"/>
    </row>
    <row r="51" spans="1:19" ht="15.75" thickBot="1" x14ac:dyDescent="0.3">
      <c r="A51" s="1"/>
      <c r="B51" s="47">
        <f t="shared" si="0"/>
        <v>42</v>
      </c>
      <c r="C51" s="54" t="s">
        <v>19</v>
      </c>
      <c r="D51" s="51" t="s">
        <v>58</v>
      </c>
      <c r="E51" s="51" t="s">
        <v>97</v>
      </c>
      <c r="F51" s="51" t="s">
        <v>252</v>
      </c>
      <c r="G51" s="51" t="s">
        <v>116</v>
      </c>
      <c r="H51" s="51" t="s">
        <v>172</v>
      </c>
      <c r="I51" s="51" t="s">
        <v>249</v>
      </c>
      <c r="J51" s="51" t="s">
        <v>206</v>
      </c>
      <c r="K51" s="51" t="s">
        <v>263</v>
      </c>
      <c r="L51" s="51">
        <v>1</v>
      </c>
      <c r="M51" s="37">
        <f t="shared" si="1"/>
        <v>50</v>
      </c>
      <c r="N51" s="51">
        <v>51</v>
      </c>
      <c r="O51" s="61" t="s">
        <v>251</v>
      </c>
      <c r="P51" s="52">
        <v>0.1827</v>
      </c>
      <c r="Q51" s="52">
        <f t="shared" si="20"/>
        <v>9.3177000000000003</v>
      </c>
      <c r="R51" s="51"/>
      <c r="S51" s="39"/>
    </row>
    <row r="52" spans="1:19" ht="15.75" thickBot="1" x14ac:dyDescent="0.3">
      <c r="A52" s="1"/>
      <c r="B52" s="47">
        <f t="shared" si="0"/>
        <v>43</v>
      </c>
      <c r="C52" s="54" t="s">
        <v>276</v>
      </c>
      <c r="D52" s="51" t="s">
        <v>249</v>
      </c>
      <c r="E52" s="51" t="s">
        <v>249</v>
      </c>
      <c r="F52" s="51" t="s">
        <v>249</v>
      </c>
      <c r="G52" s="51" t="s">
        <v>277</v>
      </c>
      <c r="H52" s="51" t="s">
        <v>278</v>
      </c>
      <c r="I52" s="51" t="s">
        <v>249</v>
      </c>
      <c r="J52" s="51" t="s">
        <v>279</v>
      </c>
      <c r="K52" s="51" t="s">
        <v>249</v>
      </c>
      <c r="L52" s="51">
        <v>1</v>
      </c>
      <c r="M52" s="37">
        <f t="shared" si="1"/>
        <v>50</v>
      </c>
      <c r="N52" s="51">
        <v>50</v>
      </c>
      <c r="O52" s="61" t="s">
        <v>251</v>
      </c>
      <c r="P52" s="52">
        <v>1.2712000000000001</v>
      </c>
      <c r="Q52" s="52">
        <f t="shared" si="20"/>
        <v>63.56</v>
      </c>
      <c r="R52" s="51"/>
      <c r="S52" s="39"/>
    </row>
    <row r="53" spans="1:19" ht="19.5" thickBot="1" x14ac:dyDescent="0.3">
      <c r="A53" s="1"/>
      <c r="B53" s="40"/>
      <c r="C53" s="41"/>
      <c r="D53" s="42"/>
      <c r="E53" s="43"/>
      <c r="F53" s="44"/>
      <c r="G53" s="45"/>
      <c r="H53" s="44"/>
      <c r="I53" s="45"/>
      <c r="J53" s="44"/>
      <c r="K53" s="45"/>
      <c r="L53" s="45"/>
      <c r="M53" s="45"/>
      <c r="N53" s="73" t="s">
        <v>5</v>
      </c>
      <c r="O53" s="74"/>
      <c r="P53" s="74"/>
      <c r="Q53" s="48">
        <f>SUM(Q10:Q52)</f>
        <v>633.49189999999999</v>
      </c>
      <c r="R53" s="69"/>
      <c r="S53" s="70"/>
    </row>
    <row r="54" spans="1:19" ht="19.5" thickBot="1" x14ac:dyDescent="0.3">
      <c r="A54" s="1"/>
      <c r="B54" s="25"/>
      <c r="C54" s="36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73" t="s">
        <v>6</v>
      </c>
      <c r="O54" s="74"/>
      <c r="P54" s="74"/>
      <c r="Q54" s="49">
        <f>Q53/50</f>
        <v>12.669838</v>
      </c>
      <c r="R54" s="71"/>
      <c r="S54" s="72"/>
    </row>
  </sheetData>
  <mergeCells count="5">
    <mergeCell ref="K1:S1"/>
    <mergeCell ref="S3:S8"/>
    <mergeCell ref="N53:P53"/>
    <mergeCell ref="R53:S54"/>
    <mergeCell ref="N54:P54"/>
  </mergeCells>
  <hyperlinks>
    <hyperlink ref="O10" r:id="rId1"/>
    <hyperlink ref="O11" r:id="rId2"/>
    <hyperlink ref="O13" r:id="rId3"/>
    <hyperlink ref="O14" r:id="rId4"/>
    <hyperlink ref="O16" r:id="rId5"/>
    <hyperlink ref="O17" r:id="rId6"/>
    <hyperlink ref="O18" r:id="rId7"/>
    <hyperlink ref="O19" r:id="rId8"/>
    <hyperlink ref="O20" r:id="rId9"/>
    <hyperlink ref="O21" r:id="rId10"/>
    <hyperlink ref="O24" r:id="rId11"/>
    <hyperlink ref="O27" r:id="rId12"/>
    <hyperlink ref="O28" r:id="rId13"/>
    <hyperlink ref="O29" r:id="rId14"/>
    <hyperlink ref="O30" r:id="rId15"/>
    <hyperlink ref="O31" r:id="rId16"/>
    <hyperlink ref="O32" r:id="rId17"/>
    <hyperlink ref="O33" r:id="rId18"/>
    <hyperlink ref="O34" r:id="rId19"/>
    <hyperlink ref="O35" r:id="rId20"/>
    <hyperlink ref="O37" r:id="rId21"/>
    <hyperlink ref="O38" r:id="rId22"/>
    <hyperlink ref="O39" r:id="rId23"/>
    <hyperlink ref="O41" r:id="rId24"/>
    <hyperlink ref="O42" r:id="rId25"/>
    <hyperlink ref="O40" r:id="rId26"/>
    <hyperlink ref="O43" r:id="rId27"/>
    <hyperlink ref="O44" r:id="rId28"/>
    <hyperlink ref="O45" r:id="rId29"/>
    <hyperlink ref="O46" r:id="rId30"/>
    <hyperlink ref="O47" r:id="rId31"/>
    <hyperlink ref="O49" r:id="rId32"/>
    <hyperlink ref="O50" r:id="rId33"/>
    <hyperlink ref="O51" r:id="rId34"/>
    <hyperlink ref="O12" r:id="rId35"/>
    <hyperlink ref="O15" r:id="rId36"/>
    <hyperlink ref="O36" r:id="rId37"/>
    <hyperlink ref="O26" r:id="rId38"/>
    <hyperlink ref="O48" r:id="rId39"/>
    <hyperlink ref="O23" r:id="rId40"/>
    <hyperlink ref="O52" r:id="rId41"/>
    <hyperlink ref="O22" r:id="rId42"/>
  </hyperlinks>
  <pageMargins left="0.7" right="0.7" top="0.75" bottom="0.75" header="0.3" footer="0.3"/>
  <drawing r:id="rId4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opLeftCell="E19" workbookViewId="0">
      <selection activeCell="M44" sqref="M44"/>
    </sheetView>
  </sheetViews>
  <sheetFormatPr defaultRowHeight="15" x14ac:dyDescent="0.25"/>
  <cols>
    <col min="2" max="2" width="3" bestFit="1" customWidth="1"/>
    <col min="3" max="3" width="9.85546875" bestFit="1" customWidth="1"/>
    <col min="4" max="4" width="31.140625" bestFit="1" customWidth="1"/>
    <col min="5" max="5" width="26.140625" customWidth="1"/>
    <col min="6" max="6" width="13.42578125" customWidth="1"/>
    <col min="7" max="7" width="25.28515625" bestFit="1" customWidth="1"/>
    <col min="8" max="8" width="16.7109375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0.28515625" bestFit="1" customWidth="1"/>
    <col min="14" max="14" width="17.28515625" bestFit="1" customWidth="1"/>
    <col min="15" max="15" width="7.7109375" bestFit="1" customWidth="1"/>
    <col min="16" max="16" width="20.7109375" bestFit="1" customWidth="1"/>
    <col min="17" max="17" width="21.42578125" bestFit="1" customWidth="1"/>
    <col min="18" max="18" width="8.5703125" bestFit="1" customWidth="1"/>
    <col min="19" max="19" width="26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5"/>
      <c r="L1" s="65"/>
      <c r="M1" s="65"/>
      <c r="N1" s="65"/>
      <c r="O1" s="65"/>
      <c r="P1" s="65"/>
      <c r="Q1" s="65"/>
      <c r="R1" s="65"/>
      <c r="S1" s="66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237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238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7"/>
    </row>
    <row r="4" spans="1:19" x14ac:dyDescent="0.25">
      <c r="A4" s="1"/>
      <c r="B4" s="22"/>
      <c r="C4" s="32"/>
      <c r="D4" s="13" t="s">
        <v>2</v>
      </c>
      <c r="E4" s="13"/>
      <c r="F4" s="57" t="s">
        <v>239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8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8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8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8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8"/>
    </row>
    <row r="9" spans="1:19" ht="15.75" thickBot="1" x14ac:dyDescent="0.3">
      <c r="A9" s="1"/>
      <c r="B9" s="30" t="s">
        <v>4</v>
      </c>
      <c r="C9" s="30" t="s">
        <v>8</v>
      </c>
      <c r="D9" s="30" t="s">
        <v>20</v>
      </c>
      <c r="E9" s="30" t="s">
        <v>59</v>
      </c>
      <c r="F9" s="30" t="s">
        <v>98</v>
      </c>
      <c r="G9" s="30" t="s">
        <v>117</v>
      </c>
      <c r="H9" s="30" t="s">
        <v>153</v>
      </c>
      <c r="I9" s="30" t="s">
        <v>240</v>
      </c>
      <c r="J9" s="30" t="s">
        <v>173</v>
      </c>
      <c r="K9" s="60" t="s">
        <v>241</v>
      </c>
      <c r="L9" s="30" t="s">
        <v>236</v>
      </c>
      <c r="M9" s="30" t="s">
        <v>292</v>
      </c>
      <c r="N9" s="30" t="s">
        <v>293</v>
      </c>
      <c r="O9" s="30" t="s">
        <v>244</v>
      </c>
      <c r="P9" s="30" t="s">
        <v>294</v>
      </c>
      <c r="Q9" s="30" t="s">
        <v>295</v>
      </c>
      <c r="R9" s="30" t="s">
        <v>247</v>
      </c>
      <c r="S9" s="30" t="s">
        <v>248</v>
      </c>
    </row>
    <row r="10" spans="1:19" s="77" customFormat="1" ht="24" x14ac:dyDescent="0.25">
      <c r="A10" s="75"/>
      <c r="B10" s="46">
        <f>ROW(B10) - ROW($B$9)</f>
        <v>1</v>
      </c>
      <c r="C10" s="53" t="s">
        <v>9</v>
      </c>
      <c r="D10" s="37" t="s">
        <v>21</v>
      </c>
      <c r="E10" s="37" t="s">
        <v>60</v>
      </c>
      <c r="F10" s="37" t="s">
        <v>99</v>
      </c>
      <c r="G10" s="37" t="s">
        <v>118</v>
      </c>
      <c r="H10" s="37" t="s">
        <v>154</v>
      </c>
      <c r="I10" s="37" t="s">
        <v>249</v>
      </c>
      <c r="J10" s="37" t="s">
        <v>174</v>
      </c>
      <c r="K10" s="37" t="s">
        <v>207</v>
      </c>
      <c r="L10" s="37">
        <v>10</v>
      </c>
      <c r="M10" s="37">
        <f>L10*100</f>
        <v>1000</v>
      </c>
      <c r="N10" s="37">
        <v>1050</v>
      </c>
      <c r="O10" s="61" t="s">
        <v>251</v>
      </c>
      <c r="P10" s="38">
        <v>8.9999999999999993E-3</v>
      </c>
      <c r="Q10" s="38">
        <f>P10*N10</f>
        <v>9.4499999999999993</v>
      </c>
      <c r="R10" s="37"/>
      <c r="S10" s="76"/>
    </row>
    <row r="11" spans="1:19" s="77" customFormat="1" ht="48" x14ac:dyDescent="0.25">
      <c r="A11" s="75"/>
      <c r="B11" s="47">
        <f t="shared" ref="B11:B52" si="0">ROW(B11) - ROW($B$9)</f>
        <v>2</v>
      </c>
      <c r="C11" s="54" t="s">
        <v>9</v>
      </c>
      <c r="D11" s="51" t="s">
        <v>22</v>
      </c>
      <c r="E11" s="51" t="s">
        <v>61</v>
      </c>
      <c r="F11" s="51" t="s">
        <v>252</v>
      </c>
      <c r="G11" s="51" t="s">
        <v>100</v>
      </c>
      <c r="H11" s="51" t="s">
        <v>155</v>
      </c>
      <c r="I11" s="51" t="s">
        <v>249</v>
      </c>
      <c r="J11" s="51" t="s">
        <v>175</v>
      </c>
      <c r="K11" s="51" t="s">
        <v>208</v>
      </c>
      <c r="L11" s="51">
        <v>1</v>
      </c>
      <c r="M11" s="37">
        <f t="shared" ref="M11:M52" si="1">L11*100</f>
        <v>100</v>
      </c>
      <c r="N11" s="51">
        <v>110</v>
      </c>
      <c r="O11" s="61" t="s">
        <v>251</v>
      </c>
      <c r="P11" s="52">
        <v>9.5999999999999992E-3</v>
      </c>
      <c r="Q11" s="52">
        <f t="shared" ref="Q11" si="2">P11*N11</f>
        <v>1.0559999999999998</v>
      </c>
      <c r="R11" s="51"/>
      <c r="S11" s="51"/>
    </row>
    <row r="12" spans="1:19" s="77" customFormat="1" x14ac:dyDescent="0.25">
      <c r="A12" s="75"/>
      <c r="B12" s="46">
        <f>ROW(B12) - ROW($B$9)</f>
        <v>3</v>
      </c>
      <c r="C12" s="54" t="s">
        <v>9</v>
      </c>
      <c r="D12" s="37" t="s">
        <v>23</v>
      </c>
      <c r="E12" s="37" t="s">
        <v>62</v>
      </c>
      <c r="F12" s="37" t="s">
        <v>101</v>
      </c>
      <c r="G12" s="62" t="s">
        <v>119</v>
      </c>
      <c r="H12" s="37" t="s">
        <v>154</v>
      </c>
      <c r="I12" s="37" t="s">
        <v>254</v>
      </c>
      <c r="J12" s="37" t="s">
        <v>257</v>
      </c>
      <c r="K12" s="37" t="s">
        <v>209</v>
      </c>
      <c r="L12" s="37">
        <v>3</v>
      </c>
      <c r="M12" s="37">
        <f t="shared" si="1"/>
        <v>300</v>
      </c>
      <c r="N12" s="37">
        <v>300</v>
      </c>
      <c r="O12" s="61" t="s">
        <v>251</v>
      </c>
      <c r="P12" s="38">
        <v>1.2E-2</v>
      </c>
      <c r="Q12" s="38">
        <f>P12*N12</f>
        <v>3.6</v>
      </c>
      <c r="R12" s="37"/>
      <c r="S12" s="59"/>
    </row>
    <row r="13" spans="1:19" s="77" customFormat="1" x14ac:dyDescent="0.25">
      <c r="A13" s="75"/>
      <c r="B13" s="47">
        <f t="shared" si="0"/>
        <v>4</v>
      </c>
      <c r="C13" s="54" t="s">
        <v>9</v>
      </c>
      <c r="D13" s="51" t="s">
        <v>24</v>
      </c>
      <c r="E13" s="51" t="s">
        <v>63</v>
      </c>
      <c r="F13" s="51" t="s">
        <v>102</v>
      </c>
      <c r="G13" s="51" t="s">
        <v>120</v>
      </c>
      <c r="H13" s="51" t="s">
        <v>156</v>
      </c>
      <c r="I13" s="51" t="s">
        <v>249</v>
      </c>
      <c r="J13" s="51" t="s">
        <v>176</v>
      </c>
      <c r="K13" s="51" t="s">
        <v>210</v>
      </c>
      <c r="L13" s="51">
        <v>1</v>
      </c>
      <c r="M13" s="37">
        <f t="shared" si="1"/>
        <v>100</v>
      </c>
      <c r="N13" s="51">
        <v>101</v>
      </c>
      <c r="O13" s="61" t="s">
        <v>251</v>
      </c>
      <c r="P13" s="52">
        <v>0.85119999999999996</v>
      </c>
      <c r="Q13" s="52">
        <f t="shared" ref="Q13" si="3">P13*N13</f>
        <v>85.971199999999996</v>
      </c>
      <c r="R13" s="51"/>
      <c r="S13" s="59"/>
    </row>
    <row r="14" spans="1:19" s="77" customFormat="1" ht="24" x14ac:dyDescent="0.25">
      <c r="A14" s="75"/>
      <c r="B14" s="46">
        <f>ROW(B14) - ROW($B$9)</f>
        <v>5</v>
      </c>
      <c r="C14" s="53" t="s">
        <v>9</v>
      </c>
      <c r="D14" s="37" t="s">
        <v>25</v>
      </c>
      <c r="E14" s="37" t="s">
        <v>64</v>
      </c>
      <c r="F14" s="37" t="s">
        <v>99</v>
      </c>
      <c r="G14" s="37" t="s">
        <v>121</v>
      </c>
      <c r="H14" s="37" t="s">
        <v>157</v>
      </c>
      <c r="I14" s="37" t="s">
        <v>249</v>
      </c>
      <c r="J14" s="37" t="s">
        <v>177</v>
      </c>
      <c r="K14" s="37" t="s">
        <v>211</v>
      </c>
      <c r="L14" s="37">
        <v>1</v>
      </c>
      <c r="M14" s="37">
        <f t="shared" si="1"/>
        <v>100</v>
      </c>
      <c r="N14" s="37">
        <v>200</v>
      </c>
      <c r="O14" s="61" t="s">
        <v>251</v>
      </c>
      <c r="P14" s="38">
        <v>2.3999999999999998E-3</v>
      </c>
      <c r="Q14" s="38">
        <f>P14*N14</f>
        <v>0.48</v>
      </c>
      <c r="R14" s="37"/>
      <c r="S14" s="59"/>
    </row>
    <row r="15" spans="1:19" s="77" customFormat="1" x14ac:dyDescent="0.25">
      <c r="A15" s="75"/>
      <c r="B15" s="47">
        <f t="shared" si="0"/>
        <v>6</v>
      </c>
      <c r="C15" s="54" t="s">
        <v>9</v>
      </c>
      <c r="D15" s="51" t="s">
        <v>26</v>
      </c>
      <c r="E15" s="51" t="s">
        <v>65</v>
      </c>
      <c r="F15" s="51" t="s">
        <v>99</v>
      </c>
      <c r="G15" s="62" t="s">
        <v>122</v>
      </c>
      <c r="H15" s="51" t="s">
        <v>157</v>
      </c>
      <c r="I15" s="51" t="s">
        <v>255</v>
      </c>
      <c r="J15" s="51" t="s">
        <v>256</v>
      </c>
      <c r="K15" s="51" t="s">
        <v>212</v>
      </c>
      <c r="L15" s="51">
        <v>3</v>
      </c>
      <c r="M15" s="37">
        <f t="shared" si="1"/>
        <v>300</v>
      </c>
      <c r="N15" s="51">
        <v>400</v>
      </c>
      <c r="O15" s="61" t="s">
        <v>251</v>
      </c>
      <c r="P15" s="52">
        <v>1.9E-3</v>
      </c>
      <c r="Q15" s="52">
        <f t="shared" ref="Q15" si="4">P15*N15</f>
        <v>0.76</v>
      </c>
      <c r="R15" s="51"/>
      <c r="S15" s="59"/>
    </row>
    <row r="16" spans="1:19" s="77" customFormat="1" x14ac:dyDescent="0.25">
      <c r="A16" s="75"/>
      <c r="B16" s="46">
        <f>ROW(B16) - ROW($B$9)</f>
        <v>7</v>
      </c>
      <c r="C16" s="53" t="s">
        <v>9</v>
      </c>
      <c r="D16" s="37" t="s">
        <v>27</v>
      </c>
      <c r="E16" s="37" t="s">
        <v>66</v>
      </c>
      <c r="F16" s="37" t="s">
        <v>101</v>
      </c>
      <c r="G16" s="37" t="s">
        <v>123</v>
      </c>
      <c r="H16" s="37" t="s">
        <v>158</v>
      </c>
      <c r="I16" s="37" t="s">
        <v>249</v>
      </c>
      <c r="J16" s="37" t="s">
        <v>178</v>
      </c>
      <c r="K16" s="37" t="s">
        <v>213</v>
      </c>
      <c r="L16" s="37">
        <v>1</v>
      </c>
      <c r="M16" s="37">
        <f t="shared" si="1"/>
        <v>100</v>
      </c>
      <c r="N16" s="37">
        <v>101</v>
      </c>
      <c r="O16" s="61" t="s">
        <v>251</v>
      </c>
      <c r="P16" s="38">
        <v>0.67459999999999998</v>
      </c>
      <c r="Q16" s="38">
        <f>P16*N16</f>
        <v>68.134599999999992</v>
      </c>
      <c r="R16" s="37"/>
      <c r="S16" s="59"/>
    </row>
    <row r="17" spans="1:19" s="77" customFormat="1" x14ac:dyDescent="0.25">
      <c r="A17" s="75"/>
      <c r="B17" s="47">
        <f t="shared" si="0"/>
        <v>8</v>
      </c>
      <c r="C17" s="54" t="s">
        <v>9</v>
      </c>
      <c r="D17" s="51" t="s">
        <v>28</v>
      </c>
      <c r="E17" s="51" t="s">
        <v>67</v>
      </c>
      <c r="F17" s="51" t="s">
        <v>101</v>
      </c>
      <c r="G17" s="51" t="s">
        <v>124</v>
      </c>
      <c r="H17" s="51" t="s">
        <v>159</v>
      </c>
      <c r="I17" s="51" t="s">
        <v>249</v>
      </c>
      <c r="J17" s="51" t="s">
        <v>179</v>
      </c>
      <c r="K17" s="51" t="s">
        <v>214</v>
      </c>
      <c r="L17" s="51">
        <v>2</v>
      </c>
      <c r="M17" s="37">
        <f t="shared" si="1"/>
        <v>200</v>
      </c>
      <c r="N17" s="51">
        <v>300</v>
      </c>
      <c r="O17" s="61" t="s">
        <v>251</v>
      </c>
      <c r="P17" s="52">
        <v>2.8E-3</v>
      </c>
      <c r="Q17" s="52">
        <f t="shared" ref="Q17" si="5">P17*N17</f>
        <v>0.84</v>
      </c>
      <c r="R17" s="51"/>
      <c r="S17" s="59"/>
    </row>
    <row r="18" spans="1:19" s="77" customFormat="1" x14ac:dyDescent="0.25">
      <c r="A18" s="75"/>
      <c r="B18" s="46">
        <f>ROW(B18) - ROW($B$9)</f>
        <v>9</v>
      </c>
      <c r="C18" s="53" t="s">
        <v>9</v>
      </c>
      <c r="D18" s="37" t="s">
        <v>29</v>
      </c>
      <c r="E18" s="37" t="s">
        <v>68</v>
      </c>
      <c r="F18" s="37" t="s">
        <v>101</v>
      </c>
      <c r="G18" s="37" t="s">
        <v>125</v>
      </c>
      <c r="H18" s="37" t="s">
        <v>157</v>
      </c>
      <c r="I18" s="37" t="s">
        <v>249</v>
      </c>
      <c r="J18" s="37" t="s">
        <v>180</v>
      </c>
      <c r="K18" s="37" t="s">
        <v>215</v>
      </c>
      <c r="L18" s="37">
        <v>2</v>
      </c>
      <c r="M18" s="37">
        <f t="shared" si="1"/>
        <v>200</v>
      </c>
      <c r="N18" s="37">
        <v>300</v>
      </c>
      <c r="O18" s="61" t="s">
        <v>251</v>
      </c>
      <c r="P18" s="38">
        <v>6.4999999999999997E-3</v>
      </c>
      <c r="Q18" s="38">
        <f>P18*N18</f>
        <v>1.95</v>
      </c>
      <c r="R18" s="37"/>
      <c r="S18" s="59"/>
    </row>
    <row r="19" spans="1:19" s="77" customFormat="1" x14ac:dyDescent="0.25">
      <c r="A19" s="75"/>
      <c r="B19" s="47">
        <f t="shared" si="0"/>
        <v>10</v>
      </c>
      <c r="C19" s="53" t="s">
        <v>9</v>
      </c>
      <c r="D19" s="51" t="s">
        <v>30</v>
      </c>
      <c r="E19" s="51" t="s">
        <v>69</v>
      </c>
      <c r="F19" s="51" t="s">
        <v>101</v>
      </c>
      <c r="G19" s="51" t="s">
        <v>126</v>
      </c>
      <c r="H19" s="51" t="s">
        <v>158</v>
      </c>
      <c r="I19" s="51" t="s">
        <v>249</v>
      </c>
      <c r="J19" s="51" t="s">
        <v>181</v>
      </c>
      <c r="K19" s="51" t="s">
        <v>216</v>
      </c>
      <c r="L19" s="51">
        <v>1</v>
      </c>
      <c r="M19" s="37">
        <f t="shared" si="1"/>
        <v>100</v>
      </c>
      <c r="N19" s="51">
        <v>110</v>
      </c>
      <c r="O19" s="61" t="s">
        <v>251</v>
      </c>
      <c r="P19" s="52">
        <v>3.5000000000000003E-2</v>
      </c>
      <c r="Q19" s="52">
        <f t="shared" ref="Q19" si="6">P19*N19</f>
        <v>3.8500000000000005</v>
      </c>
      <c r="R19" s="51"/>
      <c r="S19" s="59"/>
    </row>
    <row r="20" spans="1:19" s="77" customFormat="1" ht="24" x14ac:dyDescent="0.25">
      <c r="A20" s="75"/>
      <c r="B20" s="46">
        <f>ROW(B20) - ROW($B$9)</f>
        <v>11</v>
      </c>
      <c r="C20" s="53" t="s">
        <v>10</v>
      </c>
      <c r="D20" s="37" t="s">
        <v>31</v>
      </c>
      <c r="E20" s="37" t="s">
        <v>70</v>
      </c>
      <c r="F20" s="37" t="s">
        <v>103</v>
      </c>
      <c r="G20" s="37" t="s">
        <v>127</v>
      </c>
      <c r="H20" s="37" t="s">
        <v>160</v>
      </c>
      <c r="I20" s="37" t="s">
        <v>249</v>
      </c>
      <c r="J20" s="37" t="s">
        <v>182</v>
      </c>
      <c r="K20" s="37" t="s">
        <v>249</v>
      </c>
      <c r="L20" s="37">
        <v>1</v>
      </c>
      <c r="M20" s="37">
        <f t="shared" si="1"/>
        <v>100</v>
      </c>
      <c r="N20" s="37">
        <v>110</v>
      </c>
      <c r="O20" s="61" t="s">
        <v>251</v>
      </c>
      <c r="P20" s="38">
        <v>3.9300000000000002E-2</v>
      </c>
      <c r="Q20" s="38">
        <f>P20*N20</f>
        <v>4.3230000000000004</v>
      </c>
      <c r="R20" s="37"/>
      <c r="S20" s="59"/>
    </row>
    <row r="21" spans="1:19" s="77" customFormat="1" x14ac:dyDescent="0.25">
      <c r="A21" s="75"/>
      <c r="B21" s="47">
        <f t="shared" si="0"/>
        <v>12</v>
      </c>
      <c r="C21" s="54" t="s">
        <v>10</v>
      </c>
      <c r="D21" s="51" t="s">
        <v>32</v>
      </c>
      <c r="E21" s="51" t="s">
        <v>71</v>
      </c>
      <c r="F21" s="51" t="s">
        <v>104</v>
      </c>
      <c r="G21" s="51" t="s">
        <v>128</v>
      </c>
      <c r="H21" s="51" t="s">
        <v>161</v>
      </c>
      <c r="I21" s="51" t="s">
        <v>249</v>
      </c>
      <c r="J21" s="51" t="s">
        <v>183</v>
      </c>
      <c r="K21" s="51" t="s">
        <v>249</v>
      </c>
      <c r="L21" s="51">
        <v>1</v>
      </c>
      <c r="M21" s="37">
        <f t="shared" si="1"/>
        <v>100</v>
      </c>
      <c r="N21" s="51">
        <v>105</v>
      </c>
      <c r="O21" s="61" t="s">
        <v>251</v>
      </c>
      <c r="P21" s="52">
        <v>4.0099999999999997E-2</v>
      </c>
      <c r="Q21" s="52">
        <f t="shared" ref="Q21:Q22" si="7">P21*N21</f>
        <v>4.2104999999999997</v>
      </c>
      <c r="R21" s="51"/>
      <c r="S21" s="59"/>
    </row>
    <row r="22" spans="1:19" s="84" customFormat="1" x14ac:dyDescent="0.25">
      <c r="A22" s="78"/>
      <c r="B22" s="85">
        <f t="shared" si="0"/>
        <v>13</v>
      </c>
      <c r="C22" s="79" t="s">
        <v>18</v>
      </c>
      <c r="D22" s="80" t="s">
        <v>280</v>
      </c>
      <c r="E22" s="80" t="s">
        <v>281</v>
      </c>
      <c r="F22" s="80" t="s">
        <v>109</v>
      </c>
      <c r="G22" s="80" t="s">
        <v>282</v>
      </c>
      <c r="H22" s="80" t="s">
        <v>171</v>
      </c>
      <c r="I22" s="80" t="s">
        <v>249</v>
      </c>
      <c r="J22" s="80" t="s">
        <v>283</v>
      </c>
      <c r="K22" s="80"/>
      <c r="L22" s="80">
        <v>2</v>
      </c>
      <c r="M22" s="80">
        <f t="shared" si="1"/>
        <v>200</v>
      </c>
      <c r="N22" s="80">
        <v>205</v>
      </c>
      <c r="O22" s="81" t="s">
        <v>251</v>
      </c>
      <c r="P22" s="82">
        <v>0.1108</v>
      </c>
      <c r="Q22" s="82">
        <f t="shared" si="7"/>
        <v>22.713999999999999</v>
      </c>
      <c r="R22" s="80"/>
      <c r="S22" s="83"/>
    </row>
    <row r="23" spans="1:19" s="77" customFormat="1" ht="36" x14ac:dyDescent="0.25">
      <c r="A23" s="75"/>
      <c r="B23" s="46">
        <f>ROW(B23) - ROW($B$9)</f>
        <v>14</v>
      </c>
      <c r="C23" s="53" t="s">
        <v>11</v>
      </c>
      <c r="D23" s="37" t="s">
        <v>33</v>
      </c>
      <c r="E23" s="37" t="s">
        <v>271</v>
      </c>
      <c r="F23" s="37" t="s">
        <v>105</v>
      </c>
      <c r="G23" s="37" t="s">
        <v>272</v>
      </c>
      <c r="H23" s="37" t="s">
        <v>273</v>
      </c>
      <c r="I23" s="37" t="s">
        <v>249</v>
      </c>
      <c r="J23" s="37" t="s">
        <v>274</v>
      </c>
      <c r="K23" s="37" t="s">
        <v>249</v>
      </c>
      <c r="L23" s="37">
        <v>1</v>
      </c>
      <c r="M23" s="37">
        <f t="shared" si="1"/>
        <v>100</v>
      </c>
      <c r="N23" s="37">
        <v>105</v>
      </c>
      <c r="O23" s="61" t="s">
        <v>251</v>
      </c>
      <c r="P23" s="38">
        <v>7.5800000000000006E-2</v>
      </c>
      <c r="Q23" s="38">
        <f>P23*N23</f>
        <v>7.9590000000000005</v>
      </c>
      <c r="R23" s="37"/>
      <c r="S23" s="59"/>
    </row>
    <row r="24" spans="1:19" s="77" customFormat="1" ht="25.5" x14ac:dyDescent="0.25">
      <c r="A24" s="75"/>
      <c r="B24" s="47">
        <f t="shared" si="0"/>
        <v>15</v>
      </c>
      <c r="C24" s="54" t="s">
        <v>12</v>
      </c>
      <c r="D24" s="51" t="s">
        <v>34</v>
      </c>
      <c r="E24" s="51" t="s">
        <v>72</v>
      </c>
      <c r="F24" s="51" t="s">
        <v>106</v>
      </c>
      <c r="G24" s="51" t="s">
        <v>129</v>
      </c>
      <c r="H24" s="51" t="s">
        <v>162</v>
      </c>
      <c r="I24" s="51" t="s">
        <v>249</v>
      </c>
      <c r="J24" s="51" t="s">
        <v>184</v>
      </c>
      <c r="K24" s="51" t="s">
        <v>249</v>
      </c>
      <c r="L24" s="51">
        <v>2</v>
      </c>
      <c r="M24" s="37">
        <f t="shared" si="1"/>
        <v>200</v>
      </c>
      <c r="N24" s="51">
        <v>205</v>
      </c>
      <c r="O24" s="61" t="s">
        <v>251</v>
      </c>
      <c r="P24" s="52">
        <v>0.10580000000000001</v>
      </c>
      <c r="Q24" s="52">
        <f t="shared" ref="Q24" si="8">P24*N24</f>
        <v>21.689</v>
      </c>
      <c r="R24" s="51"/>
      <c r="S24" s="59"/>
    </row>
    <row r="25" spans="1:19" s="77" customFormat="1" ht="25.5" x14ac:dyDescent="0.25">
      <c r="A25" s="75"/>
      <c r="B25" s="46">
        <f>ROW(B25) - ROW($B$9)</f>
        <v>16</v>
      </c>
      <c r="C25" s="53" t="s">
        <v>250</v>
      </c>
      <c r="D25" s="62" t="s">
        <v>35</v>
      </c>
      <c r="E25" s="62" t="s">
        <v>73</v>
      </c>
      <c r="F25" s="63" t="s">
        <v>252</v>
      </c>
      <c r="G25" s="62" t="s">
        <v>107</v>
      </c>
      <c r="H25" s="62" t="s">
        <v>249</v>
      </c>
      <c r="I25" s="62" t="s">
        <v>249</v>
      </c>
      <c r="J25" s="62" t="s">
        <v>249</v>
      </c>
      <c r="K25" s="62" t="s">
        <v>249</v>
      </c>
      <c r="L25" s="62">
        <v>1</v>
      </c>
      <c r="M25" s="37">
        <f t="shared" si="1"/>
        <v>100</v>
      </c>
      <c r="N25" s="62" t="s">
        <v>249</v>
      </c>
      <c r="O25" s="62" t="s">
        <v>249</v>
      </c>
      <c r="P25" s="64" t="s">
        <v>249</v>
      </c>
      <c r="Q25" s="64" t="s">
        <v>249</v>
      </c>
      <c r="R25" s="37"/>
      <c r="S25" s="59"/>
    </row>
    <row r="26" spans="1:19" s="77" customFormat="1" ht="25.5" x14ac:dyDescent="0.25">
      <c r="A26" s="75"/>
      <c r="B26" s="47">
        <f t="shared" si="0"/>
        <v>17</v>
      </c>
      <c r="C26" s="54" t="s">
        <v>13</v>
      </c>
      <c r="D26" s="51" t="s">
        <v>36</v>
      </c>
      <c r="E26" s="51" t="s">
        <v>260</v>
      </c>
      <c r="F26" s="51" t="s">
        <v>252</v>
      </c>
      <c r="G26" s="51" t="s">
        <v>261</v>
      </c>
      <c r="H26" s="51" t="s">
        <v>262</v>
      </c>
      <c r="I26" s="37" t="s">
        <v>249</v>
      </c>
      <c r="J26" s="51" t="s">
        <v>249</v>
      </c>
      <c r="K26" s="51" t="s">
        <v>249</v>
      </c>
      <c r="L26" s="51">
        <v>1</v>
      </c>
      <c r="M26" s="37">
        <f t="shared" si="1"/>
        <v>100</v>
      </c>
      <c r="N26" s="51">
        <v>101</v>
      </c>
      <c r="O26" s="61" t="s">
        <v>264</v>
      </c>
      <c r="P26" s="52">
        <v>2.76</v>
      </c>
      <c r="Q26" s="52">
        <f t="shared" ref="Q26" si="9">P26*N26</f>
        <v>278.76</v>
      </c>
      <c r="R26" s="51"/>
      <c r="S26" s="59"/>
    </row>
    <row r="27" spans="1:19" s="77" customFormat="1" ht="24" x14ac:dyDescent="0.25">
      <c r="A27" s="75"/>
      <c r="B27" s="46">
        <f>ROW(B27) - ROW($B$9)</f>
        <v>18</v>
      </c>
      <c r="C27" s="53" t="s">
        <v>14</v>
      </c>
      <c r="D27" s="37" t="s">
        <v>37</v>
      </c>
      <c r="E27" s="37" t="s">
        <v>74</v>
      </c>
      <c r="F27" s="51" t="s">
        <v>252</v>
      </c>
      <c r="G27" s="37" t="s">
        <v>130</v>
      </c>
      <c r="H27" s="37" t="s">
        <v>163</v>
      </c>
      <c r="I27" s="51" t="s">
        <v>249</v>
      </c>
      <c r="J27" s="37" t="s">
        <v>185</v>
      </c>
      <c r="K27" s="37" t="s">
        <v>217</v>
      </c>
      <c r="L27" s="37">
        <v>1</v>
      </c>
      <c r="M27" s="37">
        <f t="shared" si="1"/>
        <v>100</v>
      </c>
      <c r="N27" s="37">
        <v>101</v>
      </c>
      <c r="O27" s="61" t="s">
        <v>251</v>
      </c>
      <c r="P27" s="38">
        <v>0.5887</v>
      </c>
      <c r="Q27" s="38">
        <f>P27*N27</f>
        <v>59.4587</v>
      </c>
      <c r="R27" s="37"/>
      <c r="S27" s="59"/>
    </row>
    <row r="28" spans="1:19" s="77" customFormat="1" ht="60" x14ac:dyDescent="0.25">
      <c r="A28" s="75"/>
      <c r="B28" s="47">
        <f t="shared" si="0"/>
        <v>19</v>
      </c>
      <c r="C28" s="54" t="s">
        <v>15</v>
      </c>
      <c r="D28" s="51" t="s">
        <v>38</v>
      </c>
      <c r="E28" s="51" t="s">
        <v>75</v>
      </c>
      <c r="F28" s="51" t="s">
        <v>108</v>
      </c>
      <c r="G28" s="51" t="s">
        <v>131</v>
      </c>
      <c r="H28" s="51" t="s">
        <v>164</v>
      </c>
      <c r="I28" s="37" t="s">
        <v>249</v>
      </c>
      <c r="J28" s="51" t="s">
        <v>186</v>
      </c>
      <c r="K28" s="37" t="s">
        <v>249</v>
      </c>
      <c r="L28" s="51">
        <v>1</v>
      </c>
      <c r="M28" s="37">
        <f t="shared" si="1"/>
        <v>100</v>
      </c>
      <c r="N28" s="51">
        <v>120</v>
      </c>
      <c r="O28" s="61" t="s">
        <v>251</v>
      </c>
      <c r="P28" s="52">
        <v>3.3500000000000002E-2</v>
      </c>
      <c r="Q28" s="52">
        <f t="shared" ref="Q28" si="10">P28*N28</f>
        <v>4.0200000000000005</v>
      </c>
      <c r="R28" s="51"/>
      <c r="S28" s="59"/>
    </row>
    <row r="29" spans="1:19" s="77" customFormat="1" ht="24" x14ac:dyDescent="0.25">
      <c r="A29" s="75"/>
      <c r="B29" s="46">
        <f>ROW(B29) - ROW($B$9)</f>
        <v>20</v>
      </c>
      <c r="C29" s="54" t="s">
        <v>15</v>
      </c>
      <c r="D29" s="37" t="s">
        <v>39</v>
      </c>
      <c r="E29" s="37" t="s">
        <v>76</v>
      </c>
      <c r="F29" s="37" t="s">
        <v>109</v>
      </c>
      <c r="G29" s="37" t="s">
        <v>132</v>
      </c>
      <c r="H29" s="37" t="s">
        <v>165</v>
      </c>
      <c r="I29" s="51" t="s">
        <v>249</v>
      </c>
      <c r="J29" s="37" t="s">
        <v>253</v>
      </c>
      <c r="K29" s="51" t="s">
        <v>249</v>
      </c>
      <c r="L29" s="37">
        <v>1</v>
      </c>
      <c r="M29" s="37">
        <f t="shared" si="1"/>
        <v>100</v>
      </c>
      <c r="N29" s="37">
        <v>105</v>
      </c>
      <c r="O29" s="61" t="s">
        <v>251</v>
      </c>
      <c r="P29" s="38">
        <v>0.2636</v>
      </c>
      <c r="Q29" s="38">
        <f>P29*N29</f>
        <v>27.678000000000001</v>
      </c>
      <c r="R29" s="37"/>
      <c r="S29" s="59"/>
    </row>
    <row r="30" spans="1:19" s="77" customFormat="1" ht="48" x14ac:dyDescent="0.25">
      <c r="A30" s="75"/>
      <c r="B30" s="47">
        <f t="shared" si="0"/>
        <v>21</v>
      </c>
      <c r="C30" s="54" t="s">
        <v>16</v>
      </c>
      <c r="D30" s="51" t="s">
        <v>40</v>
      </c>
      <c r="E30" s="51" t="s">
        <v>77</v>
      </c>
      <c r="F30" s="51" t="s">
        <v>110</v>
      </c>
      <c r="G30" s="51" t="s">
        <v>133</v>
      </c>
      <c r="H30" s="51" t="s">
        <v>166</v>
      </c>
      <c r="I30" s="37" t="s">
        <v>249</v>
      </c>
      <c r="J30" s="51" t="s">
        <v>187</v>
      </c>
      <c r="K30" s="51" t="s">
        <v>218</v>
      </c>
      <c r="L30" s="51">
        <v>1</v>
      </c>
      <c r="M30" s="37">
        <f t="shared" si="1"/>
        <v>100</v>
      </c>
      <c r="N30" s="51">
        <v>200</v>
      </c>
      <c r="O30" s="61" t="s">
        <v>251</v>
      </c>
      <c r="P30" s="52">
        <v>1.8E-3</v>
      </c>
      <c r="Q30" s="52">
        <f t="shared" ref="Q30" si="11">P30*N30</f>
        <v>0.36</v>
      </c>
      <c r="R30" s="51"/>
      <c r="S30" s="59"/>
    </row>
    <row r="31" spans="1:19" s="77" customFormat="1" x14ac:dyDescent="0.25">
      <c r="A31" s="75"/>
      <c r="B31" s="46">
        <f>ROW(B31) - ROW($B$9)</f>
        <v>22</v>
      </c>
      <c r="C31" s="53" t="s">
        <v>16</v>
      </c>
      <c r="D31" s="37" t="s">
        <v>41</v>
      </c>
      <c r="E31" s="37" t="s">
        <v>78</v>
      </c>
      <c r="F31" s="37" t="s">
        <v>110</v>
      </c>
      <c r="G31" s="37" t="s">
        <v>134</v>
      </c>
      <c r="H31" s="37" t="s">
        <v>157</v>
      </c>
      <c r="I31" s="51" t="s">
        <v>249</v>
      </c>
      <c r="J31" s="37" t="s">
        <v>188</v>
      </c>
      <c r="K31" s="37" t="s">
        <v>219</v>
      </c>
      <c r="L31" s="37">
        <v>1</v>
      </c>
      <c r="M31" s="37">
        <f t="shared" si="1"/>
        <v>100</v>
      </c>
      <c r="N31" s="37">
        <v>150</v>
      </c>
      <c r="O31" s="61" t="s">
        <v>251</v>
      </c>
      <c r="P31" s="38">
        <v>5.8999999999999999E-3</v>
      </c>
      <c r="Q31" s="38">
        <f>P31*N31</f>
        <v>0.88500000000000001</v>
      </c>
      <c r="R31" s="37"/>
      <c r="S31" s="59"/>
    </row>
    <row r="32" spans="1:19" s="77" customFormat="1" x14ac:dyDescent="0.25">
      <c r="A32" s="75"/>
      <c r="B32" s="47">
        <f t="shared" si="0"/>
        <v>23</v>
      </c>
      <c r="C32" s="54" t="s">
        <v>16</v>
      </c>
      <c r="D32" s="51" t="s">
        <v>275</v>
      </c>
      <c r="E32" s="51" t="s">
        <v>79</v>
      </c>
      <c r="F32" s="51" t="s">
        <v>111</v>
      </c>
      <c r="G32" s="51" t="s">
        <v>135</v>
      </c>
      <c r="H32" s="51" t="s">
        <v>157</v>
      </c>
      <c r="I32" s="37" t="s">
        <v>249</v>
      </c>
      <c r="J32" s="51" t="s">
        <v>189</v>
      </c>
      <c r="K32" s="51" t="s">
        <v>220</v>
      </c>
      <c r="L32" s="51">
        <v>2</v>
      </c>
      <c r="M32" s="37">
        <f t="shared" si="1"/>
        <v>200</v>
      </c>
      <c r="N32" s="51">
        <v>300</v>
      </c>
      <c r="O32" s="61" t="s">
        <v>251</v>
      </c>
      <c r="P32" s="52">
        <v>6.9999999999999999E-4</v>
      </c>
      <c r="Q32" s="52">
        <f t="shared" ref="Q32" si="12">P32*N32</f>
        <v>0.21</v>
      </c>
      <c r="R32" s="51"/>
      <c r="S32" s="59"/>
    </row>
    <row r="33" spans="1:19" s="77" customFormat="1" x14ac:dyDescent="0.25">
      <c r="A33" s="75"/>
      <c r="B33" s="46">
        <f>ROW(B33) - ROW($B$9)</f>
        <v>24</v>
      </c>
      <c r="C33" s="53" t="s">
        <v>16</v>
      </c>
      <c r="D33" s="37" t="s">
        <v>42</v>
      </c>
      <c r="E33" s="37" t="s">
        <v>80</v>
      </c>
      <c r="F33" s="37" t="s">
        <v>112</v>
      </c>
      <c r="G33" s="37" t="s">
        <v>136</v>
      </c>
      <c r="H33" s="37" t="s">
        <v>157</v>
      </c>
      <c r="I33" s="37" t="s">
        <v>249</v>
      </c>
      <c r="J33" s="37" t="s">
        <v>190</v>
      </c>
      <c r="K33" s="37" t="s">
        <v>221</v>
      </c>
      <c r="L33" s="37">
        <v>1</v>
      </c>
      <c r="M33" s="37">
        <f t="shared" si="1"/>
        <v>100</v>
      </c>
      <c r="N33" s="37">
        <v>105</v>
      </c>
      <c r="O33" s="61" t="s">
        <v>251</v>
      </c>
      <c r="P33" s="38">
        <v>7.0999999999999994E-2</v>
      </c>
      <c r="Q33" s="38">
        <f>P33*N33</f>
        <v>7.4549999999999992</v>
      </c>
      <c r="R33" s="37"/>
      <c r="S33" s="59"/>
    </row>
    <row r="34" spans="1:19" s="77" customFormat="1" x14ac:dyDescent="0.25">
      <c r="A34" s="75"/>
      <c r="B34" s="47">
        <f t="shared" si="0"/>
        <v>25</v>
      </c>
      <c r="C34" s="54" t="s">
        <v>16</v>
      </c>
      <c r="D34" s="51" t="s">
        <v>43</v>
      </c>
      <c r="E34" s="51" t="s">
        <v>81</v>
      </c>
      <c r="F34" s="51" t="s">
        <v>110</v>
      </c>
      <c r="G34" s="51" t="s">
        <v>137</v>
      </c>
      <c r="H34" s="51" t="s">
        <v>157</v>
      </c>
      <c r="I34" s="51" t="s">
        <v>249</v>
      </c>
      <c r="J34" s="51" t="s">
        <v>191</v>
      </c>
      <c r="K34" s="51" t="s">
        <v>222</v>
      </c>
      <c r="L34" s="51">
        <v>1</v>
      </c>
      <c r="M34" s="37">
        <f t="shared" si="1"/>
        <v>100</v>
      </c>
      <c r="N34" s="51">
        <v>200</v>
      </c>
      <c r="O34" s="61" t="s">
        <v>251</v>
      </c>
      <c r="P34" s="52">
        <v>6.9999999999999999E-4</v>
      </c>
      <c r="Q34" s="52">
        <f t="shared" ref="Q34" si="13">P34*N34</f>
        <v>0.13999999999999999</v>
      </c>
      <c r="R34" s="51"/>
      <c r="S34" s="59"/>
    </row>
    <row r="35" spans="1:19" s="77" customFormat="1" ht="24" x14ac:dyDescent="0.25">
      <c r="A35" s="75"/>
      <c r="B35" s="46">
        <f>ROW(B35) - ROW($B$9)</f>
        <v>26</v>
      </c>
      <c r="C35" s="53" t="s">
        <v>16</v>
      </c>
      <c r="D35" s="37" t="s">
        <v>44</v>
      </c>
      <c r="E35" s="37" t="s">
        <v>82</v>
      </c>
      <c r="F35" s="37" t="s">
        <v>110</v>
      </c>
      <c r="G35" s="37" t="s">
        <v>138</v>
      </c>
      <c r="H35" s="37" t="s">
        <v>166</v>
      </c>
      <c r="I35" s="37" t="s">
        <v>249</v>
      </c>
      <c r="J35" s="37" t="s">
        <v>192</v>
      </c>
      <c r="K35" s="37" t="s">
        <v>223</v>
      </c>
      <c r="L35" s="37">
        <v>1</v>
      </c>
      <c r="M35" s="37">
        <f t="shared" si="1"/>
        <v>100</v>
      </c>
      <c r="N35" s="37">
        <v>200</v>
      </c>
      <c r="O35" s="61" t="s">
        <v>251</v>
      </c>
      <c r="P35" s="38">
        <v>1E-3</v>
      </c>
      <c r="Q35" s="38">
        <f>P35*N35</f>
        <v>0.2</v>
      </c>
      <c r="R35" s="37"/>
      <c r="S35" s="59"/>
    </row>
    <row r="36" spans="1:19" s="77" customFormat="1" x14ac:dyDescent="0.25">
      <c r="A36" s="75"/>
      <c r="B36" s="47">
        <f t="shared" si="0"/>
        <v>27</v>
      </c>
      <c r="C36" s="53" t="s">
        <v>16</v>
      </c>
      <c r="D36" s="51" t="s">
        <v>45</v>
      </c>
      <c r="E36" s="51" t="s">
        <v>83</v>
      </c>
      <c r="F36" s="51" t="s">
        <v>113</v>
      </c>
      <c r="G36" s="62" t="s">
        <v>139</v>
      </c>
      <c r="H36" s="51" t="s">
        <v>167</v>
      </c>
      <c r="I36" s="51" t="s">
        <v>258</v>
      </c>
      <c r="J36" s="51" t="s">
        <v>259</v>
      </c>
      <c r="K36" s="51" t="s">
        <v>224</v>
      </c>
      <c r="L36" s="51">
        <v>1</v>
      </c>
      <c r="M36" s="37">
        <f t="shared" si="1"/>
        <v>100</v>
      </c>
      <c r="N36" s="51">
        <v>200</v>
      </c>
      <c r="O36" s="61" t="s">
        <v>251</v>
      </c>
      <c r="P36" s="52">
        <v>1.1999999999999999E-3</v>
      </c>
      <c r="Q36" s="52">
        <f t="shared" ref="Q36" si="14">P36*N36</f>
        <v>0.24</v>
      </c>
      <c r="R36" s="51"/>
      <c r="S36" s="59"/>
    </row>
    <row r="37" spans="1:19" s="77" customFormat="1" x14ac:dyDescent="0.25">
      <c r="A37" s="75"/>
      <c r="B37" s="46">
        <f>ROW(B37) - ROW($B$9)</f>
        <v>28</v>
      </c>
      <c r="C37" s="53" t="s">
        <v>16</v>
      </c>
      <c r="D37" s="37" t="s">
        <v>46</v>
      </c>
      <c r="E37" s="37" t="s">
        <v>84</v>
      </c>
      <c r="F37" s="37" t="s">
        <v>110</v>
      </c>
      <c r="G37" s="37" t="s">
        <v>140</v>
      </c>
      <c r="H37" s="37" t="s">
        <v>157</v>
      </c>
      <c r="I37" s="37" t="s">
        <v>249</v>
      </c>
      <c r="J37" s="37" t="s">
        <v>193</v>
      </c>
      <c r="K37" s="37" t="s">
        <v>225</v>
      </c>
      <c r="L37" s="37">
        <v>1</v>
      </c>
      <c r="M37" s="37">
        <f t="shared" si="1"/>
        <v>100</v>
      </c>
      <c r="N37" s="37">
        <v>200</v>
      </c>
      <c r="O37" s="61" t="s">
        <v>251</v>
      </c>
      <c r="P37" s="38">
        <v>8.9999999999999998E-4</v>
      </c>
      <c r="Q37" s="38">
        <f>P37*N37</f>
        <v>0.18</v>
      </c>
      <c r="R37" s="37"/>
      <c r="S37" s="59"/>
    </row>
    <row r="38" spans="1:19" s="77" customFormat="1" x14ac:dyDescent="0.25">
      <c r="A38" s="75"/>
      <c r="B38" s="47">
        <f t="shared" si="0"/>
        <v>29</v>
      </c>
      <c r="C38" s="54" t="s">
        <v>16</v>
      </c>
      <c r="D38" s="51" t="s">
        <v>47</v>
      </c>
      <c r="E38" s="51" t="s">
        <v>85</v>
      </c>
      <c r="F38" s="51" t="s">
        <v>110</v>
      </c>
      <c r="G38" s="51" t="s">
        <v>141</v>
      </c>
      <c r="H38" s="51" t="s">
        <v>157</v>
      </c>
      <c r="I38" s="51" t="s">
        <v>249</v>
      </c>
      <c r="J38" s="51" t="s">
        <v>194</v>
      </c>
      <c r="K38" s="51" t="s">
        <v>226</v>
      </c>
      <c r="L38" s="51">
        <v>1</v>
      </c>
      <c r="M38" s="37">
        <f t="shared" si="1"/>
        <v>100</v>
      </c>
      <c r="N38" s="51">
        <v>150</v>
      </c>
      <c r="O38" s="61" t="s">
        <v>251</v>
      </c>
      <c r="P38" s="52">
        <v>5.8999999999999999E-3</v>
      </c>
      <c r="Q38" s="52">
        <f t="shared" ref="Q38" si="15">P38*N38</f>
        <v>0.88500000000000001</v>
      </c>
      <c r="R38" s="51"/>
      <c r="S38" s="59"/>
    </row>
    <row r="39" spans="1:19" s="77" customFormat="1" ht="24" x14ac:dyDescent="0.25">
      <c r="A39" s="75"/>
      <c r="B39" s="46">
        <f>ROW(B39) - ROW($B$9)</f>
        <v>30</v>
      </c>
      <c r="C39" s="53" t="s">
        <v>16</v>
      </c>
      <c r="D39" s="37" t="s">
        <v>269</v>
      </c>
      <c r="E39" s="37" t="s">
        <v>86</v>
      </c>
      <c r="F39" s="37" t="s">
        <v>110</v>
      </c>
      <c r="G39" s="37" t="s">
        <v>142</v>
      </c>
      <c r="H39" s="37" t="s">
        <v>157</v>
      </c>
      <c r="I39" s="37" t="s">
        <v>249</v>
      </c>
      <c r="J39" s="37" t="s">
        <v>195</v>
      </c>
      <c r="K39" s="37" t="s">
        <v>227</v>
      </c>
      <c r="L39" s="37">
        <v>13</v>
      </c>
      <c r="M39" s="37">
        <f t="shared" si="1"/>
        <v>1300</v>
      </c>
      <c r="N39" s="37">
        <v>1400</v>
      </c>
      <c r="O39" s="61" t="s">
        <v>251</v>
      </c>
      <c r="P39" s="38">
        <v>6.9999999999999999E-4</v>
      </c>
      <c r="Q39" s="38">
        <f>P39*N39</f>
        <v>0.98</v>
      </c>
      <c r="R39" s="37"/>
      <c r="S39" s="59"/>
    </row>
    <row r="40" spans="1:19" s="77" customFormat="1" x14ac:dyDescent="0.25">
      <c r="A40" s="75"/>
      <c r="B40" s="47">
        <f>ROW(B40) - ROW($B$9)</f>
        <v>31</v>
      </c>
      <c r="C40" s="54" t="s">
        <v>16</v>
      </c>
      <c r="D40" s="51" t="s">
        <v>270</v>
      </c>
      <c r="E40" s="51" t="s">
        <v>89</v>
      </c>
      <c r="F40" s="51" t="s">
        <v>113</v>
      </c>
      <c r="G40" s="51" t="s">
        <v>145</v>
      </c>
      <c r="H40" s="51" t="s">
        <v>157</v>
      </c>
      <c r="I40" s="51" t="s">
        <v>249</v>
      </c>
      <c r="J40" s="51" t="s">
        <v>198</v>
      </c>
      <c r="K40" s="51" t="s">
        <v>230</v>
      </c>
      <c r="L40" s="51">
        <v>3</v>
      </c>
      <c r="M40" s="37">
        <f t="shared" si="1"/>
        <v>300</v>
      </c>
      <c r="N40" s="51">
        <v>400</v>
      </c>
      <c r="O40" s="61" t="s">
        <v>251</v>
      </c>
      <c r="P40" s="52">
        <v>1.2999999999999999E-3</v>
      </c>
      <c r="Q40" s="52">
        <f t="shared" ref="Q40:Q41" si="16">P40*N40</f>
        <v>0.52</v>
      </c>
      <c r="R40" s="51"/>
      <c r="S40" s="59"/>
    </row>
    <row r="41" spans="1:19" s="77" customFormat="1" x14ac:dyDescent="0.25">
      <c r="A41" s="75"/>
      <c r="B41" s="47">
        <f t="shared" si="0"/>
        <v>32</v>
      </c>
      <c r="C41" s="54" t="s">
        <v>16</v>
      </c>
      <c r="D41" s="51" t="s">
        <v>48</v>
      </c>
      <c r="E41" s="51" t="s">
        <v>87</v>
      </c>
      <c r="F41" s="51" t="s">
        <v>113</v>
      </c>
      <c r="G41" s="51" t="s">
        <v>143</v>
      </c>
      <c r="H41" s="51" t="s">
        <v>157</v>
      </c>
      <c r="I41" s="51" t="s">
        <v>249</v>
      </c>
      <c r="J41" s="51" t="s">
        <v>196</v>
      </c>
      <c r="K41" s="51" t="s">
        <v>228</v>
      </c>
      <c r="L41" s="51">
        <v>1</v>
      </c>
      <c r="M41" s="37">
        <f t="shared" si="1"/>
        <v>100</v>
      </c>
      <c r="N41" s="51">
        <v>200</v>
      </c>
      <c r="O41" s="61" t="s">
        <v>251</v>
      </c>
      <c r="P41" s="52">
        <v>1E-3</v>
      </c>
      <c r="Q41" s="52">
        <f t="shared" si="16"/>
        <v>0.2</v>
      </c>
      <c r="R41" s="51"/>
      <c r="S41" s="59"/>
    </row>
    <row r="42" spans="1:19" s="77" customFormat="1" x14ac:dyDescent="0.25">
      <c r="A42" s="75"/>
      <c r="B42" s="46">
        <f>ROW(B42) - ROW($B$9)</f>
        <v>33</v>
      </c>
      <c r="C42" s="53" t="s">
        <v>16</v>
      </c>
      <c r="D42" s="37" t="s">
        <v>49</v>
      </c>
      <c r="E42" s="37" t="s">
        <v>88</v>
      </c>
      <c r="F42" s="37" t="s">
        <v>113</v>
      </c>
      <c r="G42" s="37" t="s">
        <v>144</v>
      </c>
      <c r="H42" s="37" t="s">
        <v>157</v>
      </c>
      <c r="I42" s="37" t="s">
        <v>249</v>
      </c>
      <c r="J42" s="37" t="s">
        <v>197</v>
      </c>
      <c r="K42" s="37" t="s">
        <v>229</v>
      </c>
      <c r="L42" s="37">
        <v>2</v>
      </c>
      <c r="M42" s="37">
        <f t="shared" si="1"/>
        <v>200</v>
      </c>
      <c r="N42" s="37">
        <v>300</v>
      </c>
      <c r="O42" s="61" t="s">
        <v>251</v>
      </c>
      <c r="P42" s="38">
        <v>1.1000000000000001E-3</v>
      </c>
      <c r="Q42" s="38">
        <f>P42*N42</f>
        <v>0.33</v>
      </c>
      <c r="R42" s="37"/>
      <c r="S42" s="59"/>
    </row>
    <row r="43" spans="1:19" s="77" customFormat="1" ht="24" x14ac:dyDescent="0.25">
      <c r="A43" s="75"/>
      <c r="B43" s="46">
        <f>ROW(B43) - ROW($B$9)</f>
        <v>34</v>
      </c>
      <c r="C43" s="53" t="s">
        <v>16</v>
      </c>
      <c r="D43" s="37" t="s">
        <v>50</v>
      </c>
      <c r="E43" s="37" t="s">
        <v>90</v>
      </c>
      <c r="F43" s="37" t="s">
        <v>110</v>
      </c>
      <c r="G43" s="37" t="s">
        <v>146</v>
      </c>
      <c r="H43" s="37" t="s">
        <v>157</v>
      </c>
      <c r="I43" s="37" t="s">
        <v>249</v>
      </c>
      <c r="J43" s="37" t="s">
        <v>199</v>
      </c>
      <c r="K43" s="37" t="s">
        <v>231</v>
      </c>
      <c r="L43" s="37">
        <v>4</v>
      </c>
      <c r="M43" s="37">
        <f t="shared" si="1"/>
        <v>400</v>
      </c>
      <c r="N43" s="37">
        <v>500</v>
      </c>
      <c r="O43" s="61" t="s">
        <v>251</v>
      </c>
      <c r="P43" s="38">
        <v>1E-3</v>
      </c>
      <c r="Q43" s="38">
        <f>P43*N43</f>
        <v>0.5</v>
      </c>
      <c r="R43" s="37"/>
      <c r="S43" s="59"/>
    </row>
    <row r="44" spans="1:19" s="77" customFormat="1" x14ac:dyDescent="0.25">
      <c r="A44" s="75"/>
      <c r="B44" s="47">
        <f t="shared" si="0"/>
        <v>35</v>
      </c>
      <c r="C44" s="54" t="s">
        <v>16</v>
      </c>
      <c r="D44" s="51" t="s">
        <v>51</v>
      </c>
      <c r="E44" s="51" t="s">
        <v>91</v>
      </c>
      <c r="F44" s="51" t="s">
        <v>113</v>
      </c>
      <c r="G44" s="51" t="s">
        <v>147</v>
      </c>
      <c r="H44" s="51" t="s">
        <v>157</v>
      </c>
      <c r="I44" s="51" t="s">
        <v>249</v>
      </c>
      <c r="J44" s="51" t="s">
        <v>200</v>
      </c>
      <c r="K44" s="51" t="s">
        <v>232</v>
      </c>
      <c r="L44" s="51">
        <v>1</v>
      </c>
      <c r="M44" s="37">
        <f t="shared" si="1"/>
        <v>100</v>
      </c>
      <c r="N44" s="51">
        <v>200</v>
      </c>
      <c r="O44" s="61" t="s">
        <v>251</v>
      </c>
      <c r="P44" s="52">
        <v>2.7000000000000001E-3</v>
      </c>
      <c r="Q44" s="52">
        <f t="shared" ref="Q44" si="17">P44*N44</f>
        <v>0.54</v>
      </c>
      <c r="R44" s="51"/>
      <c r="S44" s="59"/>
    </row>
    <row r="45" spans="1:19" s="77" customFormat="1" x14ac:dyDescent="0.25">
      <c r="A45" s="75"/>
      <c r="B45" s="46">
        <f>ROW(B45) - ROW($B$9)</f>
        <v>36</v>
      </c>
      <c r="C45" s="53" t="s">
        <v>16</v>
      </c>
      <c r="D45" s="37" t="s">
        <v>52</v>
      </c>
      <c r="E45" s="37" t="s">
        <v>92</v>
      </c>
      <c r="F45" s="37" t="s">
        <v>113</v>
      </c>
      <c r="G45" s="37" t="s">
        <v>148</v>
      </c>
      <c r="H45" s="37" t="s">
        <v>157</v>
      </c>
      <c r="I45" s="37" t="s">
        <v>249</v>
      </c>
      <c r="J45" s="37" t="s">
        <v>201</v>
      </c>
      <c r="K45" s="37" t="s">
        <v>233</v>
      </c>
      <c r="L45" s="37">
        <v>4</v>
      </c>
      <c r="M45" s="37">
        <f t="shared" si="1"/>
        <v>400</v>
      </c>
      <c r="N45" s="37">
        <v>500</v>
      </c>
      <c r="O45" s="61" t="s">
        <v>251</v>
      </c>
      <c r="P45" s="38">
        <v>1.1999999999999999E-3</v>
      </c>
      <c r="Q45" s="38">
        <f>P45*N45</f>
        <v>0.6</v>
      </c>
      <c r="R45" s="37"/>
      <c r="S45" s="59"/>
    </row>
    <row r="46" spans="1:19" s="77" customFormat="1" ht="24" x14ac:dyDescent="0.25">
      <c r="A46" s="75"/>
      <c r="B46" s="47">
        <f t="shared" si="0"/>
        <v>37</v>
      </c>
      <c r="C46" s="53" t="s">
        <v>16</v>
      </c>
      <c r="D46" s="51" t="s">
        <v>53</v>
      </c>
      <c r="E46" s="51" t="s">
        <v>93</v>
      </c>
      <c r="F46" s="51" t="s">
        <v>113</v>
      </c>
      <c r="G46" s="51" t="s">
        <v>149</v>
      </c>
      <c r="H46" s="51" t="s">
        <v>157</v>
      </c>
      <c r="I46" s="51" t="s">
        <v>249</v>
      </c>
      <c r="J46" s="51" t="s">
        <v>202</v>
      </c>
      <c r="K46" s="51" t="s">
        <v>234</v>
      </c>
      <c r="L46" s="51">
        <v>1</v>
      </c>
      <c r="M46" s="37">
        <f t="shared" si="1"/>
        <v>100</v>
      </c>
      <c r="N46" s="51">
        <v>200</v>
      </c>
      <c r="O46" s="61" t="s">
        <v>251</v>
      </c>
      <c r="P46" s="52">
        <v>1.2999999999999999E-3</v>
      </c>
      <c r="Q46" s="52">
        <f t="shared" ref="Q46" si="18">P46*N46</f>
        <v>0.26</v>
      </c>
      <c r="R46" s="51"/>
      <c r="S46" s="59"/>
    </row>
    <row r="47" spans="1:19" s="77" customFormat="1" ht="24" x14ac:dyDescent="0.25">
      <c r="A47" s="75"/>
      <c r="B47" s="46">
        <f>ROW(B47) - ROW($B$9)</f>
        <v>38</v>
      </c>
      <c r="C47" s="53" t="s">
        <v>16</v>
      </c>
      <c r="D47" s="37" t="s">
        <v>54</v>
      </c>
      <c r="E47" s="37" t="s">
        <v>94</v>
      </c>
      <c r="F47" s="37" t="s">
        <v>113</v>
      </c>
      <c r="G47" s="37" t="s">
        <v>150</v>
      </c>
      <c r="H47" s="37" t="s">
        <v>157</v>
      </c>
      <c r="I47" s="37" t="s">
        <v>249</v>
      </c>
      <c r="J47" s="37" t="s">
        <v>203</v>
      </c>
      <c r="K47" s="37" t="s">
        <v>235</v>
      </c>
      <c r="L47" s="37">
        <v>1</v>
      </c>
      <c r="M47" s="37">
        <f t="shared" si="1"/>
        <v>100</v>
      </c>
      <c r="N47" s="37">
        <v>200</v>
      </c>
      <c r="O47" s="61" t="s">
        <v>251</v>
      </c>
      <c r="P47" s="38">
        <v>1.2999999999999999E-3</v>
      </c>
      <c r="Q47" s="38">
        <f>P47*N47</f>
        <v>0.26</v>
      </c>
      <c r="R47" s="37"/>
      <c r="S47" s="59"/>
    </row>
    <row r="48" spans="1:19" s="77" customFormat="1" x14ac:dyDescent="0.25">
      <c r="A48" s="75"/>
      <c r="B48" s="47">
        <f t="shared" si="0"/>
        <v>39</v>
      </c>
      <c r="C48" s="54" t="s">
        <v>17</v>
      </c>
      <c r="D48" s="51" t="s">
        <v>55</v>
      </c>
      <c r="E48" s="51" t="s">
        <v>265</v>
      </c>
      <c r="F48" s="51" t="s">
        <v>266</v>
      </c>
      <c r="G48" s="51" t="s">
        <v>267</v>
      </c>
      <c r="H48" s="51" t="s">
        <v>168</v>
      </c>
      <c r="I48" s="51" t="s">
        <v>249</v>
      </c>
      <c r="J48" s="51" t="s">
        <v>268</v>
      </c>
      <c r="K48" s="51" t="s">
        <v>249</v>
      </c>
      <c r="L48" s="51">
        <v>1</v>
      </c>
      <c r="M48" s="37">
        <f t="shared" si="1"/>
        <v>100</v>
      </c>
      <c r="N48" s="51">
        <v>101</v>
      </c>
      <c r="O48" s="61" t="s">
        <v>251</v>
      </c>
      <c r="P48" s="52">
        <v>1.4381999999999999</v>
      </c>
      <c r="Q48" s="52">
        <f t="shared" ref="Q48" si="19">P48*N48</f>
        <v>145.25819999999999</v>
      </c>
      <c r="R48" s="51"/>
      <c r="S48" s="59"/>
    </row>
    <row r="49" spans="1:19" s="77" customFormat="1" ht="24" x14ac:dyDescent="0.25">
      <c r="A49" s="75"/>
      <c r="B49" s="46">
        <f>ROW(B49) - ROW($B$9)</f>
        <v>40</v>
      </c>
      <c r="C49" s="53" t="s">
        <v>17</v>
      </c>
      <c r="D49" s="37" t="s">
        <v>56</v>
      </c>
      <c r="E49" s="37" t="s">
        <v>95</v>
      </c>
      <c r="F49" s="37" t="s">
        <v>114</v>
      </c>
      <c r="G49" s="37" t="s">
        <v>151</v>
      </c>
      <c r="H49" s="37" t="s">
        <v>169</v>
      </c>
      <c r="I49" s="37" t="s">
        <v>249</v>
      </c>
      <c r="J49" s="37" t="s">
        <v>204</v>
      </c>
      <c r="K49" s="37" t="s">
        <v>249</v>
      </c>
      <c r="L49" s="37">
        <v>1</v>
      </c>
      <c r="M49" s="37">
        <f t="shared" si="1"/>
        <v>100</v>
      </c>
      <c r="N49" s="37">
        <v>101</v>
      </c>
      <c r="O49" s="61" t="s">
        <v>251</v>
      </c>
      <c r="P49" s="38">
        <v>0.43120000000000003</v>
      </c>
      <c r="Q49" s="38">
        <f>P49*N49</f>
        <v>43.551200000000001</v>
      </c>
      <c r="R49" s="37"/>
      <c r="S49" s="59"/>
    </row>
    <row r="50" spans="1:19" s="77" customFormat="1" ht="24" x14ac:dyDescent="0.25">
      <c r="A50" s="75"/>
      <c r="B50" s="47">
        <f t="shared" si="0"/>
        <v>41</v>
      </c>
      <c r="C50" s="54" t="s">
        <v>17</v>
      </c>
      <c r="D50" s="51" t="s">
        <v>57</v>
      </c>
      <c r="E50" s="51" t="s">
        <v>96</v>
      </c>
      <c r="F50" s="51" t="s">
        <v>115</v>
      </c>
      <c r="G50" s="51" t="s">
        <v>152</v>
      </c>
      <c r="H50" s="51" t="s">
        <v>170</v>
      </c>
      <c r="I50" s="51" t="s">
        <v>249</v>
      </c>
      <c r="J50" s="51" t="s">
        <v>205</v>
      </c>
      <c r="K50" s="51" t="s">
        <v>249</v>
      </c>
      <c r="L50" s="51">
        <v>1</v>
      </c>
      <c r="M50" s="37">
        <f t="shared" si="1"/>
        <v>100</v>
      </c>
      <c r="N50" s="51">
        <v>101</v>
      </c>
      <c r="O50" s="61" t="s">
        <v>251</v>
      </c>
      <c r="P50" s="52">
        <v>2.0236999999999998</v>
      </c>
      <c r="Q50" s="52">
        <f t="shared" ref="Q50:Q52" si="20">P50*N50</f>
        <v>204.3937</v>
      </c>
      <c r="R50" s="51"/>
      <c r="S50" s="59"/>
    </row>
    <row r="51" spans="1:19" s="77" customFormat="1" ht="15.75" thickBot="1" x14ac:dyDescent="0.3">
      <c r="A51" s="75"/>
      <c r="B51" s="47">
        <f t="shared" si="0"/>
        <v>42</v>
      </c>
      <c r="C51" s="54" t="s">
        <v>19</v>
      </c>
      <c r="D51" s="51" t="s">
        <v>58</v>
      </c>
      <c r="E51" s="51" t="s">
        <v>97</v>
      </c>
      <c r="F51" s="51" t="s">
        <v>252</v>
      </c>
      <c r="G51" s="51" t="s">
        <v>116</v>
      </c>
      <c r="H51" s="51" t="s">
        <v>172</v>
      </c>
      <c r="I51" s="51" t="s">
        <v>249</v>
      </c>
      <c r="J51" s="51" t="s">
        <v>206</v>
      </c>
      <c r="K51" s="51" t="s">
        <v>263</v>
      </c>
      <c r="L51" s="51">
        <v>1</v>
      </c>
      <c r="M51" s="37">
        <f t="shared" si="1"/>
        <v>100</v>
      </c>
      <c r="N51" s="51">
        <v>101</v>
      </c>
      <c r="O51" s="61" t="s">
        <v>251</v>
      </c>
      <c r="P51" s="52">
        <v>0.15659999999999999</v>
      </c>
      <c r="Q51" s="52">
        <f t="shared" si="20"/>
        <v>15.816599999999999</v>
      </c>
      <c r="R51" s="51"/>
      <c r="S51" s="39"/>
    </row>
    <row r="52" spans="1:19" s="77" customFormat="1" ht="15.75" thickBot="1" x14ac:dyDescent="0.3">
      <c r="A52" s="75"/>
      <c r="B52" s="47">
        <f t="shared" si="0"/>
        <v>43</v>
      </c>
      <c r="C52" s="54" t="s">
        <v>276</v>
      </c>
      <c r="D52" s="51" t="s">
        <v>249</v>
      </c>
      <c r="E52" s="51" t="s">
        <v>249</v>
      </c>
      <c r="F52" s="51" t="s">
        <v>249</v>
      </c>
      <c r="G52" s="51" t="s">
        <v>277</v>
      </c>
      <c r="H52" s="51" t="s">
        <v>278</v>
      </c>
      <c r="I52" s="51" t="s">
        <v>249</v>
      </c>
      <c r="J52" s="51" t="s">
        <v>279</v>
      </c>
      <c r="K52" s="51" t="s">
        <v>249</v>
      </c>
      <c r="L52" s="51">
        <v>1</v>
      </c>
      <c r="M52" s="37">
        <f t="shared" si="1"/>
        <v>100</v>
      </c>
      <c r="N52" s="51">
        <v>100</v>
      </c>
      <c r="O52" s="61" t="s">
        <v>251</v>
      </c>
      <c r="P52" s="52">
        <v>1.2712000000000001</v>
      </c>
      <c r="Q52" s="52">
        <f t="shared" si="20"/>
        <v>127.12</v>
      </c>
      <c r="R52" s="51"/>
      <c r="S52" s="39"/>
    </row>
    <row r="53" spans="1:19" ht="19.5" thickBot="1" x14ac:dyDescent="0.3">
      <c r="A53" s="1"/>
      <c r="B53" s="40"/>
      <c r="C53" s="41"/>
      <c r="D53" s="42"/>
      <c r="E53" s="43"/>
      <c r="F53" s="44"/>
      <c r="G53" s="45"/>
      <c r="H53" s="44"/>
      <c r="I53" s="45"/>
      <c r="J53" s="44"/>
      <c r="K53" s="45"/>
      <c r="L53" s="45"/>
      <c r="M53" s="45"/>
      <c r="N53" s="73" t="s">
        <v>5</v>
      </c>
      <c r="O53" s="74"/>
      <c r="P53" s="74"/>
      <c r="Q53" s="48">
        <f>SUM(Q10:Q52)</f>
        <v>1157.7887000000001</v>
      </c>
      <c r="R53" s="69"/>
      <c r="S53" s="70"/>
    </row>
    <row r="54" spans="1:19" ht="19.5" thickBot="1" x14ac:dyDescent="0.3">
      <c r="A54" s="1"/>
      <c r="B54" s="25"/>
      <c r="C54" s="36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73" t="s">
        <v>6</v>
      </c>
      <c r="O54" s="74"/>
      <c r="P54" s="74"/>
      <c r="Q54" s="49">
        <f>Q53/100</f>
        <v>11.577887</v>
      </c>
      <c r="R54" s="71"/>
      <c r="S54" s="72"/>
    </row>
  </sheetData>
  <mergeCells count="5">
    <mergeCell ref="K1:S1"/>
    <mergeCell ref="S3:S8"/>
    <mergeCell ref="N53:P53"/>
    <mergeCell ref="R53:S54"/>
    <mergeCell ref="N54:P54"/>
  </mergeCells>
  <hyperlinks>
    <hyperlink ref="O10" r:id="rId1"/>
    <hyperlink ref="O11" r:id="rId2"/>
    <hyperlink ref="O13" r:id="rId3"/>
    <hyperlink ref="O14" r:id="rId4"/>
    <hyperlink ref="O16" r:id="rId5"/>
    <hyperlink ref="O17" r:id="rId6"/>
    <hyperlink ref="O18" r:id="rId7"/>
    <hyperlink ref="O19" r:id="rId8"/>
    <hyperlink ref="O20" r:id="rId9"/>
    <hyperlink ref="O21" r:id="rId10"/>
    <hyperlink ref="O24" r:id="rId11"/>
    <hyperlink ref="O27" r:id="rId12"/>
    <hyperlink ref="O28" r:id="rId13"/>
    <hyperlink ref="O29" r:id="rId14"/>
    <hyperlink ref="O30" r:id="rId15"/>
    <hyperlink ref="O31" r:id="rId16"/>
    <hyperlink ref="O32" r:id="rId17"/>
    <hyperlink ref="O33" r:id="rId18"/>
    <hyperlink ref="O34" r:id="rId19"/>
    <hyperlink ref="O35" r:id="rId20"/>
    <hyperlink ref="O37" r:id="rId21"/>
    <hyperlink ref="O38" r:id="rId22"/>
    <hyperlink ref="O39" r:id="rId23"/>
    <hyperlink ref="O41" r:id="rId24"/>
    <hyperlink ref="O42" r:id="rId25"/>
    <hyperlink ref="O40" r:id="rId26"/>
    <hyperlink ref="O43" r:id="rId27"/>
    <hyperlink ref="O44" r:id="rId28"/>
    <hyperlink ref="O45" r:id="rId29"/>
    <hyperlink ref="O46" r:id="rId30"/>
    <hyperlink ref="O47" r:id="rId31"/>
    <hyperlink ref="O49" r:id="rId32"/>
    <hyperlink ref="O50" r:id="rId33"/>
    <hyperlink ref="O51" r:id="rId34"/>
    <hyperlink ref="O12" r:id="rId35"/>
    <hyperlink ref="O15" r:id="rId36"/>
    <hyperlink ref="O36" r:id="rId37"/>
    <hyperlink ref="O26" r:id="rId38"/>
    <hyperlink ref="O48" r:id="rId39"/>
    <hyperlink ref="O23" r:id="rId40"/>
    <hyperlink ref="O52" r:id="rId41"/>
    <hyperlink ref="O22" r:id="rId42"/>
  </hyperlinks>
  <pageMargins left="0.7" right="0.7" top="0.75" bottom="0.75" header="0.3" footer="0.3"/>
  <drawing r:id="rId4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opLeftCell="E27" workbookViewId="0">
      <selection activeCell="P10" sqref="P10:P52"/>
    </sheetView>
  </sheetViews>
  <sheetFormatPr defaultRowHeight="15" x14ac:dyDescent="0.25"/>
  <cols>
    <col min="2" max="2" width="3" bestFit="1" customWidth="1"/>
    <col min="3" max="3" width="11.85546875" customWidth="1"/>
    <col min="4" max="4" width="31.140625" bestFit="1" customWidth="1"/>
    <col min="5" max="5" width="27.42578125" bestFit="1" customWidth="1"/>
    <col min="6" max="6" width="12.710937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0.28515625" bestFit="1" customWidth="1"/>
    <col min="14" max="14" width="17.28515625" bestFit="1" customWidth="1"/>
    <col min="15" max="15" width="7.7109375" bestFit="1" customWidth="1"/>
    <col min="16" max="16" width="20.7109375" bestFit="1" customWidth="1"/>
    <col min="17" max="17" width="21.42578125" bestFit="1" customWidth="1"/>
    <col min="18" max="18" width="8.5703125" bestFit="1" customWidth="1"/>
    <col min="19" max="19" width="26.425781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5"/>
      <c r="L1" s="65"/>
      <c r="M1" s="65"/>
      <c r="N1" s="65"/>
      <c r="O1" s="65"/>
      <c r="P1" s="65"/>
      <c r="Q1" s="65"/>
      <c r="R1" s="65"/>
      <c r="S1" s="66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237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238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7"/>
    </row>
    <row r="4" spans="1:19" x14ac:dyDescent="0.25">
      <c r="A4" s="1"/>
      <c r="B4" s="22"/>
      <c r="C4" s="32"/>
      <c r="D4" s="13" t="s">
        <v>2</v>
      </c>
      <c r="E4" s="13"/>
      <c r="F4" s="57" t="s">
        <v>239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8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8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8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8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8"/>
    </row>
    <row r="9" spans="1:19" ht="15.75" thickBot="1" x14ac:dyDescent="0.3">
      <c r="A9" s="1"/>
      <c r="B9" s="30" t="s">
        <v>4</v>
      </c>
      <c r="C9" s="30" t="s">
        <v>8</v>
      </c>
      <c r="D9" s="30" t="s">
        <v>20</v>
      </c>
      <c r="E9" s="30" t="s">
        <v>59</v>
      </c>
      <c r="F9" s="30" t="s">
        <v>98</v>
      </c>
      <c r="G9" s="30" t="s">
        <v>117</v>
      </c>
      <c r="H9" s="30" t="s">
        <v>153</v>
      </c>
      <c r="I9" s="30" t="s">
        <v>240</v>
      </c>
      <c r="J9" s="30" t="s">
        <v>173</v>
      </c>
      <c r="K9" s="60" t="s">
        <v>241</v>
      </c>
      <c r="L9" s="30" t="s">
        <v>236</v>
      </c>
      <c r="M9" s="30" t="s">
        <v>296</v>
      </c>
      <c r="N9" s="30" t="s">
        <v>297</v>
      </c>
      <c r="O9" s="30" t="s">
        <v>244</v>
      </c>
      <c r="P9" s="30" t="s">
        <v>298</v>
      </c>
      <c r="Q9" s="30" t="s">
        <v>299</v>
      </c>
      <c r="R9" s="30" t="s">
        <v>247</v>
      </c>
      <c r="S9" s="30" t="s">
        <v>248</v>
      </c>
    </row>
    <row r="10" spans="1:19" s="77" customFormat="1" ht="24" x14ac:dyDescent="0.25">
      <c r="A10" s="75"/>
      <c r="B10" s="46">
        <f>ROW(B10) - ROW($B$9)</f>
        <v>1</v>
      </c>
      <c r="C10" s="53" t="s">
        <v>9</v>
      </c>
      <c r="D10" s="37" t="s">
        <v>21</v>
      </c>
      <c r="E10" s="37" t="s">
        <v>60</v>
      </c>
      <c r="F10" s="37" t="s">
        <v>99</v>
      </c>
      <c r="G10" s="37" t="s">
        <v>118</v>
      </c>
      <c r="H10" s="37" t="s">
        <v>154</v>
      </c>
      <c r="I10" s="37" t="s">
        <v>249</v>
      </c>
      <c r="J10" s="37" t="s">
        <v>174</v>
      </c>
      <c r="K10" s="37" t="s">
        <v>207</v>
      </c>
      <c r="L10" s="37">
        <v>10</v>
      </c>
      <c r="M10" s="37">
        <f>L10*500</f>
        <v>5000</v>
      </c>
      <c r="N10" s="37">
        <v>5050</v>
      </c>
      <c r="O10" s="61" t="s">
        <v>251</v>
      </c>
      <c r="P10" s="38">
        <v>7.7999999999999996E-3</v>
      </c>
      <c r="Q10" s="38">
        <f>P10*N10</f>
        <v>39.39</v>
      </c>
      <c r="R10" s="37"/>
      <c r="S10" s="76"/>
    </row>
    <row r="11" spans="1:19" s="77" customFormat="1" ht="36" x14ac:dyDescent="0.25">
      <c r="A11" s="75"/>
      <c r="B11" s="47">
        <f t="shared" ref="B11:B52" si="0">ROW(B11) - ROW($B$9)</f>
        <v>2</v>
      </c>
      <c r="C11" s="54" t="s">
        <v>9</v>
      </c>
      <c r="D11" s="51" t="s">
        <v>22</v>
      </c>
      <c r="E11" s="51" t="s">
        <v>61</v>
      </c>
      <c r="F11" s="51" t="s">
        <v>252</v>
      </c>
      <c r="G11" s="51" t="s">
        <v>100</v>
      </c>
      <c r="H11" s="51" t="s">
        <v>155</v>
      </c>
      <c r="I11" s="51" t="s">
        <v>249</v>
      </c>
      <c r="J11" s="51" t="s">
        <v>175</v>
      </c>
      <c r="K11" s="51" t="s">
        <v>208</v>
      </c>
      <c r="L11" s="51">
        <v>1</v>
      </c>
      <c r="M11" s="37">
        <f t="shared" ref="M11:M52" si="1">L11*500</f>
        <v>500</v>
      </c>
      <c r="N11" s="51">
        <v>510</v>
      </c>
      <c r="O11" s="61" t="s">
        <v>251</v>
      </c>
      <c r="P11" s="52">
        <v>4.3E-3</v>
      </c>
      <c r="Q11" s="52">
        <f t="shared" ref="Q11" si="2">P11*N11</f>
        <v>2.1930000000000001</v>
      </c>
      <c r="R11" s="51"/>
      <c r="S11" s="51"/>
    </row>
    <row r="12" spans="1:19" s="77" customFormat="1" x14ac:dyDescent="0.25">
      <c r="A12" s="75"/>
      <c r="B12" s="46">
        <f>ROW(B12) - ROW($B$9)</f>
        <v>3</v>
      </c>
      <c r="C12" s="54" t="s">
        <v>9</v>
      </c>
      <c r="D12" s="37" t="s">
        <v>23</v>
      </c>
      <c r="E12" s="37" t="s">
        <v>62</v>
      </c>
      <c r="F12" s="37" t="s">
        <v>101</v>
      </c>
      <c r="G12" s="62" t="s">
        <v>119</v>
      </c>
      <c r="H12" s="37" t="s">
        <v>154</v>
      </c>
      <c r="I12" s="37" t="s">
        <v>254</v>
      </c>
      <c r="J12" s="37" t="s">
        <v>257</v>
      </c>
      <c r="K12" s="37" t="s">
        <v>209</v>
      </c>
      <c r="L12" s="37">
        <v>3</v>
      </c>
      <c r="M12" s="37">
        <f t="shared" si="1"/>
        <v>1500</v>
      </c>
      <c r="N12" s="37">
        <v>1550</v>
      </c>
      <c r="O12" s="61" t="s">
        <v>251</v>
      </c>
      <c r="P12" s="38">
        <v>8.6999999999999994E-3</v>
      </c>
      <c r="Q12" s="38">
        <f>P12*N12</f>
        <v>13.484999999999999</v>
      </c>
      <c r="R12" s="37"/>
      <c r="S12" s="59"/>
    </row>
    <row r="13" spans="1:19" s="77" customFormat="1" x14ac:dyDescent="0.25">
      <c r="A13" s="75"/>
      <c r="B13" s="47">
        <f t="shared" si="0"/>
        <v>4</v>
      </c>
      <c r="C13" s="54" t="s">
        <v>9</v>
      </c>
      <c r="D13" s="51" t="s">
        <v>24</v>
      </c>
      <c r="E13" s="51" t="s">
        <v>63</v>
      </c>
      <c r="F13" s="51" t="s">
        <v>102</v>
      </c>
      <c r="G13" s="51" t="s">
        <v>120</v>
      </c>
      <c r="H13" s="51" t="s">
        <v>156</v>
      </c>
      <c r="I13" s="51" t="s">
        <v>249</v>
      </c>
      <c r="J13" s="51" t="s">
        <v>176</v>
      </c>
      <c r="K13" s="51" t="s">
        <v>210</v>
      </c>
      <c r="L13" s="51">
        <v>1</v>
      </c>
      <c r="M13" s="37">
        <f t="shared" si="1"/>
        <v>500</v>
      </c>
      <c r="N13" s="51">
        <v>501</v>
      </c>
      <c r="O13" s="61" t="s">
        <v>251</v>
      </c>
      <c r="P13" s="52">
        <v>0.81620000000000004</v>
      </c>
      <c r="Q13" s="52">
        <f t="shared" ref="Q13" si="3">P13*N13</f>
        <v>408.9162</v>
      </c>
      <c r="R13" s="51"/>
      <c r="S13" s="59"/>
    </row>
    <row r="14" spans="1:19" s="77" customFormat="1" x14ac:dyDescent="0.25">
      <c r="A14" s="75"/>
      <c r="B14" s="46">
        <f>ROW(B14) - ROW($B$9)</f>
        <v>5</v>
      </c>
      <c r="C14" s="53" t="s">
        <v>9</v>
      </c>
      <c r="D14" s="37" t="s">
        <v>25</v>
      </c>
      <c r="E14" s="37" t="s">
        <v>64</v>
      </c>
      <c r="F14" s="37" t="s">
        <v>99</v>
      </c>
      <c r="G14" s="37" t="s">
        <v>121</v>
      </c>
      <c r="H14" s="37" t="s">
        <v>157</v>
      </c>
      <c r="I14" s="37" t="s">
        <v>249</v>
      </c>
      <c r="J14" s="37" t="s">
        <v>177</v>
      </c>
      <c r="K14" s="37" t="s">
        <v>211</v>
      </c>
      <c r="L14" s="37">
        <v>1</v>
      </c>
      <c r="M14" s="37">
        <f t="shared" si="1"/>
        <v>500</v>
      </c>
      <c r="N14" s="37">
        <v>600</v>
      </c>
      <c r="O14" s="61" t="s">
        <v>251</v>
      </c>
      <c r="P14" s="38">
        <v>2.3999999999999998E-3</v>
      </c>
      <c r="Q14" s="38">
        <f>P14*N14</f>
        <v>1.44</v>
      </c>
      <c r="R14" s="37"/>
      <c r="S14" s="59"/>
    </row>
    <row r="15" spans="1:19" s="77" customFormat="1" x14ac:dyDescent="0.25">
      <c r="A15" s="75"/>
      <c r="B15" s="47">
        <f t="shared" si="0"/>
        <v>6</v>
      </c>
      <c r="C15" s="54" t="s">
        <v>9</v>
      </c>
      <c r="D15" s="51" t="s">
        <v>26</v>
      </c>
      <c r="E15" s="51" t="s">
        <v>65</v>
      </c>
      <c r="F15" s="51" t="s">
        <v>99</v>
      </c>
      <c r="G15" s="62" t="s">
        <v>122</v>
      </c>
      <c r="H15" s="51" t="s">
        <v>157</v>
      </c>
      <c r="I15" s="51" t="s">
        <v>255</v>
      </c>
      <c r="J15" s="51" t="s">
        <v>256</v>
      </c>
      <c r="K15" s="51" t="s">
        <v>212</v>
      </c>
      <c r="L15" s="51">
        <v>3</v>
      </c>
      <c r="M15" s="37">
        <f t="shared" si="1"/>
        <v>1500</v>
      </c>
      <c r="N15" s="51">
        <v>1600</v>
      </c>
      <c r="O15" s="61" t="s">
        <v>251</v>
      </c>
      <c r="P15" s="52">
        <v>1.5E-3</v>
      </c>
      <c r="Q15" s="52">
        <f t="shared" ref="Q15" si="4">P15*N15</f>
        <v>2.4</v>
      </c>
      <c r="R15" s="51"/>
      <c r="S15" s="59"/>
    </row>
    <row r="16" spans="1:19" s="77" customFormat="1" x14ac:dyDescent="0.25">
      <c r="A16" s="75"/>
      <c r="B16" s="46">
        <f>ROW(B16) - ROW($B$9)</f>
        <v>7</v>
      </c>
      <c r="C16" s="53" t="s">
        <v>9</v>
      </c>
      <c r="D16" s="37" t="s">
        <v>27</v>
      </c>
      <c r="E16" s="37" t="s">
        <v>66</v>
      </c>
      <c r="F16" s="37" t="s">
        <v>101</v>
      </c>
      <c r="G16" s="37" t="s">
        <v>123</v>
      </c>
      <c r="H16" s="37" t="s">
        <v>158</v>
      </c>
      <c r="I16" s="37" t="s">
        <v>249</v>
      </c>
      <c r="J16" s="37" t="s">
        <v>178</v>
      </c>
      <c r="K16" s="37" t="s">
        <v>213</v>
      </c>
      <c r="L16" s="37">
        <v>1</v>
      </c>
      <c r="M16" s="37">
        <f t="shared" si="1"/>
        <v>500</v>
      </c>
      <c r="N16" s="37">
        <v>501</v>
      </c>
      <c r="O16" s="61" t="s">
        <v>251</v>
      </c>
      <c r="P16" s="38">
        <v>0.84960000000000002</v>
      </c>
      <c r="Q16" s="38">
        <f>P16*N16</f>
        <v>425.64960000000002</v>
      </c>
      <c r="R16" s="37"/>
      <c r="S16" s="59"/>
    </row>
    <row r="17" spans="1:19" s="77" customFormat="1" x14ac:dyDescent="0.25">
      <c r="A17" s="75"/>
      <c r="B17" s="47">
        <f t="shared" si="0"/>
        <v>8</v>
      </c>
      <c r="C17" s="54" t="s">
        <v>9</v>
      </c>
      <c r="D17" s="51" t="s">
        <v>28</v>
      </c>
      <c r="E17" s="51" t="s">
        <v>67</v>
      </c>
      <c r="F17" s="51" t="s">
        <v>101</v>
      </c>
      <c r="G17" s="51" t="s">
        <v>124</v>
      </c>
      <c r="H17" s="51" t="s">
        <v>159</v>
      </c>
      <c r="I17" s="51" t="s">
        <v>249</v>
      </c>
      <c r="J17" s="51" t="s">
        <v>179</v>
      </c>
      <c r="K17" s="51" t="s">
        <v>214</v>
      </c>
      <c r="L17" s="51">
        <v>2</v>
      </c>
      <c r="M17" s="37">
        <f t="shared" si="1"/>
        <v>1000</v>
      </c>
      <c r="N17" s="51">
        <v>1100</v>
      </c>
      <c r="O17" s="61" t="s">
        <v>251</v>
      </c>
      <c r="P17" s="52">
        <v>2.2000000000000001E-3</v>
      </c>
      <c r="Q17" s="52">
        <f t="shared" ref="Q17" si="5">P17*N17</f>
        <v>2.42</v>
      </c>
      <c r="R17" s="51"/>
      <c r="S17" s="59"/>
    </row>
    <row r="18" spans="1:19" s="77" customFormat="1" x14ac:dyDescent="0.25">
      <c r="A18" s="75"/>
      <c r="B18" s="46">
        <f>ROW(B18) - ROW($B$9)</f>
        <v>9</v>
      </c>
      <c r="C18" s="53" t="s">
        <v>9</v>
      </c>
      <c r="D18" s="37" t="s">
        <v>29</v>
      </c>
      <c r="E18" s="37" t="s">
        <v>68</v>
      </c>
      <c r="F18" s="37" t="s">
        <v>101</v>
      </c>
      <c r="G18" s="37" t="s">
        <v>125</v>
      </c>
      <c r="H18" s="37" t="s">
        <v>157</v>
      </c>
      <c r="I18" s="37" t="s">
        <v>249</v>
      </c>
      <c r="J18" s="37" t="s">
        <v>180</v>
      </c>
      <c r="K18" s="37" t="s">
        <v>215</v>
      </c>
      <c r="L18" s="37">
        <v>2</v>
      </c>
      <c r="M18" s="37">
        <f t="shared" si="1"/>
        <v>1000</v>
      </c>
      <c r="N18" s="37">
        <v>1100</v>
      </c>
      <c r="O18" s="61" t="s">
        <v>251</v>
      </c>
      <c r="P18" s="38">
        <v>5.3E-3</v>
      </c>
      <c r="Q18" s="38">
        <f>P18*N18</f>
        <v>5.83</v>
      </c>
      <c r="R18" s="37"/>
      <c r="S18" s="59"/>
    </row>
    <row r="19" spans="1:19" s="77" customFormat="1" x14ac:dyDescent="0.25">
      <c r="A19" s="75"/>
      <c r="B19" s="47">
        <f t="shared" si="0"/>
        <v>10</v>
      </c>
      <c r="C19" s="53" t="s">
        <v>9</v>
      </c>
      <c r="D19" s="51" t="s">
        <v>30</v>
      </c>
      <c r="E19" s="51" t="s">
        <v>69</v>
      </c>
      <c r="F19" s="51" t="s">
        <v>101</v>
      </c>
      <c r="G19" s="51" t="s">
        <v>126</v>
      </c>
      <c r="H19" s="51" t="s">
        <v>158</v>
      </c>
      <c r="I19" s="51" t="s">
        <v>249</v>
      </c>
      <c r="J19" s="51" t="s">
        <v>181</v>
      </c>
      <c r="K19" s="51" t="s">
        <v>216</v>
      </c>
      <c r="L19" s="51">
        <v>1</v>
      </c>
      <c r="M19" s="37">
        <f t="shared" si="1"/>
        <v>500</v>
      </c>
      <c r="N19" s="51">
        <v>510</v>
      </c>
      <c r="O19" s="61" t="s">
        <v>251</v>
      </c>
      <c r="P19" s="52">
        <v>3.1600000000000003E-2</v>
      </c>
      <c r="Q19" s="52">
        <f t="shared" ref="Q19" si="6">P19*N19</f>
        <v>16.116000000000003</v>
      </c>
      <c r="R19" s="51"/>
      <c r="S19" s="59"/>
    </row>
    <row r="20" spans="1:19" s="77" customFormat="1" ht="36" x14ac:dyDescent="0.25">
      <c r="A20" s="75"/>
      <c r="B20" s="46">
        <f>ROW(B20) - ROW($B$9)</f>
        <v>11</v>
      </c>
      <c r="C20" s="53" t="s">
        <v>10</v>
      </c>
      <c r="D20" s="37" t="s">
        <v>31</v>
      </c>
      <c r="E20" s="37" t="s">
        <v>70</v>
      </c>
      <c r="F20" s="37" t="s">
        <v>103</v>
      </c>
      <c r="G20" s="37" t="s">
        <v>127</v>
      </c>
      <c r="H20" s="37" t="s">
        <v>160</v>
      </c>
      <c r="I20" s="37" t="s">
        <v>249</v>
      </c>
      <c r="J20" s="37" t="s">
        <v>182</v>
      </c>
      <c r="K20" s="37" t="s">
        <v>249</v>
      </c>
      <c r="L20" s="37">
        <v>1</v>
      </c>
      <c r="M20" s="37">
        <f t="shared" si="1"/>
        <v>500</v>
      </c>
      <c r="N20" s="37">
        <v>510</v>
      </c>
      <c r="O20" s="61" t="s">
        <v>251</v>
      </c>
      <c r="P20" s="38">
        <v>3.5499999999999997E-2</v>
      </c>
      <c r="Q20" s="38">
        <f>P20*N20</f>
        <v>18.104999999999997</v>
      </c>
      <c r="R20" s="37"/>
      <c r="S20" s="59"/>
    </row>
    <row r="21" spans="1:19" s="77" customFormat="1" x14ac:dyDescent="0.25">
      <c r="A21" s="75"/>
      <c r="B21" s="47">
        <f t="shared" si="0"/>
        <v>12</v>
      </c>
      <c r="C21" s="54" t="s">
        <v>10</v>
      </c>
      <c r="D21" s="51" t="s">
        <v>32</v>
      </c>
      <c r="E21" s="51" t="s">
        <v>71</v>
      </c>
      <c r="F21" s="51" t="s">
        <v>104</v>
      </c>
      <c r="G21" s="51" t="s">
        <v>128</v>
      </c>
      <c r="H21" s="51" t="s">
        <v>161</v>
      </c>
      <c r="I21" s="51" t="s">
        <v>249</v>
      </c>
      <c r="J21" s="51" t="s">
        <v>183</v>
      </c>
      <c r="K21" s="51" t="s">
        <v>249</v>
      </c>
      <c r="L21" s="51">
        <v>1</v>
      </c>
      <c r="M21" s="37">
        <f t="shared" si="1"/>
        <v>500</v>
      </c>
      <c r="N21" s="51">
        <v>505</v>
      </c>
      <c r="O21" s="61" t="s">
        <v>251</v>
      </c>
      <c r="P21" s="52">
        <v>3.7999999999999999E-2</v>
      </c>
      <c r="Q21" s="52">
        <f t="shared" ref="Q21:Q22" si="7">P21*N21</f>
        <v>19.190000000000001</v>
      </c>
      <c r="R21" s="51"/>
      <c r="S21" s="59"/>
    </row>
    <row r="22" spans="1:19" s="77" customFormat="1" x14ac:dyDescent="0.25">
      <c r="A22" s="75"/>
      <c r="B22" s="47">
        <f t="shared" si="0"/>
        <v>13</v>
      </c>
      <c r="C22" s="53" t="s">
        <v>18</v>
      </c>
      <c r="D22" s="37" t="s">
        <v>280</v>
      </c>
      <c r="E22" s="37" t="s">
        <v>281</v>
      </c>
      <c r="F22" s="37" t="s">
        <v>109</v>
      </c>
      <c r="G22" s="37" t="s">
        <v>282</v>
      </c>
      <c r="H22" s="37" t="s">
        <v>171</v>
      </c>
      <c r="I22" s="80" t="s">
        <v>249</v>
      </c>
      <c r="J22" s="37" t="s">
        <v>283</v>
      </c>
      <c r="K22" s="37"/>
      <c r="L22" s="37">
        <v>2</v>
      </c>
      <c r="M22" s="37">
        <f t="shared" si="1"/>
        <v>1000</v>
      </c>
      <c r="N22" s="37">
        <v>1005</v>
      </c>
      <c r="O22" s="81" t="s">
        <v>251</v>
      </c>
      <c r="P22" s="82">
        <v>8.4699999999999998E-2</v>
      </c>
      <c r="Q22" s="38">
        <f t="shared" si="7"/>
        <v>85.123499999999993</v>
      </c>
      <c r="R22" s="37"/>
      <c r="S22" s="59"/>
    </row>
    <row r="23" spans="1:19" s="77" customFormat="1" ht="36" x14ac:dyDescent="0.25">
      <c r="A23" s="75"/>
      <c r="B23" s="46">
        <f>ROW(B23) - ROW($B$9)</f>
        <v>14</v>
      </c>
      <c r="C23" s="53" t="s">
        <v>11</v>
      </c>
      <c r="D23" s="37" t="s">
        <v>33</v>
      </c>
      <c r="E23" s="37" t="s">
        <v>271</v>
      </c>
      <c r="F23" s="37" t="s">
        <v>105</v>
      </c>
      <c r="G23" s="37" t="s">
        <v>272</v>
      </c>
      <c r="H23" s="37" t="s">
        <v>273</v>
      </c>
      <c r="I23" s="37" t="s">
        <v>249</v>
      </c>
      <c r="J23" s="37" t="s">
        <v>274</v>
      </c>
      <c r="K23" s="37" t="s">
        <v>249</v>
      </c>
      <c r="L23" s="37">
        <v>1</v>
      </c>
      <c r="M23" s="37">
        <f t="shared" si="1"/>
        <v>500</v>
      </c>
      <c r="N23" s="37">
        <v>505</v>
      </c>
      <c r="O23" s="61" t="s">
        <v>251</v>
      </c>
      <c r="P23" s="38">
        <v>6.08E-2</v>
      </c>
      <c r="Q23" s="38">
        <f>P23*N23</f>
        <v>30.704000000000001</v>
      </c>
      <c r="R23" s="37"/>
      <c r="S23" s="59"/>
    </row>
    <row r="24" spans="1:19" s="77" customFormat="1" x14ac:dyDescent="0.25">
      <c r="A24" s="75"/>
      <c r="B24" s="47">
        <f t="shared" si="0"/>
        <v>15</v>
      </c>
      <c r="C24" s="54" t="s">
        <v>12</v>
      </c>
      <c r="D24" s="51" t="s">
        <v>34</v>
      </c>
      <c r="E24" s="51" t="s">
        <v>72</v>
      </c>
      <c r="F24" s="51" t="s">
        <v>106</v>
      </c>
      <c r="G24" s="51" t="s">
        <v>129</v>
      </c>
      <c r="H24" s="51" t="s">
        <v>162</v>
      </c>
      <c r="I24" s="51" t="s">
        <v>249</v>
      </c>
      <c r="J24" s="51" t="s">
        <v>184</v>
      </c>
      <c r="K24" s="51" t="s">
        <v>249</v>
      </c>
      <c r="L24" s="51">
        <v>2</v>
      </c>
      <c r="M24" s="37">
        <f t="shared" si="1"/>
        <v>1000</v>
      </c>
      <c r="N24" s="51">
        <v>1005</v>
      </c>
      <c r="O24" s="61" t="s">
        <v>251</v>
      </c>
      <c r="P24" s="52">
        <v>9.6699999999999994E-2</v>
      </c>
      <c r="Q24" s="52">
        <f t="shared" ref="Q24" si="8">P24*N24</f>
        <v>97.183499999999995</v>
      </c>
      <c r="R24" s="51"/>
      <c r="S24" s="59"/>
    </row>
    <row r="25" spans="1:19" s="77" customFormat="1" ht="25.5" x14ac:dyDescent="0.25">
      <c r="A25" s="75"/>
      <c r="B25" s="46">
        <f>ROW(B25) - ROW($B$9)</f>
        <v>16</v>
      </c>
      <c r="C25" s="53" t="s">
        <v>250</v>
      </c>
      <c r="D25" s="62" t="s">
        <v>35</v>
      </c>
      <c r="E25" s="62" t="s">
        <v>73</v>
      </c>
      <c r="F25" s="63" t="s">
        <v>252</v>
      </c>
      <c r="G25" s="62" t="s">
        <v>107</v>
      </c>
      <c r="H25" s="62" t="s">
        <v>249</v>
      </c>
      <c r="I25" s="62" t="s">
        <v>249</v>
      </c>
      <c r="J25" s="62" t="s">
        <v>249</v>
      </c>
      <c r="K25" s="62" t="s">
        <v>249</v>
      </c>
      <c r="L25" s="62">
        <v>1</v>
      </c>
      <c r="M25" s="62">
        <f t="shared" si="1"/>
        <v>500</v>
      </c>
      <c r="N25" s="62" t="s">
        <v>249</v>
      </c>
      <c r="O25" s="62" t="s">
        <v>249</v>
      </c>
      <c r="P25" s="64" t="s">
        <v>249</v>
      </c>
      <c r="Q25" s="64" t="s">
        <v>249</v>
      </c>
      <c r="R25" s="37"/>
      <c r="S25" s="59"/>
    </row>
    <row r="26" spans="1:19" s="77" customFormat="1" ht="25.5" x14ac:dyDescent="0.25">
      <c r="A26" s="75"/>
      <c r="B26" s="47">
        <f t="shared" si="0"/>
        <v>17</v>
      </c>
      <c r="C26" s="54" t="s">
        <v>13</v>
      </c>
      <c r="D26" s="51" t="s">
        <v>36</v>
      </c>
      <c r="E26" s="51" t="s">
        <v>260</v>
      </c>
      <c r="F26" s="51" t="s">
        <v>252</v>
      </c>
      <c r="G26" s="51" t="s">
        <v>261</v>
      </c>
      <c r="H26" s="51" t="s">
        <v>262</v>
      </c>
      <c r="I26" s="37" t="s">
        <v>249</v>
      </c>
      <c r="J26" s="51" t="s">
        <v>249</v>
      </c>
      <c r="K26" s="51" t="s">
        <v>249</v>
      </c>
      <c r="L26" s="51">
        <v>1</v>
      </c>
      <c r="M26" s="37">
        <f t="shared" si="1"/>
        <v>500</v>
      </c>
      <c r="N26" s="51">
        <v>501</v>
      </c>
      <c r="O26" s="61" t="s">
        <v>264</v>
      </c>
      <c r="P26" s="52">
        <v>2.14</v>
      </c>
      <c r="Q26" s="52">
        <f t="shared" ref="Q26" si="9">P26*N26</f>
        <v>1072.1400000000001</v>
      </c>
      <c r="R26" s="51"/>
      <c r="S26" s="59"/>
    </row>
    <row r="27" spans="1:19" s="77" customFormat="1" ht="24" x14ac:dyDescent="0.25">
      <c r="A27" s="75"/>
      <c r="B27" s="46">
        <f>ROW(B27) - ROW($B$9)</f>
        <v>18</v>
      </c>
      <c r="C27" s="53" t="s">
        <v>14</v>
      </c>
      <c r="D27" s="37" t="s">
        <v>37</v>
      </c>
      <c r="E27" s="37" t="s">
        <v>74</v>
      </c>
      <c r="F27" s="51" t="s">
        <v>252</v>
      </c>
      <c r="G27" s="37" t="s">
        <v>130</v>
      </c>
      <c r="H27" s="37" t="s">
        <v>163</v>
      </c>
      <c r="I27" s="51" t="s">
        <v>249</v>
      </c>
      <c r="J27" s="37" t="s">
        <v>185</v>
      </c>
      <c r="K27" s="37" t="s">
        <v>217</v>
      </c>
      <c r="L27" s="37">
        <v>1</v>
      </c>
      <c r="M27" s="37">
        <f t="shared" si="1"/>
        <v>500</v>
      </c>
      <c r="N27" s="37">
        <v>501</v>
      </c>
      <c r="O27" s="61" t="s">
        <v>251</v>
      </c>
      <c r="P27" s="38">
        <v>0.51549999999999996</v>
      </c>
      <c r="Q27" s="38">
        <f>P27*N27</f>
        <v>258.26549999999997</v>
      </c>
      <c r="R27" s="37"/>
      <c r="S27" s="59"/>
    </row>
    <row r="28" spans="1:19" s="77" customFormat="1" ht="48" x14ac:dyDescent="0.25">
      <c r="A28" s="75"/>
      <c r="B28" s="47">
        <f t="shared" si="0"/>
        <v>19</v>
      </c>
      <c r="C28" s="54" t="s">
        <v>15</v>
      </c>
      <c r="D28" s="51" t="s">
        <v>38</v>
      </c>
      <c r="E28" s="51" t="s">
        <v>75</v>
      </c>
      <c r="F28" s="51" t="s">
        <v>108</v>
      </c>
      <c r="G28" s="51" t="s">
        <v>131</v>
      </c>
      <c r="H28" s="51" t="s">
        <v>164</v>
      </c>
      <c r="I28" s="37" t="s">
        <v>249</v>
      </c>
      <c r="J28" s="51" t="s">
        <v>186</v>
      </c>
      <c r="K28" s="37" t="s">
        <v>249</v>
      </c>
      <c r="L28" s="51">
        <v>1</v>
      </c>
      <c r="M28" s="37">
        <f t="shared" si="1"/>
        <v>500</v>
      </c>
      <c r="N28" s="51">
        <v>520</v>
      </c>
      <c r="O28" s="61" t="s">
        <v>251</v>
      </c>
      <c r="P28" s="52">
        <v>2.7099999999999999E-2</v>
      </c>
      <c r="Q28" s="52">
        <f t="shared" ref="Q28" si="10">P28*N28</f>
        <v>14.091999999999999</v>
      </c>
      <c r="R28" s="51"/>
      <c r="S28" s="59"/>
    </row>
    <row r="29" spans="1:19" s="77" customFormat="1" ht="36" x14ac:dyDescent="0.25">
      <c r="A29" s="75"/>
      <c r="B29" s="46">
        <f>ROW(B29) - ROW($B$9)</f>
        <v>20</v>
      </c>
      <c r="C29" s="54" t="s">
        <v>15</v>
      </c>
      <c r="D29" s="37" t="s">
        <v>39</v>
      </c>
      <c r="E29" s="37" t="s">
        <v>76</v>
      </c>
      <c r="F29" s="37" t="s">
        <v>109</v>
      </c>
      <c r="G29" s="37" t="s">
        <v>132</v>
      </c>
      <c r="H29" s="37" t="s">
        <v>165</v>
      </c>
      <c r="I29" s="51" t="s">
        <v>249</v>
      </c>
      <c r="J29" s="37" t="s">
        <v>253</v>
      </c>
      <c r="K29" s="51" t="s">
        <v>249</v>
      </c>
      <c r="L29" s="37">
        <v>1</v>
      </c>
      <c r="M29" s="37">
        <f t="shared" si="1"/>
        <v>500</v>
      </c>
      <c r="N29" s="37">
        <v>505</v>
      </c>
      <c r="O29" s="61" t="s">
        <v>251</v>
      </c>
      <c r="P29" s="38">
        <v>0.18790000000000001</v>
      </c>
      <c r="Q29" s="38">
        <f>P29*N29</f>
        <v>94.889500000000012</v>
      </c>
      <c r="R29" s="37"/>
      <c r="S29" s="59"/>
    </row>
    <row r="30" spans="1:19" s="77" customFormat="1" ht="48" x14ac:dyDescent="0.25">
      <c r="A30" s="75"/>
      <c r="B30" s="47">
        <f t="shared" si="0"/>
        <v>21</v>
      </c>
      <c r="C30" s="54" t="s">
        <v>16</v>
      </c>
      <c r="D30" s="51" t="s">
        <v>40</v>
      </c>
      <c r="E30" s="51" t="s">
        <v>77</v>
      </c>
      <c r="F30" s="51" t="s">
        <v>110</v>
      </c>
      <c r="G30" s="51" t="s">
        <v>133</v>
      </c>
      <c r="H30" s="51" t="s">
        <v>166</v>
      </c>
      <c r="I30" s="37" t="s">
        <v>249</v>
      </c>
      <c r="J30" s="51" t="s">
        <v>187</v>
      </c>
      <c r="K30" s="51" t="s">
        <v>218</v>
      </c>
      <c r="L30" s="51">
        <v>1</v>
      </c>
      <c r="M30" s="37">
        <f t="shared" si="1"/>
        <v>500</v>
      </c>
      <c r="N30" s="51">
        <v>600</v>
      </c>
      <c r="O30" s="61" t="s">
        <v>251</v>
      </c>
      <c r="P30" s="52">
        <v>5.9999999999999995E-4</v>
      </c>
      <c r="Q30" s="52">
        <f t="shared" ref="Q30" si="11">P30*N30</f>
        <v>0.36</v>
      </c>
      <c r="R30" s="51"/>
      <c r="S30" s="59"/>
    </row>
    <row r="31" spans="1:19" s="77" customFormat="1" x14ac:dyDescent="0.25">
      <c r="A31" s="75"/>
      <c r="B31" s="46">
        <f>ROW(B31) - ROW($B$9)</f>
        <v>22</v>
      </c>
      <c r="C31" s="53" t="s">
        <v>16</v>
      </c>
      <c r="D31" s="37" t="s">
        <v>41</v>
      </c>
      <c r="E31" s="37" t="s">
        <v>78</v>
      </c>
      <c r="F31" s="37" t="s">
        <v>110</v>
      </c>
      <c r="G31" s="37" t="s">
        <v>134</v>
      </c>
      <c r="H31" s="37" t="s">
        <v>157</v>
      </c>
      <c r="I31" s="51" t="s">
        <v>249</v>
      </c>
      <c r="J31" s="37" t="s">
        <v>188</v>
      </c>
      <c r="K31" s="37" t="s">
        <v>219</v>
      </c>
      <c r="L31" s="37">
        <v>1</v>
      </c>
      <c r="M31" s="37">
        <f t="shared" si="1"/>
        <v>500</v>
      </c>
      <c r="N31" s="37">
        <v>550</v>
      </c>
      <c r="O31" s="61" t="s">
        <v>251</v>
      </c>
      <c r="P31" s="38">
        <v>4.7999999999999996E-3</v>
      </c>
      <c r="Q31" s="38">
        <f>P31*N31</f>
        <v>2.6399999999999997</v>
      </c>
      <c r="R31" s="37"/>
      <c r="S31" s="59"/>
    </row>
    <row r="32" spans="1:19" s="77" customFormat="1" x14ac:dyDescent="0.25">
      <c r="A32" s="75"/>
      <c r="B32" s="47">
        <f t="shared" si="0"/>
        <v>23</v>
      </c>
      <c r="C32" s="54" t="s">
        <v>16</v>
      </c>
      <c r="D32" s="51" t="s">
        <v>275</v>
      </c>
      <c r="E32" s="51" t="s">
        <v>79</v>
      </c>
      <c r="F32" s="51" t="s">
        <v>111</v>
      </c>
      <c r="G32" s="51" t="s">
        <v>135</v>
      </c>
      <c r="H32" s="51" t="s">
        <v>157</v>
      </c>
      <c r="I32" s="80" t="s">
        <v>249</v>
      </c>
      <c r="J32" s="51" t="s">
        <v>189</v>
      </c>
      <c r="K32" s="51" t="s">
        <v>220</v>
      </c>
      <c r="L32" s="51">
        <v>2</v>
      </c>
      <c r="M32" s="37">
        <f t="shared" si="1"/>
        <v>1000</v>
      </c>
      <c r="N32" s="51">
        <v>1100</v>
      </c>
      <c r="O32" s="61" t="s">
        <v>251</v>
      </c>
      <c r="P32" s="52">
        <v>5.0000000000000001E-4</v>
      </c>
      <c r="Q32" s="52">
        <f t="shared" ref="Q32" si="12">P32*N32</f>
        <v>0.55000000000000004</v>
      </c>
      <c r="R32" s="51"/>
      <c r="S32" s="59"/>
    </row>
    <row r="33" spans="1:19" s="77" customFormat="1" x14ac:dyDescent="0.25">
      <c r="A33" s="75"/>
      <c r="B33" s="46">
        <f>ROW(B33) - ROW($B$9)</f>
        <v>24</v>
      </c>
      <c r="C33" s="53" t="s">
        <v>16</v>
      </c>
      <c r="D33" s="37" t="s">
        <v>42</v>
      </c>
      <c r="E33" s="37" t="s">
        <v>80</v>
      </c>
      <c r="F33" s="37" t="s">
        <v>112</v>
      </c>
      <c r="G33" s="37" t="s">
        <v>136</v>
      </c>
      <c r="H33" s="37" t="s">
        <v>157</v>
      </c>
      <c r="I33" s="37" t="s">
        <v>249</v>
      </c>
      <c r="J33" s="37" t="s">
        <v>190</v>
      </c>
      <c r="K33" s="37" t="s">
        <v>221</v>
      </c>
      <c r="L33" s="37">
        <v>1</v>
      </c>
      <c r="M33" s="37">
        <f t="shared" si="1"/>
        <v>500</v>
      </c>
      <c r="N33" s="37">
        <v>505</v>
      </c>
      <c r="O33" s="61" t="s">
        <v>251</v>
      </c>
      <c r="P33" s="38">
        <v>5.8799999999999998E-2</v>
      </c>
      <c r="Q33" s="38">
        <f>P33*N33</f>
        <v>29.693999999999999</v>
      </c>
      <c r="R33" s="37"/>
      <c r="S33" s="59"/>
    </row>
    <row r="34" spans="1:19" s="77" customFormat="1" x14ac:dyDescent="0.25">
      <c r="A34" s="75"/>
      <c r="B34" s="47">
        <f t="shared" si="0"/>
        <v>25</v>
      </c>
      <c r="C34" s="54" t="s">
        <v>16</v>
      </c>
      <c r="D34" s="51" t="s">
        <v>43</v>
      </c>
      <c r="E34" s="51" t="s">
        <v>81</v>
      </c>
      <c r="F34" s="51" t="s">
        <v>110</v>
      </c>
      <c r="G34" s="51" t="s">
        <v>137</v>
      </c>
      <c r="H34" s="51" t="s">
        <v>157</v>
      </c>
      <c r="I34" s="51" t="s">
        <v>249</v>
      </c>
      <c r="J34" s="51" t="s">
        <v>191</v>
      </c>
      <c r="K34" s="51" t="s">
        <v>222</v>
      </c>
      <c r="L34" s="51">
        <v>1</v>
      </c>
      <c r="M34" s="37">
        <f t="shared" si="1"/>
        <v>500</v>
      </c>
      <c r="N34" s="51">
        <v>600</v>
      </c>
      <c r="O34" s="61" t="s">
        <v>251</v>
      </c>
      <c r="P34" s="52">
        <v>6.9999999999999999E-4</v>
      </c>
      <c r="Q34" s="52">
        <f t="shared" ref="Q34" si="13">P34*N34</f>
        <v>0.42</v>
      </c>
      <c r="R34" s="51"/>
      <c r="S34" s="59"/>
    </row>
    <row r="35" spans="1:19" s="77" customFormat="1" ht="24" x14ac:dyDescent="0.25">
      <c r="A35" s="75"/>
      <c r="B35" s="46">
        <f>ROW(B35) - ROW($B$9)</f>
        <v>26</v>
      </c>
      <c r="C35" s="53" t="s">
        <v>16</v>
      </c>
      <c r="D35" s="37" t="s">
        <v>44</v>
      </c>
      <c r="E35" s="37" t="s">
        <v>82</v>
      </c>
      <c r="F35" s="37" t="s">
        <v>110</v>
      </c>
      <c r="G35" s="37" t="s">
        <v>138</v>
      </c>
      <c r="H35" s="37" t="s">
        <v>166</v>
      </c>
      <c r="I35" s="37" t="s">
        <v>249</v>
      </c>
      <c r="J35" s="37" t="s">
        <v>192</v>
      </c>
      <c r="K35" s="37" t="s">
        <v>223</v>
      </c>
      <c r="L35" s="37">
        <v>1</v>
      </c>
      <c r="M35" s="37">
        <f t="shared" si="1"/>
        <v>500</v>
      </c>
      <c r="N35" s="37">
        <v>600</v>
      </c>
      <c r="O35" s="61" t="s">
        <v>251</v>
      </c>
      <c r="P35" s="38">
        <v>1E-3</v>
      </c>
      <c r="Q35" s="38">
        <f>P35*N35</f>
        <v>0.6</v>
      </c>
      <c r="R35" s="37"/>
      <c r="S35" s="59"/>
    </row>
    <row r="36" spans="1:19" s="77" customFormat="1" x14ac:dyDescent="0.25">
      <c r="A36" s="75"/>
      <c r="B36" s="47">
        <f t="shared" si="0"/>
        <v>27</v>
      </c>
      <c r="C36" s="53" t="s">
        <v>16</v>
      </c>
      <c r="D36" s="51" t="s">
        <v>45</v>
      </c>
      <c r="E36" s="51" t="s">
        <v>83</v>
      </c>
      <c r="F36" s="51" t="s">
        <v>113</v>
      </c>
      <c r="G36" s="62" t="s">
        <v>139</v>
      </c>
      <c r="H36" s="51" t="s">
        <v>167</v>
      </c>
      <c r="I36" s="51" t="s">
        <v>258</v>
      </c>
      <c r="J36" s="51" t="s">
        <v>259</v>
      </c>
      <c r="K36" s="51" t="s">
        <v>224</v>
      </c>
      <c r="L36" s="51">
        <v>1</v>
      </c>
      <c r="M36" s="37">
        <f t="shared" si="1"/>
        <v>500</v>
      </c>
      <c r="N36" s="51">
        <v>600</v>
      </c>
      <c r="O36" s="61" t="s">
        <v>251</v>
      </c>
      <c r="P36" s="52">
        <v>1.1999999999999999E-3</v>
      </c>
      <c r="Q36" s="52">
        <f t="shared" ref="Q36" si="14">P36*N36</f>
        <v>0.72</v>
      </c>
      <c r="R36" s="51"/>
      <c r="S36" s="59"/>
    </row>
    <row r="37" spans="1:19" s="77" customFormat="1" x14ac:dyDescent="0.25">
      <c r="A37" s="75"/>
      <c r="B37" s="46">
        <f>ROW(B37) - ROW($B$9)</f>
        <v>28</v>
      </c>
      <c r="C37" s="53" t="s">
        <v>16</v>
      </c>
      <c r="D37" s="37" t="s">
        <v>46</v>
      </c>
      <c r="E37" s="37" t="s">
        <v>84</v>
      </c>
      <c r="F37" s="37" t="s">
        <v>110</v>
      </c>
      <c r="G37" s="37" t="s">
        <v>140</v>
      </c>
      <c r="H37" s="37" t="s">
        <v>157</v>
      </c>
      <c r="I37" s="37" t="s">
        <v>249</v>
      </c>
      <c r="J37" s="37" t="s">
        <v>193</v>
      </c>
      <c r="K37" s="37" t="s">
        <v>225</v>
      </c>
      <c r="L37" s="37">
        <v>1</v>
      </c>
      <c r="M37" s="37">
        <f t="shared" si="1"/>
        <v>500</v>
      </c>
      <c r="N37" s="37">
        <v>600</v>
      </c>
      <c r="O37" s="61" t="s">
        <v>251</v>
      </c>
      <c r="P37" s="38">
        <v>8.9999999999999998E-4</v>
      </c>
      <c r="Q37" s="38">
        <f>P37*N37</f>
        <v>0.54</v>
      </c>
      <c r="R37" s="37"/>
      <c r="S37" s="59"/>
    </row>
    <row r="38" spans="1:19" s="77" customFormat="1" x14ac:dyDescent="0.25">
      <c r="A38" s="75"/>
      <c r="B38" s="47">
        <f t="shared" si="0"/>
        <v>29</v>
      </c>
      <c r="C38" s="54" t="s">
        <v>16</v>
      </c>
      <c r="D38" s="51" t="s">
        <v>47</v>
      </c>
      <c r="E38" s="51" t="s">
        <v>85</v>
      </c>
      <c r="F38" s="51" t="s">
        <v>110</v>
      </c>
      <c r="G38" s="51" t="s">
        <v>141</v>
      </c>
      <c r="H38" s="51" t="s">
        <v>157</v>
      </c>
      <c r="I38" s="51" t="s">
        <v>249</v>
      </c>
      <c r="J38" s="51" t="s">
        <v>194</v>
      </c>
      <c r="K38" s="51" t="s">
        <v>226</v>
      </c>
      <c r="L38" s="51">
        <v>1</v>
      </c>
      <c r="M38" s="37">
        <f t="shared" si="1"/>
        <v>500</v>
      </c>
      <c r="N38" s="51">
        <v>550</v>
      </c>
      <c r="O38" s="61" t="s">
        <v>251</v>
      </c>
      <c r="P38" s="52">
        <v>4.7999999999999996E-3</v>
      </c>
      <c r="Q38" s="52">
        <f t="shared" ref="Q38" si="15">P38*N38</f>
        <v>2.6399999999999997</v>
      </c>
      <c r="R38" s="51"/>
      <c r="S38" s="59"/>
    </row>
    <row r="39" spans="1:19" s="77" customFormat="1" ht="24" x14ac:dyDescent="0.25">
      <c r="A39" s="75"/>
      <c r="B39" s="46">
        <f>ROW(B39) - ROW($B$9)</f>
        <v>30</v>
      </c>
      <c r="C39" s="53" t="s">
        <v>16</v>
      </c>
      <c r="D39" s="37" t="s">
        <v>269</v>
      </c>
      <c r="E39" s="37" t="s">
        <v>86</v>
      </c>
      <c r="F39" s="37" t="s">
        <v>110</v>
      </c>
      <c r="G39" s="37" t="s">
        <v>142</v>
      </c>
      <c r="H39" s="37" t="s">
        <v>157</v>
      </c>
      <c r="I39" s="37" t="s">
        <v>249</v>
      </c>
      <c r="J39" s="37" t="s">
        <v>195</v>
      </c>
      <c r="K39" s="37" t="s">
        <v>227</v>
      </c>
      <c r="L39" s="37">
        <v>13</v>
      </c>
      <c r="M39" s="37">
        <f t="shared" si="1"/>
        <v>6500</v>
      </c>
      <c r="N39" s="37">
        <v>6600</v>
      </c>
      <c r="O39" s="61" t="s">
        <v>251</v>
      </c>
      <c r="P39" s="38">
        <v>5.9999999999999995E-4</v>
      </c>
      <c r="Q39" s="38">
        <f>P39*N39</f>
        <v>3.9599999999999995</v>
      </c>
      <c r="R39" s="37"/>
      <c r="S39" s="59"/>
    </row>
    <row r="40" spans="1:19" s="77" customFormat="1" x14ac:dyDescent="0.25">
      <c r="A40" s="75"/>
      <c r="B40" s="47">
        <f>ROW(B40) - ROW($B$9)</f>
        <v>31</v>
      </c>
      <c r="C40" s="54" t="s">
        <v>16</v>
      </c>
      <c r="D40" s="51" t="s">
        <v>270</v>
      </c>
      <c r="E40" s="51" t="s">
        <v>89</v>
      </c>
      <c r="F40" s="51" t="s">
        <v>113</v>
      </c>
      <c r="G40" s="51" t="s">
        <v>145</v>
      </c>
      <c r="H40" s="51" t="s">
        <v>157</v>
      </c>
      <c r="I40" s="51" t="s">
        <v>249</v>
      </c>
      <c r="J40" s="51" t="s">
        <v>198</v>
      </c>
      <c r="K40" s="51" t="s">
        <v>230</v>
      </c>
      <c r="L40" s="51">
        <v>3</v>
      </c>
      <c r="M40" s="37">
        <f t="shared" si="1"/>
        <v>1500</v>
      </c>
      <c r="N40" s="51">
        <v>1600</v>
      </c>
      <c r="O40" s="61" t="s">
        <v>251</v>
      </c>
      <c r="P40" s="52">
        <v>1E-3</v>
      </c>
      <c r="Q40" s="52">
        <f t="shared" ref="Q40:Q41" si="16">P40*N40</f>
        <v>1.6</v>
      </c>
      <c r="R40" s="51"/>
      <c r="S40" s="59"/>
    </row>
    <row r="41" spans="1:19" s="77" customFormat="1" x14ac:dyDescent="0.25">
      <c r="A41" s="75"/>
      <c r="B41" s="47">
        <f t="shared" si="0"/>
        <v>32</v>
      </c>
      <c r="C41" s="54" t="s">
        <v>16</v>
      </c>
      <c r="D41" s="51" t="s">
        <v>48</v>
      </c>
      <c r="E41" s="51" t="s">
        <v>87</v>
      </c>
      <c r="F41" s="51" t="s">
        <v>113</v>
      </c>
      <c r="G41" s="51" t="s">
        <v>143</v>
      </c>
      <c r="H41" s="51" t="s">
        <v>157</v>
      </c>
      <c r="I41" s="51" t="s">
        <v>249</v>
      </c>
      <c r="J41" s="51" t="s">
        <v>196</v>
      </c>
      <c r="K41" s="51" t="s">
        <v>228</v>
      </c>
      <c r="L41" s="51">
        <v>1</v>
      </c>
      <c r="M41" s="37">
        <f t="shared" si="1"/>
        <v>500</v>
      </c>
      <c r="N41" s="51">
        <v>600</v>
      </c>
      <c r="O41" s="61" t="s">
        <v>251</v>
      </c>
      <c r="P41" s="52">
        <v>1E-3</v>
      </c>
      <c r="Q41" s="52">
        <f t="shared" si="16"/>
        <v>0.6</v>
      </c>
      <c r="R41" s="51"/>
      <c r="S41" s="59"/>
    </row>
    <row r="42" spans="1:19" s="77" customFormat="1" x14ac:dyDescent="0.25">
      <c r="A42" s="75"/>
      <c r="B42" s="46">
        <f>ROW(B42) - ROW($B$9)</f>
        <v>33</v>
      </c>
      <c r="C42" s="53" t="s">
        <v>16</v>
      </c>
      <c r="D42" s="37" t="s">
        <v>49</v>
      </c>
      <c r="E42" s="37" t="s">
        <v>88</v>
      </c>
      <c r="F42" s="37" t="s">
        <v>113</v>
      </c>
      <c r="G42" s="37" t="s">
        <v>144</v>
      </c>
      <c r="H42" s="37" t="s">
        <v>157</v>
      </c>
      <c r="I42" s="37" t="s">
        <v>249</v>
      </c>
      <c r="J42" s="37" t="s">
        <v>197</v>
      </c>
      <c r="K42" s="37" t="s">
        <v>229</v>
      </c>
      <c r="L42" s="37">
        <v>2</v>
      </c>
      <c r="M42" s="37">
        <f t="shared" si="1"/>
        <v>1000</v>
      </c>
      <c r="N42" s="37">
        <v>1100</v>
      </c>
      <c r="O42" s="61" t="s">
        <v>251</v>
      </c>
      <c r="P42" s="38">
        <v>8.0000000000000004E-4</v>
      </c>
      <c r="Q42" s="38">
        <f>P42*N42</f>
        <v>0.88</v>
      </c>
      <c r="R42" s="37"/>
      <c r="S42" s="59"/>
    </row>
    <row r="43" spans="1:19" s="77" customFormat="1" x14ac:dyDescent="0.25">
      <c r="A43" s="75"/>
      <c r="B43" s="46">
        <f>ROW(B43) - ROW($B$9)</f>
        <v>34</v>
      </c>
      <c r="C43" s="53" t="s">
        <v>16</v>
      </c>
      <c r="D43" s="37" t="s">
        <v>50</v>
      </c>
      <c r="E43" s="37" t="s">
        <v>90</v>
      </c>
      <c r="F43" s="37" t="s">
        <v>110</v>
      </c>
      <c r="G43" s="37" t="s">
        <v>146</v>
      </c>
      <c r="H43" s="37" t="s">
        <v>157</v>
      </c>
      <c r="I43" s="37" t="s">
        <v>249</v>
      </c>
      <c r="J43" s="37" t="s">
        <v>199</v>
      </c>
      <c r="K43" s="37" t="s">
        <v>231</v>
      </c>
      <c r="L43" s="37">
        <v>4</v>
      </c>
      <c r="M43" s="37">
        <f t="shared" si="1"/>
        <v>2000</v>
      </c>
      <c r="N43" s="37">
        <v>2100</v>
      </c>
      <c r="O43" s="61" t="s">
        <v>251</v>
      </c>
      <c r="P43" s="38">
        <v>8.0000000000000004E-4</v>
      </c>
      <c r="Q43" s="38">
        <f>P43*N43</f>
        <v>1.6800000000000002</v>
      </c>
      <c r="R43" s="37"/>
      <c r="S43" s="59"/>
    </row>
    <row r="44" spans="1:19" s="77" customFormat="1" x14ac:dyDescent="0.25">
      <c r="A44" s="75"/>
      <c r="B44" s="47">
        <f t="shared" si="0"/>
        <v>35</v>
      </c>
      <c r="C44" s="54" t="s">
        <v>16</v>
      </c>
      <c r="D44" s="51" t="s">
        <v>51</v>
      </c>
      <c r="E44" s="51" t="s">
        <v>91</v>
      </c>
      <c r="F44" s="51" t="s">
        <v>113</v>
      </c>
      <c r="G44" s="51" t="s">
        <v>147</v>
      </c>
      <c r="H44" s="51" t="s">
        <v>157</v>
      </c>
      <c r="I44" s="51" t="s">
        <v>249</v>
      </c>
      <c r="J44" s="51" t="s">
        <v>200</v>
      </c>
      <c r="K44" s="51" t="s">
        <v>232</v>
      </c>
      <c r="L44" s="51">
        <v>1</v>
      </c>
      <c r="M44" s="37">
        <f t="shared" si="1"/>
        <v>500</v>
      </c>
      <c r="N44" s="51">
        <v>600</v>
      </c>
      <c r="O44" s="61" t="s">
        <v>251</v>
      </c>
      <c r="P44" s="52">
        <v>2.7000000000000001E-3</v>
      </c>
      <c r="Q44" s="52">
        <f t="shared" ref="Q44" si="17">P44*N44</f>
        <v>1.62</v>
      </c>
      <c r="R44" s="51"/>
      <c r="S44" s="59"/>
    </row>
    <row r="45" spans="1:19" s="77" customFormat="1" x14ac:dyDescent="0.25">
      <c r="A45" s="75"/>
      <c r="B45" s="46">
        <f>ROW(B45) - ROW($B$9)</f>
        <v>36</v>
      </c>
      <c r="C45" s="53" t="s">
        <v>16</v>
      </c>
      <c r="D45" s="37" t="s">
        <v>52</v>
      </c>
      <c r="E45" s="37" t="s">
        <v>92</v>
      </c>
      <c r="F45" s="37" t="s">
        <v>113</v>
      </c>
      <c r="G45" s="37" t="s">
        <v>148</v>
      </c>
      <c r="H45" s="37" t="s">
        <v>157</v>
      </c>
      <c r="I45" s="37" t="s">
        <v>249</v>
      </c>
      <c r="J45" s="37" t="s">
        <v>201</v>
      </c>
      <c r="K45" s="37" t="s">
        <v>233</v>
      </c>
      <c r="L45" s="37">
        <v>4</v>
      </c>
      <c r="M45" s="37">
        <f t="shared" si="1"/>
        <v>2000</v>
      </c>
      <c r="N45" s="37">
        <v>2100</v>
      </c>
      <c r="O45" s="61" t="s">
        <v>251</v>
      </c>
      <c r="P45" s="38">
        <v>1E-3</v>
      </c>
      <c r="Q45" s="38">
        <f>P45*N45</f>
        <v>2.1</v>
      </c>
      <c r="R45" s="37"/>
      <c r="S45" s="59"/>
    </row>
    <row r="46" spans="1:19" s="77" customFormat="1" x14ac:dyDescent="0.25">
      <c r="A46" s="75"/>
      <c r="B46" s="47">
        <f t="shared" si="0"/>
        <v>37</v>
      </c>
      <c r="C46" s="53" t="s">
        <v>16</v>
      </c>
      <c r="D46" s="51" t="s">
        <v>53</v>
      </c>
      <c r="E46" s="51" t="s">
        <v>93</v>
      </c>
      <c r="F46" s="51" t="s">
        <v>113</v>
      </c>
      <c r="G46" s="51" t="s">
        <v>149</v>
      </c>
      <c r="H46" s="51" t="s">
        <v>157</v>
      </c>
      <c r="I46" s="51" t="s">
        <v>249</v>
      </c>
      <c r="J46" s="51" t="s">
        <v>202</v>
      </c>
      <c r="K46" s="51" t="s">
        <v>234</v>
      </c>
      <c r="L46" s="51">
        <v>1</v>
      </c>
      <c r="M46" s="37">
        <f t="shared" si="1"/>
        <v>500</v>
      </c>
      <c r="N46" s="51">
        <v>600</v>
      </c>
      <c r="O46" s="61" t="s">
        <v>251</v>
      </c>
      <c r="P46" s="52">
        <v>1.2999999999999999E-3</v>
      </c>
      <c r="Q46" s="52">
        <f t="shared" ref="Q46" si="18">P46*N46</f>
        <v>0.77999999999999992</v>
      </c>
      <c r="R46" s="51"/>
      <c r="S46" s="59"/>
    </row>
    <row r="47" spans="1:19" s="77" customFormat="1" ht="24" x14ac:dyDescent="0.25">
      <c r="A47" s="75"/>
      <c r="B47" s="46">
        <f>ROW(B47) - ROW($B$9)</f>
        <v>38</v>
      </c>
      <c r="C47" s="53" t="s">
        <v>16</v>
      </c>
      <c r="D47" s="37" t="s">
        <v>54</v>
      </c>
      <c r="E47" s="37" t="s">
        <v>94</v>
      </c>
      <c r="F47" s="37" t="s">
        <v>113</v>
      </c>
      <c r="G47" s="37" t="s">
        <v>150</v>
      </c>
      <c r="H47" s="37" t="s">
        <v>157</v>
      </c>
      <c r="I47" s="37" t="s">
        <v>249</v>
      </c>
      <c r="J47" s="37" t="s">
        <v>203</v>
      </c>
      <c r="K47" s="37" t="s">
        <v>235</v>
      </c>
      <c r="L47" s="37">
        <v>1</v>
      </c>
      <c r="M47" s="37">
        <f t="shared" si="1"/>
        <v>500</v>
      </c>
      <c r="N47" s="37">
        <v>600</v>
      </c>
      <c r="O47" s="61" t="s">
        <v>251</v>
      </c>
      <c r="P47" s="38">
        <v>1.2999999999999999E-3</v>
      </c>
      <c r="Q47" s="38">
        <f>P47*N47</f>
        <v>0.77999999999999992</v>
      </c>
      <c r="R47" s="37"/>
      <c r="S47" s="59"/>
    </row>
    <row r="48" spans="1:19" s="77" customFormat="1" ht="24" x14ac:dyDescent="0.25">
      <c r="A48" s="75"/>
      <c r="B48" s="47">
        <f t="shared" si="0"/>
        <v>39</v>
      </c>
      <c r="C48" s="54" t="s">
        <v>17</v>
      </c>
      <c r="D48" s="51" t="s">
        <v>55</v>
      </c>
      <c r="E48" s="51" t="s">
        <v>265</v>
      </c>
      <c r="F48" s="51" t="s">
        <v>266</v>
      </c>
      <c r="G48" s="51" t="s">
        <v>267</v>
      </c>
      <c r="H48" s="51" t="s">
        <v>168</v>
      </c>
      <c r="I48" s="51" t="s">
        <v>249</v>
      </c>
      <c r="J48" s="51" t="s">
        <v>268</v>
      </c>
      <c r="K48" s="51" t="s">
        <v>249</v>
      </c>
      <c r="L48" s="51">
        <v>1</v>
      </c>
      <c r="M48" s="37">
        <f t="shared" si="1"/>
        <v>500</v>
      </c>
      <c r="N48" s="51">
        <v>501</v>
      </c>
      <c r="O48" s="61" t="s">
        <v>251</v>
      </c>
      <c r="P48" s="52">
        <v>1.3507</v>
      </c>
      <c r="Q48" s="52">
        <f t="shared" ref="Q48" si="19">P48*N48</f>
        <v>676.70069999999998</v>
      </c>
      <c r="R48" s="51"/>
      <c r="S48" s="59"/>
    </row>
    <row r="49" spans="1:19" s="77" customFormat="1" ht="24" x14ac:dyDescent="0.25">
      <c r="A49" s="75"/>
      <c r="B49" s="46">
        <f>ROW(B49) - ROW($B$9)</f>
        <v>40</v>
      </c>
      <c r="C49" s="53" t="s">
        <v>17</v>
      </c>
      <c r="D49" s="37" t="s">
        <v>56</v>
      </c>
      <c r="E49" s="37" t="s">
        <v>95</v>
      </c>
      <c r="F49" s="37" t="s">
        <v>114</v>
      </c>
      <c r="G49" s="37" t="s">
        <v>151</v>
      </c>
      <c r="H49" s="37" t="s">
        <v>169</v>
      </c>
      <c r="I49" s="37" t="s">
        <v>249</v>
      </c>
      <c r="J49" s="37" t="s">
        <v>204</v>
      </c>
      <c r="K49" s="37" t="s">
        <v>249</v>
      </c>
      <c r="L49" s="37">
        <v>1</v>
      </c>
      <c r="M49" s="37">
        <f t="shared" si="1"/>
        <v>500</v>
      </c>
      <c r="N49" s="37">
        <v>501</v>
      </c>
      <c r="O49" s="61" t="s">
        <v>251</v>
      </c>
      <c r="P49" s="38">
        <v>0.41370000000000001</v>
      </c>
      <c r="Q49" s="38">
        <f>P49*N49</f>
        <v>207.2637</v>
      </c>
      <c r="R49" s="37"/>
      <c r="S49" s="59"/>
    </row>
    <row r="50" spans="1:19" s="77" customFormat="1" ht="24" x14ac:dyDescent="0.25">
      <c r="A50" s="75"/>
      <c r="B50" s="47">
        <f t="shared" si="0"/>
        <v>41</v>
      </c>
      <c r="C50" s="54" t="s">
        <v>17</v>
      </c>
      <c r="D50" s="51" t="s">
        <v>57</v>
      </c>
      <c r="E50" s="51" t="s">
        <v>96</v>
      </c>
      <c r="F50" s="51" t="s">
        <v>115</v>
      </c>
      <c r="G50" s="51" t="s">
        <v>152</v>
      </c>
      <c r="H50" s="51" t="s">
        <v>170</v>
      </c>
      <c r="I50" s="51" t="s">
        <v>249</v>
      </c>
      <c r="J50" s="51" t="s">
        <v>205</v>
      </c>
      <c r="K50" s="51" t="s">
        <v>249</v>
      </c>
      <c r="L50" s="51">
        <v>1</v>
      </c>
      <c r="M50" s="37">
        <f t="shared" si="1"/>
        <v>500</v>
      </c>
      <c r="N50" s="51">
        <v>501</v>
      </c>
      <c r="O50" s="61" t="s">
        <v>251</v>
      </c>
      <c r="P50" s="52">
        <v>1.9489000000000001</v>
      </c>
      <c r="Q50" s="52">
        <f t="shared" ref="Q50:Q52" si="20">P50*N50</f>
        <v>976.39890000000003</v>
      </c>
      <c r="R50" s="51"/>
      <c r="S50" s="59"/>
    </row>
    <row r="51" spans="1:19" s="77" customFormat="1" ht="15.75" thickBot="1" x14ac:dyDescent="0.3">
      <c r="A51" s="75"/>
      <c r="B51" s="47">
        <f t="shared" si="0"/>
        <v>42</v>
      </c>
      <c r="C51" s="54" t="s">
        <v>19</v>
      </c>
      <c r="D51" s="51" t="s">
        <v>58</v>
      </c>
      <c r="E51" s="51" t="s">
        <v>97</v>
      </c>
      <c r="F51" s="51" t="s">
        <v>252</v>
      </c>
      <c r="G51" s="51" t="s">
        <v>116</v>
      </c>
      <c r="H51" s="51" t="s">
        <v>172</v>
      </c>
      <c r="I51" s="51" t="s">
        <v>249</v>
      </c>
      <c r="J51" s="51" t="s">
        <v>206</v>
      </c>
      <c r="K51" s="51" t="s">
        <v>263</v>
      </c>
      <c r="L51" s="51">
        <v>1</v>
      </c>
      <c r="M51" s="37">
        <f t="shared" si="1"/>
        <v>500</v>
      </c>
      <c r="N51" s="51">
        <v>501</v>
      </c>
      <c r="O51" s="61" t="s">
        <v>251</v>
      </c>
      <c r="P51" s="52">
        <v>0.14499999999999999</v>
      </c>
      <c r="Q51" s="52">
        <f t="shared" si="20"/>
        <v>72.644999999999996</v>
      </c>
      <c r="R51" s="51"/>
      <c r="S51" s="39"/>
    </row>
    <row r="52" spans="1:19" s="77" customFormat="1" ht="15.75" thickBot="1" x14ac:dyDescent="0.3">
      <c r="A52" s="75"/>
      <c r="B52" s="47">
        <f t="shared" si="0"/>
        <v>43</v>
      </c>
      <c r="C52" s="54" t="s">
        <v>276</v>
      </c>
      <c r="D52" s="51" t="s">
        <v>249</v>
      </c>
      <c r="E52" s="51" t="s">
        <v>249</v>
      </c>
      <c r="F52" s="51" t="s">
        <v>249</v>
      </c>
      <c r="G52" s="51" t="s">
        <v>277</v>
      </c>
      <c r="H52" s="51" t="s">
        <v>278</v>
      </c>
      <c r="I52" s="51" t="s">
        <v>249</v>
      </c>
      <c r="J52" s="51" t="s">
        <v>279</v>
      </c>
      <c r="K52" s="51" t="s">
        <v>249</v>
      </c>
      <c r="L52" s="51">
        <v>1</v>
      </c>
      <c r="M52" s="37">
        <f t="shared" si="1"/>
        <v>500</v>
      </c>
      <c r="N52" s="51">
        <v>500</v>
      </c>
      <c r="O52" s="61" t="s">
        <v>251</v>
      </c>
      <c r="P52" s="52">
        <v>1.2712000000000001</v>
      </c>
      <c r="Q52" s="52">
        <f t="shared" si="20"/>
        <v>635.6</v>
      </c>
      <c r="R52" s="51"/>
      <c r="S52" s="39"/>
    </row>
    <row r="53" spans="1:19" ht="19.5" thickBot="1" x14ac:dyDescent="0.3">
      <c r="A53" s="1"/>
      <c r="B53" s="40"/>
      <c r="C53" s="41"/>
      <c r="D53" s="42"/>
      <c r="E53" s="43"/>
      <c r="F53" s="44"/>
      <c r="G53" s="45"/>
      <c r="H53" s="44"/>
      <c r="I53" s="45"/>
      <c r="J53" s="44"/>
      <c r="K53" s="45"/>
      <c r="L53" s="45"/>
      <c r="M53" s="45"/>
      <c r="N53" s="73" t="s">
        <v>5</v>
      </c>
      <c r="O53" s="74"/>
      <c r="P53" s="74"/>
      <c r="Q53" s="48">
        <f>SUM(Q10:Q52)</f>
        <v>5228.3051000000005</v>
      </c>
      <c r="R53" s="69"/>
      <c r="S53" s="70"/>
    </row>
    <row r="54" spans="1:19" ht="19.5" thickBot="1" x14ac:dyDescent="0.3">
      <c r="A54" s="1"/>
      <c r="B54" s="25"/>
      <c r="C54" s="36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73" t="s">
        <v>6</v>
      </c>
      <c r="O54" s="74"/>
      <c r="P54" s="74"/>
      <c r="Q54" s="49">
        <f>Q53/500</f>
        <v>10.456610200000002</v>
      </c>
      <c r="R54" s="71"/>
      <c r="S54" s="72"/>
    </row>
  </sheetData>
  <mergeCells count="5">
    <mergeCell ref="K1:S1"/>
    <mergeCell ref="S3:S8"/>
    <mergeCell ref="N53:P53"/>
    <mergeCell ref="R53:S54"/>
    <mergeCell ref="N54:P54"/>
  </mergeCells>
  <hyperlinks>
    <hyperlink ref="O10" r:id="rId1"/>
    <hyperlink ref="O11" r:id="rId2"/>
    <hyperlink ref="O13" r:id="rId3"/>
    <hyperlink ref="O14" r:id="rId4"/>
    <hyperlink ref="O16" r:id="rId5"/>
    <hyperlink ref="O17" r:id="rId6"/>
    <hyperlink ref="O18" r:id="rId7"/>
    <hyperlink ref="O19" r:id="rId8"/>
    <hyperlink ref="O20" r:id="rId9"/>
    <hyperlink ref="O21" r:id="rId10"/>
    <hyperlink ref="O24" r:id="rId11"/>
    <hyperlink ref="O27" r:id="rId12"/>
    <hyperlink ref="O28" r:id="rId13"/>
    <hyperlink ref="O29" r:id="rId14"/>
    <hyperlink ref="O30" r:id="rId15"/>
    <hyperlink ref="O31" r:id="rId16"/>
    <hyperlink ref="O32" r:id="rId17"/>
    <hyperlink ref="O33" r:id="rId18"/>
    <hyperlink ref="O34" r:id="rId19"/>
    <hyperlink ref="O35" r:id="rId20"/>
    <hyperlink ref="O37" r:id="rId21"/>
    <hyperlink ref="O38" r:id="rId22"/>
    <hyperlink ref="O39" r:id="rId23"/>
    <hyperlink ref="O41" r:id="rId24"/>
    <hyperlink ref="O42" r:id="rId25"/>
    <hyperlink ref="O40" r:id="rId26"/>
    <hyperlink ref="O43" r:id="rId27"/>
    <hyperlink ref="O44" r:id="rId28"/>
    <hyperlink ref="O45" r:id="rId29"/>
    <hyperlink ref="O46" r:id="rId30"/>
    <hyperlink ref="O47" r:id="rId31"/>
    <hyperlink ref="O49" r:id="rId32"/>
    <hyperlink ref="O50" r:id="rId33"/>
    <hyperlink ref="O51" r:id="rId34"/>
    <hyperlink ref="O12" r:id="rId35"/>
    <hyperlink ref="O15" r:id="rId36"/>
    <hyperlink ref="O36" r:id="rId37"/>
    <hyperlink ref="O26" r:id="rId38"/>
    <hyperlink ref="O48" r:id="rId39"/>
    <hyperlink ref="O23" r:id="rId40"/>
    <hyperlink ref="O52" r:id="rId41"/>
    <hyperlink ref="O22" r:id="rId42"/>
  </hyperlinks>
  <pageMargins left="0.7" right="0.7" top="0.75" bottom="0.75" header="0.3" footer="0.3"/>
  <drawing r:id="rId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abSelected="1" topLeftCell="F1" workbookViewId="0">
      <selection activeCell="T34" sqref="T34"/>
    </sheetView>
  </sheetViews>
  <sheetFormatPr defaultRowHeight="15" x14ac:dyDescent="0.25"/>
  <cols>
    <col min="2" max="2" width="3" bestFit="1" customWidth="1"/>
    <col min="3" max="3" width="9.85546875" bestFit="1" customWidth="1"/>
    <col min="4" max="4" width="31.140625" bestFit="1" customWidth="1"/>
    <col min="5" max="5" width="28.5703125" customWidth="1"/>
    <col min="6" max="6" width="20.5703125" customWidth="1"/>
    <col min="7" max="7" width="25.28515625" bestFit="1" customWidth="1"/>
    <col min="8" max="8" width="16.140625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1.42578125" bestFit="1" customWidth="1"/>
    <col min="14" max="14" width="18.28515625" bestFit="1" customWidth="1"/>
    <col min="15" max="15" width="7.7109375" bestFit="1" customWidth="1"/>
    <col min="16" max="16" width="21.85546875" bestFit="1" customWidth="1"/>
    <col min="17" max="17" width="22.42578125" bestFit="1" customWidth="1"/>
    <col min="18" max="18" width="8.5703125" bestFit="1" customWidth="1"/>
    <col min="19" max="19" width="26.140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5"/>
      <c r="L1" s="65"/>
      <c r="M1" s="65"/>
      <c r="N1" s="65"/>
      <c r="O1" s="65"/>
      <c r="P1" s="65"/>
      <c r="Q1" s="65"/>
      <c r="R1" s="65"/>
      <c r="S1" s="66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237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238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7"/>
    </row>
    <row r="4" spans="1:19" x14ac:dyDescent="0.25">
      <c r="A4" s="1"/>
      <c r="B4" s="22"/>
      <c r="C4" s="32"/>
      <c r="D4" s="13" t="s">
        <v>2</v>
      </c>
      <c r="E4" s="13"/>
      <c r="F4" s="57" t="s">
        <v>239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8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8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8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8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8"/>
    </row>
    <row r="9" spans="1:19" ht="15.75" thickBot="1" x14ac:dyDescent="0.3">
      <c r="A9" s="1"/>
      <c r="B9" s="30" t="s">
        <v>4</v>
      </c>
      <c r="C9" s="30" t="s">
        <v>8</v>
      </c>
      <c r="D9" s="30" t="s">
        <v>20</v>
      </c>
      <c r="E9" s="30" t="s">
        <v>59</v>
      </c>
      <c r="F9" s="30" t="s">
        <v>98</v>
      </c>
      <c r="G9" s="30" t="s">
        <v>117</v>
      </c>
      <c r="H9" s="30" t="s">
        <v>153</v>
      </c>
      <c r="I9" s="30" t="s">
        <v>240</v>
      </c>
      <c r="J9" s="30" t="s">
        <v>173</v>
      </c>
      <c r="K9" s="60" t="s">
        <v>241</v>
      </c>
      <c r="L9" s="30" t="s">
        <v>236</v>
      </c>
      <c r="M9" s="30" t="s">
        <v>300</v>
      </c>
      <c r="N9" s="30" t="s">
        <v>301</v>
      </c>
      <c r="O9" s="30" t="s">
        <v>244</v>
      </c>
      <c r="P9" s="30" t="s">
        <v>302</v>
      </c>
      <c r="Q9" s="30" t="s">
        <v>303</v>
      </c>
      <c r="R9" s="30" t="s">
        <v>247</v>
      </c>
      <c r="S9" s="30" t="s">
        <v>248</v>
      </c>
    </row>
    <row r="10" spans="1:19" s="77" customFormat="1" ht="24" x14ac:dyDescent="0.25">
      <c r="A10" s="75"/>
      <c r="B10" s="46">
        <f>ROW(B10) - ROW($B$9)</f>
        <v>1</v>
      </c>
      <c r="C10" s="53" t="s">
        <v>9</v>
      </c>
      <c r="D10" s="37" t="s">
        <v>21</v>
      </c>
      <c r="E10" s="37" t="s">
        <v>60</v>
      </c>
      <c r="F10" s="37" t="s">
        <v>99</v>
      </c>
      <c r="G10" s="37" t="s">
        <v>118</v>
      </c>
      <c r="H10" s="37" t="s">
        <v>154</v>
      </c>
      <c r="I10" s="37" t="s">
        <v>249</v>
      </c>
      <c r="J10" s="37" t="s">
        <v>174</v>
      </c>
      <c r="K10" s="37" t="s">
        <v>207</v>
      </c>
      <c r="L10" s="37">
        <v>10</v>
      </c>
      <c r="M10" s="37">
        <f>L10*1000</f>
        <v>10000</v>
      </c>
      <c r="N10" s="37">
        <v>10050</v>
      </c>
      <c r="O10" s="61" t="s">
        <v>251</v>
      </c>
      <c r="P10" s="38">
        <v>5.8999999999999999E-3</v>
      </c>
      <c r="Q10" s="38">
        <f>P10*N10</f>
        <v>59.295000000000002</v>
      </c>
      <c r="R10" s="37"/>
      <c r="S10" s="76"/>
    </row>
    <row r="11" spans="1:19" s="77" customFormat="1" ht="36" x14ac:dyDescent="0.25">
      <c r="A11" s="75"/>
      <c r="B11" s="47">
        <f t="shared" ref="B11:B52" si="0">ROW(B11) - ROW($B$9)</f>
        <v>2</v>
      </c>
      <c r="C11" s="54" t="s">
        <v>9</v>
      </c>
      <c r="D11" s="51" t="s">
        <v>22</v>
      </c>
      <c r="E11" s="51" t="s">
        <v>61</v>
      </c>
      <c r="F11" s="51" t="s">
        <v>252</v>
      </c>
      <c r="G11" s="51" t="s">
        <v>100</v>
      </c>
      <c r="H11" s="51" t="s">
        <v>155</v>
      </c>
      <c r="I11" s="51" t="s">
        <v>249</v>
      </c>
      <c r="J11" s="51" t="s">
        <v>175</v>
      </c>
      <c r="K11" s="51" t="s">
        <v>208</v>
      </c>
      <c r="L11" s="51">
        <v>1</v>
      </c>
      <c r="M11" s="37">
        <f t="shared" ref="M11:M52" si="1">L11*1000</f>
        <v>1000</v>
      </c>
      <c r="N11" s="51">
        <v>1010</v>
      </c>
      <c r="O11" s="61" t="s">
        <v>251</v>
      </c>
      <c r="P11" s="52">
        <v>4.3E-3</v>
      </c>
      <c r="Q11" s="52">
        <f t="shared" ref="Q11" si="2">P11*N11</f>
        <v>4.343</v>
      </c>
      <c r="R11" s="51"/>
      <c r="S11" s="51"/>
    </row>
    <row r="12" spans="1:19" s="77" customFormat="1" x14ac:dyDescent="0.25">
      <c r="A12" s="75"/>
      <c r="B12" s="46">
        <f>ROW(B12) - ROW($B$9)</f>
        <v>3</v>
      </c>
      <c r="C12" s="54" t="s">
        <v>9</v>
      </c>
      <c r="D12" s="37" t="s">
        <v>23</v>
      </c>
      <c r="E12" s="37" t="s">
        <v>62</v>
      </c>
      <c r="F12" s="37" t="s">
        <v>101</v>
      </c>
      <c r="G12" s="62" t="s">
        <v>119</v>
      </c>
      <c r="H12" s="37" t="s">
        <v>154</v>
      </c>
      <c r="I12" s="37" t="s">
        <v>254</v>
      </c>
      <c r="J12" s="37" t="s">
        <v>257</v>
      </c>
      <c r="K12" s="37" t="s">
        <v>209</v>
      </c>
      <c r="L12" s="37">
        <v>3</v>
      </c>
      <c r="M12" s="37">
        <f t="shared" si="1"/>
        <v>3000</v>
      </c>
      <c r="N12" s="37">
        <v>3050</v>
      </c>
      <c r="O12" s="61" t="s">
        <v>251</v>
      </c>
      <c r="P12" s="38">
        <v>8.6999999999999994E-3</v>
      </c>
      <c r="Q12" s="38">
        <f>P12*N12</f>
        <v>26.534999999999997</v>
      </c>
      <c r="R12" s="37"/>
      <c r="S12" s="59"/>
    </row>
    <row r="13" spans="1:19" s="77" customFormat="1" x14ac:dyDescent="0.25">
      <c r="A13" s="75"/>
      <c r="B13" s="47">
        <f t="shared" si="0"/>
        <v>4</v>
      </c>
      <c r="C13" s="54" t="s">
        <v>9</v>
      </c>
      <c r="D13" s="51" t="s">
        <v>24</v>
      </c>
      <c r="E13" s="51" t="s">
        <v>63</v>
      </c>
      <c r="F13" s="51" t="s">
        <v>102</v>
      </c>
      <c r="G13" s="51" t="s">
        <v>120</v>
      </c>
      <c r="H13" s="51" t="s">
        <v>156</v>
      </c>
      <c r="I13" s="51" t="s">
        <v>249</v>
      </c>
      <c r="J13" s="51" t="s">
        <v>176</v>
      </c>
      <c r="K13" s="51" t="s">
        <v>210</v>
      </c>
      <c r="L13" s="51">
        <v>1</v>
      </c>
      <c r="M13" s="37">
        <f t="shared" si="1"/>
        <v>1000</v>
      </c>
      <c r="N13" s="51">
        <v>1002</v>
      </c>
      <c r="O13" s="61" t="s">
        <v>251</v>
      </c>
      <c r="P13" s="52">
        <v>0.80030000000000001</v>
      </c>
      <c r="Q13" s="52">
        <f t="shared" ref="Q13" si="3">P13*N13</f>
        <v>801.90060000000005</v>
      </c>
      <c r="R13" s="51"/>
      <c r="S13" s="59"/>
    </row>
    <row r="14" spans="1:19" s="77" customFormat="1" x14ac:dyDescent="0.25">
      <c r="A14" s="75"/>
      <c r="B14" s="46">
        <f>ROW(B14) - ROW($B$9)</f>
        <v>5</v>
      </c>
      <c r="C14" s="53" t="s">
        <v>9</v>
      </c>
      <c r="D14" s="37" t="s">
        <v>25</v>
      </c>
      <c r="E14" s="37" t="s">
        <v>64</v>
      </c>
      <c r="F14" s="37" t="s">
        <v>99</v>
      </c>
      <c r="G14" s="37" t="s">
        <v>121</v>
      </c>
      <c r="H14" s="37" t="s">
        <v>157</v>
      </c>
      <c r="I14" s="37" t="s">
        <v>249</v>
      </c>
      <c r="J14" s="37" t="s">
        <v>177</v>
      </c>
      <c r="K14" s="37" t="s">
        <v>211</v>
      </c>
      <c r="L14" s="37">
        <v>1</v>
      </c>
      <c r="M14" s="37">
        <f t="shared" si="1"/>
        <v>1000</v>
      </c>
      <c r="N14" s="37">
        <v>1100</v>
      </c>
      <c r="O14" s="61" t="s">
        <v>251</v>
      </c>
      <c r="P14" s="38">
        <v>1.9E-3</v>
      </c>
      <c r="Q14" s="38">
        <f>P14*N14</f>
        <v>2.09</v>
      </c>
      <c r="R14" s="37"/>
      <c r="S14" s="59"/>
    </row>
    <row r="15" spans="1:19" s="77" customFormat="1" x14ac:dyDescent="0.25">
      <c r="A15" s="75"/>
      <c r="B15" s="47">
        <f t="shared" si="0"/>
        <v>6</v>
      </c>
      <c r="C15" s="54" t="s">
        <v>9</v>
      </c>
      <c r="D15" s="51" t="s">
        <v>26</v>
      </c>
      <c r="E15" s="51" t="s">
        <v>65</v>
      </c>
      <c r="F15" s="51" t="s">
        <v>99</v>
      </c>
      <c r="G15" s="62" t="s">
        <v>122</v>
      </c>
      <c r="H15" s="51" t="s">
        <v>157</v>
      </c>
      <c r="I15" s="51" t="s">
        <v>255</v>
      </c>
      <c r="J15" s="51" t="s">
        <v>256</v>
      </c>
      <c r="K15" s="51" t="s">
        <v>212</v>
      </c>
      <c r="L15" s="51">
        <v>3</v>
      </c>
      <c r="M15" s="37">
        <f t="shared" si="1"/>
        <v>3000</v>
      </c>
      <c r="N15" s="51">
        <v>3100</v>
      </c>
      <c r="O15" s="61" t="s">
        <v>251</v>
      </c>
      <c r="P15" s="52">
        <v>1.2999999999999999E-3</v>
      </c>
      <c r="Q15" s="52">
        <f t="shared" ref="Q15" si="4">P15*N15</f>
        <v>4.03</v>
      </c>
      <c r="R15" s="51"/>
      <c r="S15" s="59"/>
    </row>
    <row r="16" spans="1:19" s="77" customFormat="1" x14ac:dyDescent="0.25">
      <c r="A16" s="75"/>
      <c r="B16" s="46">
        <f>ROW(B16) - ROW($B$9)</f>
        <v>7</v>
      </c>
      <c r="C16" s="53" t="s">
        <v>9</v>
      </c>
      <c r="D16" s="37" t="s">
        <v>27</v>
      </c>
      <c r="E16" s="37" t="s">
        <v>66</v>
      </c>
      <c r="F16" s="37" t="s">
        <v>101</v>
      </c>
      <c r="G16" s="37" t="s">
        <v>123</v>
      </c>
      <c r="H16" s="37" t="s">
        <v>158</v>
      </c>
      <c r="I16" s="37" t="s">
        <v>249</v>
      </c>
      <c r="J16" s="37" t="s">
        <v>178</v>
      </c>
      <c r="K16" s="37" t="s">
        <v>213</v>
      </c>
      <c r="L16" s="37">
        <v>1</v>
      </c>
      <c r="M16" s="37">
        <f t="shared" si="1"/>
        <v>1000</v>
      </c>
      <c r="N16" s="37">
        <v>1002</v>
      </c>
      <c r="O16" s="61" t="s">
        <v>251</v>
      </c>
      <c r="P16" s="38">
        <v>0.67459999999999998</v>
      </c>
      <c r="Q16" s="38">
        <f>P16*N16</f>
        <v>675.94920000000002</v>
      </c>
      <c r="R16" s="37"/>
      <c r="S16" s="59"/>
    </row>
    <row r="17" spans="1:19" s="77" customFormat="1" x14ac:dyDescent="0.25">
      <c r="A17" s="75"/>
      <c r="B17" s="47">
        <f t="shared" si="0"/>
        <v>8</v>
      </c>
      <c r="C17" s="54" t="s">
        <v>9</v>
      </c>
      <c r="D17" s="51" t="s">
        <v>28</v>
      </c>
      <c r="E17" s="51" t="s">
        <v>67</v>
      </c>
      <c r="F17" s="51" t="s">
        <v>101</v>
      </c>
      <c r="G17" s="51" t="s">
        <v>124</v>
      </c>
      <c r="H17" s="51" t="s">
        <v>159</v>
      </c>
      <c r="I17" s="51" t="s">
        <v>249</v>
      </c>
      <c r="J17" s="51" t="s">
        <v>179</v>
      </c>
      <c r="K17" s="51" t="s">
        <v>214</v>
      </c>
      <c r="L17" s="51">
        <v>2</v>
      </c>
      <c r="M17" s="37">
        <f t="shared" si="1"/>
        <v>2000</v>
      </c>
      <c r="N17" s="51">
        <v>2100</v>
      </c>
      <c r="O17" s="61" t="s">
        <v>251</v>
      </c>
      <c r="P17" s="52">
        <v>2.2000000000000001E-3</v>
      </c>
      <c r="Q17" s="52">
        <f t="shared" ref="Q17" si="5">P17*N17</f>
        <v>4.62</v>
      </c>
      <c r="R17" s="51"/>
      <c r="S17" s="59"/>
    </row>
    <row r="18" spans="1:19" s="77" customFormat="1" x14ac:dyDescent="0.25">
      <c r="A18" s="75"/>
      <c r="B18" s="46">
        <f>ROW(B18) - ROW($B$9)</f>
        <v>9</v>
      </c>
      <c r="C18" s="53" t="s">
        <v>9</v>
      </c>
      <c r="D18" s="37" t="s">
        <v>29</v>
      </c>
      <c r="E18" s="37" t="s">
        <v>68</v>
      </c>
      <c r="F18" s="37" t="s">
        <v>101</v>
      </c>
      <c r="G18" s="37" t="s">
        <v>125</v>
      </c>
      <c r="H18" s="37" t="s">
        <v>157</v>
      </c>
      <c r="I18" s="37" t="s">
        <v>249</v>
      </c>
      <c r="J18" s="37" t="s">
        <v>180</v>
      </c>
      <c r="K18" s="37" t="s">
        <v>215</v>
      </c>
      <c r="L18" s="37">
        <v>2</v>
      </c>
      <c r="M18" s="37">
        <f t="shared" si="1"/>
        <v>2000</v>
      </c>
      <c r="N18" s="37">
        <v>2100</v>
      </c>
      <c r="O18" s="61" t="s">
        <v>251</v>
      </c>
      <c r="P18" s="38">
        <v>5.3E-3</v>
      </c>
      <c r="Q18" s="38">
        <f>P18*N18</f>
        <v>11.13</v>
      </c>
      <c r="R18" s="37"/>
      <c r="S18" s="59"/>
    </row>
    <row r="19" spans="1:19" s="77" customFormat="1" x14ac:dyDescent="0.25">
      <c r="A19" s="75"/>
      <c r="B19" s="47">
        <f t="shared" si="0"/>
        <v>10</v>
      </c>
      <c r="C19" s="53" t="s">
        <v>9</v>
      </c>
      <c r="D19" s="51" t="s">
        <v>30</v>
      </c>
      <c r="E19" s="51" t="s">
        <v>69</v>
      </c>
      <c r="F19" s="51" t="s">
        <v>101</v>
      </c>
      <c r="G19" s="51" t="s">
        <v>126</v>
      </c>
      <c r="H19" s="51" t="s">
        <v>158</v>
      </c>
      <c r="I19" s="51" t="s">
        <v>249</v>
      </c>
      <c r="J19" s="51" t="s">
        <v>181</v>
      </c>
      <c r="K19" s="51" t="s">
        <v>216</v>
      </c>
      <c r="L19" s="51">
        <v>1</v>
      </c>
      <c r="M19" s="37">
        <f t="shared" si="1"/>
        <v>1000</v>
      </c>
      <c r="N19" s="51">
        <v>1010</v>
      </c>
      <c r="O19" s="61" t="s">
        <v>251</v>
      </c>
      <c r="P19" s="52">
        <v>2.9000000000000001E-2</v>
      </c>
      <c r="Q19" s="52">
        <f t="shared" ref="Q19" si="6">P19*N19</f>
        <v>29.290000000000003</v>
      </c>
      <c r="R19" s="51"/>
      <c r="S19" s="59"/>
    </row>
    <row r="20" spans="1:19" s="77" customFormat="1" ht="24" x14ac:dyDescent="0.25">
      <c r="A20" s="75"/>
      <c r="B20" s="46">
        <f>ROW(B20) - ROW($B$9)</f>
        <v>11</v>
      </c>
      <c r="C20" s="53" t="s">
        <v>10</v>
      </c>
      <c r="D20" s="37" t="s">
        <v>31</v>
      </c>
      <c r="E20" s="37" t="s">
        <v>70</v>
      </c>
      <c r="F20" s="37" t="s">
        <v>103</v>
      </c>
      <c r="G20" s="37" t="s">
        <v>127</v>
      </c>
      <c r="H20" s="37" t="s">
        <v>160</v>
      </c>
      <c r="I20" s="37" t="s">
        <v>249</v>
      </c>
      <c r="J20" s="37" t="s">
        <v>182</v>
      </c>
      <c r="K20" s="37" t="s">
        <v>249</v>
      </c>
      <c r="L20" s="37">
        <v>1</v>
      </c>
      <c r="M20" s="37">
        <f t="shared" si="1"/>
        <v>1000</v>
      </c>
      <c r="N20" s="37">
        <v>1010</v>
      </c>
      <c r="O20" s="61" t="s">
        <v>251</v>
      </c>
      <c r="P20" s="38">
        <v>3.2599999999999997E-2</v>
      </c>
      <c r="Q20" s="38">
        <f>P20*N20</f>
        <v>32.925999999999995</v>
      </c>
      <c r="R20" s="37"/>
      <c r="S20" s="59"/>
    </row>
    <row r="21" spans="1:19" s="77" customFormat="1" x14ac:dyDescent="0.25">
      <c r="A21" s="75"/>
      <c r="B21" s="47">
        <f t="shared" si="0"/>
        <v>12</v>
      </c>
      <c r="C21" s="54" t="s">
        <v>10</v>
      </c>
      <c r="D21" s="51" t="s">
        <v>32</v>
      </c>
      <c r="E21" s="51" t="s">
        <v>71</v>
      </c>
      <c r="F21" s="51" t="s">
        <v>104</v>
      </c>
      <c r="G21" s="51" t="s">
        <v>128</v>
      </c>
      <c r="H21" s="51" t="s">
        <v>161</v>
      </c>
      <c r="I21" s="51" t="s">
        <v>249</v>
      </c>
      <c r="J21" s="51" t="s">
        <v>183</v>
      </c>
      <c r="K21" s="51" t="s">
        <v>249</v>
      </c>
      <c r="L21" s="51">
        <v>1</v>
      </c>
      <c r="M21" s="37">
        <f t="shared" si="1"/>
        <v>1000</v>
      </c>
      <c r="N21" s="51">
        <v>1005</v>
      </c>
      <c r="O21" s="61" t="s">
        <v>251</v>
      </c>
      <c r="P21" s="52">
        <v>3.7999999999999999E-2</v>
      </c>
      <c r="Q21" s="52">
        <f t="shared" ref="Q21:Q22" si="7">P21*N21</f>
        <v>38.19</v>
      </c>
      <c r="R21" s="51"/>
      <c r="S21" s="59"/>
    </row>
    <row r="22" spans="1:19" s="84" customFormat="1" x14ac:dyDescent="0.25">
      <c r="A22" s="78"/>
      <c r="B22" s="85">
        <f t="shared" si="0"/>
        <v>13</v>
      </c>
      <c r="C22" s="79" t="s">
        <v>18</v>
      </c>
      <c r="D22" s="80" t="s">
        <v>280</v>
      </c>
      <c r="E22" s="80" t="s">
        <v>281</v>
      </c>
      <c r="F22" s="80" t="s">
        <v>109</v>
      </c>
      <c r="G22" s="80" t="s">
        <v>282</v>
      </c>
      <c r="H22" s="80" t="s">
        <v>171</v>
      </c>
      <c r="I22" s="80" t="s">
        <v>249</v>
      </c>
      <c r="J22" s="80" t="s">
        <v>283</v>
      </c>
      <c r="K22" s="80"/>
      <c r="L22" s="80">
        <v>2</v>
      </c>
      <c r="M22" s="80">
        <f t="shared" si="1"/>
        <v>2000</v>
      </c>
      <c r="N22" s="80">
        <v>2005</v>
      </c>
      <c r="O22" s="81" t="s">
        <v>251</v>
      </c>
      <c r="P22" s="82">
        <v>8.4699999999999998E-2</v>
      </c>
      <c r="Q22" s="82">
        <f t="shared" si="7"/>
        <v>169.8235</v>
      </c>
      <c r="R22" s="80"/>
      <c r="S22" s="83"/>
    </row>
    <row r="23" spans="1:19" s="77" customFormat="1" ht="36" x14ac:dyDescent="0.25">
      <c r="A23" s="75"/>
      <c r="B23" s="46">
        <f>ROW(B23) - ROW($B$9)</f>
        <v>14</v>
      </c>
      <c r="C23" s="53" t="s">
        <v>11</v>
      </c>
      <c r="D23" s="37" t="s">
        <v>33</v>
      </c>
      <c r="E23" s="37" t="s">
        <v>271</v>
      </c>
      <c r="F23" s="37" t="s">
        <v>105</v>
      </c>
      <c r="G23" s="37" t="s">
        <v>272</v>
      </c>
      <c r="H23" s="37" t="s">
        <v>273</v>
      </c>
      <c r="I23" s="37" t="s">
        <v>249</v>
      </c>
      <c r="J23" s="37" t="s">
        <v>274</v>
      </c>
      <c r="K23" s="37" t="s">
        <v>249</v>
      </c>
      <c r="L23" s="37">
        <v>1</v>
      </c>
      <c r="M23" s="37">
        <f t="shared" si="1"/>
        <v>1000</v>
      </c>
      <c r="N23" s="37">
        <v>1005</v>
      </c>
      <c r="O23" s="61" t="s">
        <v>251</v>
      </c>
      <c r="P23" s="38">
        <v>6.08E-2</v>
      </c>
      <c r="Q23" s="38">
        <f>P23*N23</f>
        <v>61.103999999999999</v>
      </c>
      <c r="R23" s="37"/>
      <c r="S23" s="59"/>
    </row>
    <row r="24" spans="1:19" s="77" customFormat="1" ht="25.5" x14ac:dyDescent="0.25">
      <c r="A24" s="75"/>
      <c r="B24" s="47">
        <f t="shared" si="0"/>
        <v>15</v>
      </c>
      <c r="C24" s="54" t="s">
        <v>12</v>
      </c>
      <c r="D24" s="51" t="s">
        <v>34</v>
      </c>
      <c r="E24" s="51" t="s">
        <v>72</v>
      </c>
      <c r="F24" s="51" t="s">
        <v>106</v>
      </c>
      <c r="G24" s="51" t="s">
        <v>129</v>
      </c>
      <c r="H24" s="51" t="s">
        <v>162</v>
      </c>
      <c r="I24" s="51" t="s">
        <v>249</v>
      </c>
      <c r="J24" s="51" t="s">
        <v>184</v>
      </c>
      <c r="K24" s="51" t="s">
        <v>249</v>
      </c>
      <c r="L24" s="51">
        <v>2</v>
      </c>
      <c r="M24" s="37">
        <f t="shared" si="1"/>
        <v>2000</v>
      </c>
      <c r="N24" s="51">
        <v>2005</v>
      </c>
      <c r="O24" s="61" t="s">
        <v>251</v>
      </c>
      <c r="P24" s="52">
        <v>8.9399999999999993E-2</v>
      </c>
      <c r="Q24" s="52">
        <f t="shared" ref="Q24" si="8">P24*N24</f>
        <v>179.24699999999999</v>
      </c>
      <c r="R24" s="51"/>
      <c r="S24" s="59"/>
    </row>
    <row r="25" spans="1:19" s="77" customFormat="1" ht="25.5" x14ac:dyDescent="0.25">
      <c r="A25" s="75"/>
      <c r="B25" s="46">
        <f>ROW(B25) - ROW($B$9)</f>
        <v>16</v>
      </c>
      <c r="C25" s="53" t="s">
        <v>250</v>
      </c>
      <c r="D25" s="62" t="s">
        <v>35</v>
      </c>
      <c r="E25" s="62" t="s">
        <v>73</v>
      </c>
      <c r="F25" s="63" t="s">
        <v>252</v>
      </c>
      <c r="G25" s="62" t="s">
        <v>107</v>
      </c>
      <c r="H25" s="62" t="s">
        <v>249</v>
      </c>
      <c r="I25" s="62" t="s">
        <v>249</v>
      </c>
      <c r="J25" s="62" t="s">
        <v>249</v>
      </c>
      <c r="K25" s="62" t="s">
        <v>249</v>
      </c>
      <c r="L25" s="62">
        <v>1</v>
      </c>
      <c r="M25" s="62">
        <f t="shared" si="1"/>
        <v>1000</v>
      </c>
      <c r="N25" s="62" t="s">
        <v>249</v>
      </c>
      <c r="O25" s="62" t="s">
        <v>249</v>
      </c>
      <c r="P25" s="64" t="s">
        <v>249</v>
      </c>
      <c r="Q25" s="64" t="s">
        <v>249</v>
      </c>
      <c r="R25" s="37"/>
      <c r="S25" s="59"/>
    </row>
    <row r="26" spans="1:19" s="77" customFormat="1" ht="25.5" x14ac:dyDescent="0.25">
      <c r="A26" s="75"/>
      <c r="B26" s="47">
        <f t="shared" si="0"/>
        <v>17</v>
      </c>
      <c r="C26" s="54" t="s">
        <v>13</v>
      </c>
      <c r="D26" s="51" t="s">
        <v>36</v>
      </c>
      <c r="E26" s="51" t="s">
        <v>260</v>
      </c>
      <c r="F26" s="51" t="s">
        <v>252</v>
      </c>
      <c r="G26" s="51" t="s">
        <v>261</v>
      </c>
      <c r="H26" s="51" t="s">
        <v>262</v>
      </c>
      <c r="I26" s="37" t="s">
        <v>249</v>
      </c>
      <c r="J26" s="51" t="s">
        <v>249</v>
      </c>
      <c r="K26" s="51" t="s">
        <v>249</v>
      </c>
      <c r="L26" s="51">
        <v>1</v>
      </c>
      <c r="M26" s="37">
        <f t="shared" si="1"/>
        <v>1000</v>
      </c>
      <c r="N26" s="51">
        <v>1001</v>
      </c>
      <c r="O26" s="61" t="s">
        <v>264</v>
      </c>
      <c r="P26" s="52">
        <v>1.99</v>
      </c>
      <c r="Q26" s="52">
        <f t="shared" ref="Q26" si="9">P26*N26</f>
        <v>1991.99</v>
      </c>
      <c r="R26" s="51"/>
      <c r="S26" s="59"/>
    </row>
    <row r="27" spans="1:19" s="77" customFormat="1" ht="24" x14ac:dyDescent="0.25">
      <c r="A27" s="75"/>
      <c r="B27" s="46">
        <f>ROW(B27) - ROW($B$9)</f>
        <v>18</v>
      </c>
      <c r="C27" s="53" t="s">
        <v>14</v>
      </c>
      <c r="D27" s="37" t="s">
        <v>37</v>
      </c>
      <c r="E27" s="37" t="s">
        <v>74</v>
      </c>
      <c r="F27" s="51" t="s">
        <v>252</v>
      </c>
      <c r="G27" s="37" t="s">
        <v>130</v>
      </c>
      <c r="H27" s="37" t="s">
        <v>163</v>
      </c>
      <c r="I27" s="51" t="s">
        <v>249</v>
      </c>
      <c r="J27" s="37" t="s">
        <v>185</v>
      </c>
      <c r="K27" s="37" t="s">
        <v>217</v>
      </c>
      <c r="L27" s="37">
        <v>1</v>
      </c>
      <c r="M27" s="37">
        <f t="shared" si="1"/>
        <v>1000</v>
      </c>
      <c r="N27" s="37">
        <v>1002</v>
      </c>
      <c r="O27" s="61" t="s">
        <v>251</v>
      </c>
      <c r="P27" s="38">
        <v>0.49009999999999998</v>
      </c>
      <c r="Q27" s="38">
        <f>P27*N27</f>
        <v>491.08019999999999</v>
      </c>
      <c r="R27" s="37"/>
      <c r="S27" s="59"/>
    </row>
    <row r="28" spans="1:19" s="77" customFormat="1" ht="48" x14ac:dyDescent="0.25">
      <c r="A28" s="75"/>
      <c r="B28" s="47">
        <f t="shared" si="0"/>
        <v>19</v>
      </c>
      <c r="C28" s="54" t="s">
        <v>15</v>
      </c>
      <c r="D28" s="51" t="s">
        <v>38</v>
      </c>
      <c r="E28" s="51" t="s">
        <v>75</v>
      </c>
      <c r="F28" s="51" t="s">
        <v>108</v>
      </c>
      <c r="G28" s="51" t="s">
        <v>131</v>
      </c>
      <c r="H28" s="51" t="s">
        <v>164</v>
      </c>
      <c r="I28" s="37" t="s">
        <v>249</v>
      </c>
      <c r="J28" s="51" t="s">
        <v>186</v>
      </c>
      <c r="K28" s="37" t="s">
        <v>249</v>
      </c>
      <c r="L28" s="51">
        <v>1</v>
      </c>
      <c r="M28" s="37">
        <f t="shared" si="1"/>
        <v>1000</v>
      </c>
      <c r="N28" s="51">
        <v>1020</v>
      </c>
      <c r="O28" s="61" t="s">
        <v>251</v>
      </c>
      <c r="P28" s="52">
        <v>2.35E-2</v>
      </c>
      <c r="Q28" s="52">
        <f t="shared" ref="Q28" si="10">P28*N28</f>
        <v>23.97</v>
      </c>
      <c r="R28" s="51"/>
      <c r="S28" s="59"/>
    </row>
    <row r="29" spans="1:19" s="77" customFormat="1" ht="24" x14ac:dyDescent="0.25">
      <c r="A29" s="75"/>
      <c r="B29" s="46">
        <f>ROW(B29) - ROW($B$9)</f>
        <v>20</v>
      </c>
      <c r="C29" s="54" t="s">
        <v>15</v>
      </c>
      <c r="D29" s="37" t="s">
        <v>39</v>
      </c>
      <c r="E29" s="37" t="s">
        <v>76</v>
      </c>
      <c r="F29" s="37" t="s">
        <v>109</v>
      </c>
      <c r="G29" s="37" t="s">
        <v>132</v>
      </c>
      <c r="H29" s="37" t="s">
        <v>165</v>
      </c>
      <c r="I29" s="51" t="s">
        <v>249</v>
      </c>
      <c r="J29" s="37" t="s">
        <v>253</v>
      </c>
      <c r="K29" s="51" t="s">
        <v>249</v>
      </c>
      <c r="L29" s="37">
        <v>1</v>
      </c>
      <c r="M29" s="37">
        <f t="shared" si="1"/>
        <v>1000</v>
      </c>
      <c r="N29" s="37">
        <v>1005</v>
      </c>
      <c r="O29" s="61" t="s">
        <v>251</v>
      </c>
      <c r="P29" s="38">
        <v>0.18790000000000001</v>
      </c>
      <c r="Q29" s="38">
        <f>P29*N29</f>
        <v>188.83950000000002</v>
      </c>
      <c r="R29" s="37"/>
      <c r="S29" s="59"/>
    </row>
    <row r="30" spans="1:19" s="77" customFormat="1" ht="48" x14ac:dyDescent="0.25">
      <c r="A30" s="75"/>
      <c r="B30" s="47">
        <f t="shared" si="0"/>
        <v>21</v>
      </c>
      <c r="C30" s="54" t="s">
        <v>16</v>
      </c>
      <c r="D30" s="51" t="s">
        <v>40</v>
      </c>
      <c r="E30" s="51" t="s">
        <v>77</v>
      </c>
      <c r="F30" s="51" t="s">
        <v>110</v>
      </c>
      <c r="G30" s="51" t="s">
        <v>133</v>
      </c>
      <c r="H30" s="51" t="s">
        <v>166</v>
      </c>
      <c r="I30" s="37" t="s">
        <v>249</v>
      </c>
      <c r="J30" s="51" t="s">
        <v>187</v>
      </c>
      <c r="K30" s="51" t="s">
        <v>218</v>
      </c>
      <c r="L30" s="51">
        <v>1</v>
      </c>
      <c r="M30" s="37">
        <f t="shared" si="1"/>
        <v>1000</v>
      </c>
      <c r="N30" s="51">
        <v>1100</v>
      </c>
      <c r="O30" s="61" t="s">
        <v>251</v>
      </c>
      <c r="P30" s="52">
        <v>1.5E-3</v>
      </c>
      <c r="Q30" s="52">
        <f t="shared" ref="Q30" si="11">P30*N30</f>
        <v>1.6500000000000001</v>
      </c>
      <c r="R30" s="51"/>
      <c r="S30" s="59"/>
    </row>
    <row r="31" spans="1:19" s="77" customFormat="1" x14ac:dyDescent="0.25">
      <c r="A31" s="75"/>
      <c r="B31" s="46">
        <f>ROW(B31) - ROW($B$9)</f>
        <v>22</v>
      </c>
      <c r="C31" s="53" t="s">
        <v>16</v>
      </c>
      <c r="D31" s="37" t="s">
        <v>41</v>
      </c>
      <c r="E31" s="37" t="s">
        <v>78</v>
      </c>
      <c r="F31" s="37" t="s">
        <v>110</v>
      </c>
      <c r="G31" s="37" t="s">
        <v>134</v>
      </c>
      <c r="H31" s="37" t="s">
        <v>157</v>
      </c>
      <c r="I31" s="51" t="s">
        <v>249</v>
      </c>
      <c r="J31" s="37" t="s">
        <v>188</v>
      </c>
      <c r="K31" s="37" t="s">
        <v>219</v>
      </c>
      <c r="L31" s="37">
        <v>1</v>
      </c>
      <c r="M31" s="37">
        <f t="shared" si="1"/>
        <v>1000</v>
      </c>
      <c r="N31" s="37">
        <v>1050</v>
      </c>
      <c r="O31" s="61" t="s">
        <v>251</v>
      </c>
      <c r="P31" s="38">
        <v>4.7999999999999996E-3</v>
      </c>
      <c r="Q31" s="38">
        <f>P31*N31</f>
        <v>5.0399999999999991</v>
      </c>
      <c r="R31" s="37"/>
      <c r="S31" s="59"/>
    </row>
    <row r="32" spans="1:19" s="77" customFormat="1" x14ac:dyDescent="0.25">
      <c r="A32" s="75"/>
      <c r="B32" s="47">
        <f t="shared" si="0"/>
        <v>23</v>
      </c>
      <c r="C32" s="54" t="s">
        <v>16</v>
      </c>
      <c r="D32" s="51" t="s">
        <v>275</v>
      </c>
      <c r="E32" s="51" t="s">
        <v>79</v>
      </c>
      <c r="F32" s="51" t="s">
        <v>111</v>
      </c>
      <c r="G32" s="51" t="s">
        <v>135</v>
      </c>
      <c r="H32" s="51" t="s">
        <v>157</v>
      </c>
      <c r="I32" s="80" t="s">
        <v>249</v>
      </c>
      <c r="J32" s="51" t="s">
        <v>189</v>
      </c>
      <c r="K32" s="51" t="s">
        <v>220</v>
      </c>
      <c r="L32" s="51">
        <v>2</v>
      </c>
      <c r="M32" s="37">
        <f t="shared" si="1"/>
        <v>2000</v>
      </c>
      <c r="N32" s="51">
        <v>2100</v>
      </c>
      <c r="O32" s="61" t="s">
        <v>251</v>
      </c>
      <c r="P32" s="52">
        <v>5.0000000000000001E-4</v>
      </c>
      <c r="Q32" s="52">
        <f t="shared" ref="Q32" si="12">P32*N32</f>
        <v>1.05</v>
      </c>
      <c r="R32" s="51"/>
      <c r="S32" s="59"/>
    </row>
    <row r="33" spans="1:19" s="77" customFormat="1" x14ac:dyDescent="0.25">
      <c r="A33" s="75"/>
      <c r="B33" s="46">
        <f>ROW(B33) - ROW($B$9)</f>
        <v>24</v>
      </c>
      <c r="C33" s="53" t="s">
        <v>16</v>
      </c>
      <c r="D33" s="37" t="s">
        <v>42</v>
      </c>
      <c r="E33" s="37" t="s">
        <v>80</v>
      </c>
      <c r="F33" s="37" t="s">
        <v>112</v>
      </c>
      <c r="G33" s="37" t="s">
        <v>136</v>
      </c>
      <c r="H33" s="37" t="s">
        <v>157</v>
      </c>
      <c r="I33" s="37" t="s">
        <v>249</v>
      </c>
      <c r="J33" s="37" t="s">
        <v>190</v>
      </c>
      <c r="K33" s="37" t="s">
        <v>221</v>
      </c>
      <c r="L33" s="37">
        <v>1</v>
      </c>
      <c r="M33" s="37">
        <f t="shared" si="1"/>
        <v>1000</v>
      </c>
      <c r="N33" s="37">
        <v>1005</v>
      </c>
      <c r="O33" s="61" t="s">
        <v>251</v>
      </c>
      <c r="P33" s="38">
        <v>5.8799999999999998E-2</v>
      </c>
      <c r="Q33" s="38">
        <f>P33*N33</f>
        <v>59.094000000000001</v>
      </c>
      <c r="R33" s="37"/>
      <c r="S33" s="59"/>
    </row>
    <row r="34" spans="1:19" s="77" customFormat="1" x14ac:dyDescent="0.25">
      <c r="A34" s="75"/>
      <c r="B34" s="47">
        <f t="shared" si="0"/>
        <v>25</v>
      </c>
      <c r="C34" s="54" t="s">
        <v>16</v>
      </c>
      <c r="D34" s="51" t="s">
        <v>43</v>
      </c>
      <c r="E34" s="51" t="s">
        <v>81</v>
      </c>
      <c r="F34" s="51" t="s">
        <v>110</v>
      </c>
      <c r="G34" s="51" t="s">
        <v>137</v>
      </c>
      <c r="H34" s="51" t="s">
        <v>157</v>
      </c>
      <c r="I34" s="51" t="s">
        <v>249</v>
      </c>
      <c r="J34" s="51" t="s">
        <v>191</v>
      </c>
      <c r="K34" s="51" t="s">
        <v>222</v>
      </c>
      <c r="L34" s="51">
        <v>1</v>
      </c>
      <c r="M34" s="37">
        <f t="shared" si="1"/>
        <v>1000</v>
      </c>
      <c r="N34" s="51">
        <v>1100</v>
      </c>
      <c r="O34" s="61" t="s">
        <v>251</v>
      </c>
      <c r="P34" s="52">
        <v>5.0000000000000001E-4</v>
      </c>
      <c r="Q34" s="52">
        <f t="shared" ref="Q34" si="13">P34*N34</f>
        <v>0.55000000000000004</v>
      </c>
      <c r="R34" s="51"/>
      <c r="S34" s="59"/>
    </row>
    <row r="35" spans="1:19" s="77" customFormat="1" ht="24" x14ac:dyDescent="0.25">
      <c r="A35" s="75"/>
      <c r="B35" s="46">
        <f>ROW(B35) - ROW($B$9)</f>
        <v>26</v>
      </c>
      <c r="C35" s="53" t="s">
        <v>16</v>
      </c>
      <c r="D35" s="37" t="s">
        <v>44</v>
      </c>
      <c r="E35" s="37" t="s">
        <v>82</v>
      </c>
      <c r="F35" s="37" t="s">
        <v>110</v>
      </c>
      <c r="G35" s="37" t="s">
        <v>138</v>
      </c>
      <c r="H35" s="37" t="s">
        <v>166</v>
      </c>
      <c r="I35" s="37" t="s">
        <v>249</v>
      </c>
      <c r="J35" s="37" t="s">
        <v>192</v>
      </c>
      <c r="K35" s="37" t="s">
        <v>223</v>
      </c>
      <c r="L35" s="37">
        <v>1</v>
      </c>
      <c r="M35" s="37">
        <f t="shared" si="1"/>
        <v>1000</v>
      </c>
      <c r="N35" s="37">
        <v>1100</v>
      </c>
      <c r="O35" s="61" t="s">
        <v>251</v>
      </c>
      <c r="P35" s="38">
        <v>8.0000000000000004E-4</v>
      </c>
      <c r="Q35" s="38">
        <f>P35*N35</f>
        <v>0.88</v>
      </c>
      <c r="R35" s="37"/>
      <c r="S35" s="59"/>
    </row>
    <row r="36" spans="1:19" s="77" customFormat="1" x14ac:dyDescent="0.25">
      <c r="A36" s="75"/>
      <c r="B36" s="47">
        <f t="shared" si="0"/>
        <v>27</v>
      </c>
      <c r="C36" s="53" t="s">
        <v>16</v>
      </c>
      <c r="D36" s="51" t="s">
        <v>45</v>
      </c>
      <c r="E36" s="51" t="s">
        <v>83</v>
      </c>
      <c r="F36" s="51" t="s">
        <v>113</v>
      </c>
      <c r="G36" s="62" t="s">
        <v>139</v>
      </c>
      <c r="H36" s="51" t="s">
        <v>167</v>
      </c>
      <c r="I36" s="51" t="s">
        <v>258</v>
      </c>
      <c r="J36" s="51" t="s">
        <v>259</v>
      </c>
      <c r="K36" s="51" t="s">
        <v>224</v>
      </c>
      <c r="L36" s="51">
        <v>1</v>
      </c>
      <c r="M36" s="37">
        <f t="shared" si="1"/>
        <v>1000</v>
      </c>
      <c r="N36" s="51">
        <v>1100</v>
      </c>
      <c r="O36" s="61" t="s">
        <v>251</v>
      </c>
      <c r="P36" s="52">
        <v>1E-3</v>
      </c>
      <c r="Q36" s="52">
        <f t="shared" ref="Q36" si="14">P36*N36</f>
        <v>1.1000000000000001</v>
      </c>
      <c r="R36" s="51"/>
      <c r="S36" s="59"/>
    </row>
    <row r="37" spans="1:19" s="77" customFormat="1" x14ac:dyDescent="0.25">
      <c r="A37" s="75"/>
      <c r="B37" s="46">
        <f>ROW(B37) - ROW($B$9)</f>
        <v>28</v>
      </c>
      <c r="C37" s="53" t="s">
        <v>16</v>
      </c>
      <c r="D37" s="37" t="s">
        <v>46</v>
      </c>
      <c r="E37" s="37" t="s">
        <v>84</v>
      </c>
      <c r="F37" s="37" t="s">
        <v>110</v>
      </c>
      <c r="G37" s="37" t="s">
        <v>140</v>
      </c>
      <c r="H37" s="37" t="s">
        <v>157</v>
      </c>
      <c r="I37" s="37" t="s">
        <v>249</v>
      </c>
      <c r="J37" s="37" t="s">
        <v>193</v>
      </c>
      <c r="K37" s="37" t="s">
        <v>225</v>
      </c>
      <c r="L37" s="37">
        <v>1</v>
      </c>
      <c r="M37" s="37">
        <f t="shared" si="1"/>
        <v>1000</v>
      </c>
      <c r="N37" s="37">
        <v>1100</v>
      </c>
      <c r="O37" s="61" t="s">
        <v>251</v>
      </c>
      <c r="P37" s="38">
        <v>6.9999999999999999E-4</v>
      </c>
      <c r="Q37" s="38">
        <f>P37*N37</f>
        <v>0.77</v>
      </c>
      <c r="R37" s="37"/>
      <c r="S37" s="59"/>
    </row>
    <row r="38" spans="1:19" s="77" customFormat="1" x14ac:dyDescent="0.25">
      <c r="A38" s="75"/>
      <c r="B38" s="47">
        <f t="shared" si="0"/>
        <v>29</v>
      </c>
      <c r="C38" s="54" t="s">
        <v>16</v>
      </c>
      <c r="D38" s="51" t="s">
        <v>47</v>
      </c>
      <c r="E38" s="51" t="s">
        <v>85</v>
      </c>
      <c r="F38" s="51" t="s">
        <v>110</v>
      </c>
      <c r="G38" s="51" t="s">
        <v>141</v>
      </c>
      <c r="H38" s="51" t="s">
        <v>157</v>
      </c>
      <c r="I38" s="51" t="s">
        <v>249</v>
      </c>
      <c r="J38" s="51" t="s">
        <v>194</v>
      </c>
      <c r="K38" s="51" t="s">
        <v>226</v>
      </c>
      <c r="L38" s="51">
        <v>1</v>
      </c>
      <c r="M38" s="37">
        <f t="shared" si="1"/>
        <v>1000</v>
      </c>
      <c r="N38" s="51">
        <v>1050</v>
      </c>
      <c r="O38" s="61" t="s">
        <v>251</v>
      </c>
      <c r="P38" s="52">
        <v>4.7999999999999996E-3</v>
      </c>
      <c r="Q38" s="52">
        <f t="shared" ref="Q38" si="15">P38*N38</f>
        <v>5.0399999999999991</v>
      </c>
      <c r="R38" s="51"/>
      <c r="S38" s="59"/>
    </row>
    <row r="39" spans="1:19" s="77" customFormat="1" ht="24" x14ac:dyDescent="0.25">
      <c r="A39" s="75"/>
      <c r="B39" s="46">
        <f>ROW(B39) - ROW($B$9)</f>
        <v>30</v>
      </c>
      <c r="C39" s="53" t="s">
        <v>16</v>
      </c>
      <c r="D39" s="37" t="s">
        <v>269</v>
      </c>
      <c r="E39" s="37" t="s">
        <v>86</v>
      </c>
      <c r="F39" s="37" t="s">
        <v>110</v>
      </c>
      <c r="G39" s="37" t="s">
        <v>142</v>
      </c>
      <c r="H39" s="37" t="s">
        <v>157</v>
      </c>
      <c r="I39" s="37" t="s">
        <v>249</v>
      </c>
      <c r="J39" s="37" t="s">
        <v>195</v>
      </c>
      <c r="K39" s="37" t="s">
        <v>227</v>
      </c>
      <c r="L39" s="37">
        <v>13</v>
      </c>
      <c r="M39" s="37">
        <f t="shared" si="1"/>
        <v>13000</v>
      </c>
      <c r="N39" s="37">
        <v>13100</v>
      </c>
      <c r="O39" s="61" t="s">
        <v>251</v>
      </c>
      <c r="P39" s="38">
        <v>5.9999999999999995E-4</v>
      </c>
      <c r="Q39" s="38">
        <f>P39*N39</f>
        <v>7.8599999999999994</v>
      </c>
      <c r="R39" s="37"/>
      <c r="S39" s="59"/>
    </row>
    <row r="40" spans="1:19" s="77" customFormat="1" x14ac:dyDescent="0.25">
      <c r="A40" s="75"/>
      <c r="B40" s="47">
        <f>ROW(B40) - ROW($B$9)</f>
        <v>31</v>
      </c>
      <c r="C40" s="54" t="s">
        <v>16</v>
      </c>
      <c r="D40" s="51" t="s">
        <v>270</v>
      </c>
      <c r="E40" s="51" t="s">
        <v>89</v>
      </c>
      <c r="F40" s="51" t="s">
        <v>113</v>
      </c>
      <c r="G40" s="51" t="s">
        <v>145</v>
      </c>
      <c r="H40" s="51" t="s">
        <v>157</v>
      </c>
      <c r="I40" s="51" t="s">
        <v>249</v>
      </c>
      <c r="J40" s="51" t="s">
        <v>198</v>
      </c>
      <c r="K40" s="51" t="s">
        <v>230</v>
      </c>
      <c r="L40" s="51">
        <v>3</v>
      </c>
      <c r="M40" s="37">
        <f t="shared" si="1"/>
        <v>3000</v>
      </c>
      <c r="N40" s="51">
        <v>3100</v>
      </c>
      <c r="O40" s="61" t="s">
        <v>251</v>
      </c>
      <c r="P40" s="52">
        <v>1E-3</v>
      </c>
      <c r="Q40" s="52">
        <f t="shared" ref="Q40:Q41" si="16">P40*N40</f>
        <v>3.1</v>
      </c>
      <c r="R40" s="51"/>
      <c r="S40" s="59"/>
    </row>
    <row r="41" spans="1:19" s="77" customFormat="1" x14ac:dyDescent="0.25">
      <c r="A41" s="75"/>
      <c r="B41" s="47">
        <f t="shared" si="0"/>
        <v>32</v>
      </c>
      <c r="C41" s="54" t="s">
        <v>16</v>
      </c>
      <c r="D41" s="51" t="s">
        <v>48</v>
      </c>
      <c r="E41" s="51" t="s">
        <v>87</v>
      </c>
      <c r="F41" s="51" t="s">
        <v>113</v>
      </c>
      <c r="G41" s="51" t="s">
        <v>143</v>
      </c>
      <c r="H41" s="51" t="s">
        <v>157</v>
      </c>
      <c r="I41" s="51" t="s">
        <v>249</v>
      </c>
      <c r="J41" s="51" t="s">
        <v>196</v>
      </c>
      <c r="K41" s="51" t="s">
        <v>228</v>
      </c>
      <c r="L41" s="51">
        <v>1</v>
      </c>
      <c r="M41" s="37">
        <f t="shared" si="1"/>
        <v>1000</v>
      </c>
      <c r="N41" s="51">
        <v>1100</v>
      </c>
      <c r="O41" s="61" t="s">
        <v>251</v>
      </c>
      <c r="P41" s="52">
        <v>8.0000000000000004E-4</v>
      </c>
      <c r="Q41" s="52">
        <f t="shared" si="16"/>
        <v>0.88</v>
      </c>
      <c r="R41" s="51"/>
      <c r="S41" s="59"/>
    </row>
    <row r="42" spans="1:19" s="77" customFormat="1" x14ac:dyDescent="0.25">
      <c r="A42" s="75"/>
      <c r="B42" s="46">
        <f>ROW(B42) - ROW($B$9)</f>
        <v>33</v>
      </c>
      <c r="C42" s="53" t="s">
        <v>16</v>
      </c>
      <c r="D42" s="37" t="s">
        <v>49</v>
      </c>
      <c r="E42" s="37" t="s">
        <v>88</v>
      </c>
      <c r="F42" s="37" t="s">
        <v>113</v>
      </c>
      <c r="G42" s="37" t="s">
        <v>144</v>
      </c>
      <c r="H42" s="37" t="s">
        <v>157</v>
      </c>
      <c r="I42" s="37" t="s">
        <v>249</v>
      </c>
      <c r="J42" s="37" t="s">
        <v>197</v>
      </c>
      <c r="K42" s="37" t="s">
        <v>229</v>
      </c>
      <c r="L42" s="37">
        <v>2</v>
      </c>
      <c r="M42" s="37">
        <f t="shared" si="1"/>
        <v>2000</v>
      </c>
      <c r="N42" s="37">
        <v>2100</v>
      </c>
      <c r="O42" s="61" t="s">
        <v>251</v>
      </c>
      <c r="P42" s="38">
        <v>8.0000000000000004E-4</v>
      </c>
      <c r="Q42" s="38">
        <f>P42*N42</f>
        <v>1.6800000000000002</v>
      </c>
      <c r="R42" s="37"/>
      <c r="S42" s="59"/>
    </row>
    <row r="43" spans="1:19" s="77" customFormat="1" x14ac:dyDescent="0.25">
      <c r="A43" s="75"/>
      <c r="B43" s="46">
        <f>ROW(B43) - ROW($B$9)</f>
        <v>34</v>
      </c>
      <c r="C43" s="53" t="s">
        <v>16</v>
      </c>
      <c r="D43" s="37" t="s">
        <v>50</v>
      </c>
      <c r="E43" s="37" t="s">
        <v>90</v>
      </c>
      <c r="F43" s="37" t="s">
        <v>110</v>
      </c>
      <c r="G43" s="37" t="s">
        <v>146</v>
      </c>
      <c r="H43" s="37" t="s">
        <v>157</v>
      </c>
      <c r="I43" s="37" t="s">
        <v>249</v>
      </c>
      <c r="J43" s="37" t="s">
        <v>199</v>
      </c>
      <c r="K43" s="37" t="s">
        <v>231</v>
      </c>
      <c r="L43" s="37">
        <v>4</v>
      </c>
      <c r="M43" s="37">
        <f t="shared" si="1"/>
        <v>4000</v>
      </c>
      <c r="N43" s="37">
        <v>4100</v>
      </c>
      <c r="O43" s="61" t="s">
        <v>251</v>
      </c>
      <c r="P43" s="38">
        <v>6.9999999999999999E-4</v>
      </c>
      <c r="Q43" s="38">
        <f>P43*N43</f>
        <v>2.87</v>
      </c>
      <c r="R43" s="37"/>
      <c r="S43" s="59"/>
    </row>
    <row r="44" spans="1:19" s="77" customFormat="1" x14ac:dyDescent="0.25">
      <c r="A44" s="75"/>
      <c r="B44" s="47">
        <f t="shared" si="0"/>
        <v>35</v>
      </c>
      <c r="C44" s="54" t="s">
        <v>16</v>
      </c>
      <c r="D44" s="51" t="s">
        <v>51</v>
      </c>
      <c r="E44" s="51" t="s">
        <v>91</v>
      </c>
      <c r="F44" s="51" t="s">
        <v>113</v>
      </c>
      <c r="G44" s="51" t="s">
        <v>147</v>
      </c>
      <c r="H44" s="51" t="s">
        <v>157</v>
      </c>
      <c r="I44" s="51" t="s">
        <v>249</v>
      </c>
      <c r="J44" s="51" t="s">
        <v>200</v>
      </c>
      <c r="K44" s="51" t="s">
        <v>232</v>
      </c>
      <c r="L44" s="51">
        <v>1</v>
      </c>
      <c r="M44" s="37">
        <f t="shared" si="1"/>
        <v>1000</v>
      </c>
      <c r="N44" s="51">
        <v>1100</v>
      </c>
      <c r="O44" s="61" t="s">
        <v>251</v>
      </c>
      <c r="P44" s="52">
        <v>2.3999999999999998E-3</v>
      </c>
      <c r="Q44" s="52">
        <f t="shared" ref="Q44" si="17">P44*N44</f>
        <v>2.6399999999999997</v>
      </c>
      <c r="R44" s="51"/>
      <c r="S44" s="59"/>
    </row>
    <row r="45" spans="1:19" s="77" customFormat="1" x14ac:dyDescent="0.25">
      <c r="A45" s="75"/>
      <c r="B45" s="46">
        <f>ROW(B45) - ROW($B$9)</f>
        <v>36</v>
      </c>
      <c r="C45" s="53" t="s">
        <v>16</v>
      </c>
      <c r="D45" s="37" t="s">
        <v>52</v>
      </c>
      <c r="E45" s="37" t="s">
        <v>92</v>
      </c>
      <c r="F45" s="37" t="s">
        <v>113</v>
      </c>
      <c r="G45" s="37" t="s">
        <v>148</v>
      </c>
      <c r="H45" s="37" t="s">
        <v>157</v>
      </c>
      <c r="I45" s="37" t="s">
        <v>249</v>
      </c>
      <c r="J45" s="37" t="s">
        <v>201</v>
      </c>
      <c r="K45" s="37" t="s">
        <v>233</v>
      </c>
      <c r="L45" s="37">
        <v>4</v>
      </c>
      <c r="M45" s="37">
        <f t="shared" si="1"/>
        <v>4000</v>
      </c>
      <c r="N45" s="37">
        <v>4100</v>
      </c>
      <c r="O45" s="61" t="s">
        <v>251</v>
      </c>
      <c r="P45" s="38">
        <v>1E-3</v>
      </c>
      <c r="Q45" s="38">
        <f>P45*N45</f>
        <v>4.0999999999999996</v>
      </c>
      <c r="R45" s="37"/>
      <c r="S45" s="59"/>
    </row>
    <row r="46" spans="1:19" s="77" customFormat="1" x14ac:dyDescent="0.25">
      <c r="A46" s="75"/>
      <c r="B46" s="47">
        <f t="shared" si="0"/>
        <v>37</v>
      </c>
      <c r="C46" s="53" t="s">
        <v>16</v>
      </c>
      <c r="D46" s="51" t="s">
        <v>53</v>
      </c>
      <c r="E46" s="51" t="s">
        <v>93</v>
      </c>
      <c r="F46" s="51" t="s">
        <v>113</v>
      </c>
      <c r="G46" s="51" t="s">
        <v>149</v>
      </c>
      <c r="H46" s="51" t="s">
        <v>157</v>
      </c>
      <c r="I46" s="51" t="s">
        <v>249</v>
      </c>
      <c r="J46" s="51" t="s">
        <v>202</v>
      </c>
      <c r="K46" s="51" t="s">
        <v>234</v>
      </c>
      <c r="L46" s="51">
        <v>1</v>
      </c>
      <c r="M46" s="37">
        <f t="shared" si="1"/>
        <v>1000</v>
      </c>
      <c r="N46" s="51">
        <v>1100</v>
      </c>
      <c r="O46" s="61" t="s">
        <v>251</v>
      </c>
      <c r="P46" s="52">
        <v>1E-3</v>
      </c>
      <c r="Q46" s="52">
        <f t="shared" ref="Q46" si="18">P46*N46</f>
        <v>1.1000000000000001</v>
      </c>
      <c r="R46" s="51"/>
      <c r="S46" s="59"/>
    </row>
    <row r="47" spans="1:19" s="77" customFormat="1" x14ac:dyDescent="0.25">
      <c r="A47" s="75"/>
      <c r="B47" s="46">
        <f>ROW(B47) - ROW($B$9)</f>
        <v>38</v>
      </c>
      <c r="C47" s="53" t="s">
        <v>16</v>
      </c>
      <c r="D47" s="37" t="s">
        <v>54</v>
      </c>
      <c r="E47" s="37" t="s">
        <v>94</v>
      </c>
      <c r="F47" s="37" t="s">
        <v>113</v>
      </c>
      <c r="G47" s="37" t="s">
        <v>150</v>
      </c>
      <c r="H47" s="37" t="s">
        <v>157</v>
      </c>
      <c r="I47" s="37" t="s">
        <v>249</v>
      </c>
      <c r="J47" s="37" t="s">
        <v>203</v>
      </c>
      <c r="K47" s="37" t="s">
        <v>235</v>
      </c>
      <c r="L47" s="37">
        <v>1</v>
      </c>
      <c r="M47" s="37">
        <f t="shared" si="1"/>
        <v>1000</v>
      </c>
      <c r="N47" s="37">
        <v>1100</v>
      </c>
      <c r="O47" s="61" t="s">
        <v>251</v>
      </c>
      <c r="P47" s="38">
        <v>1E-3</v>
      </c>
      <c r="Q47" s="38">
        <f>P47*N47</f>
        <v>1.1000000000000001</v>
      </c>
      <c r="R47" s="37"/>
      <c r="S47" s="59"/>
    </row>
    <row r="48" spans="1:19" s="77" customFormat="1" x14ac:dyDescent="0.25">
      <c r="A48" s="75"/>
      <c r="B48" s="47">
        <f t="shared" si="0"/>
        <v>39</v>
      </c>
      <c r="C48" s="54" t="s">
        <v>17</v>
      </c>
      <c r="D48" s="51" t="s">
        <v>55</v>
      </c>
      <c r="E48" s="51" t="s">
        <v>265</v>
      </c>
      <c r="F48" s="51" t="s">
        <v>266</v>
      </c>
      <c r="G48" s="51" t="s">
        <v>267</v>
      </c>
      <c r="H48" s="51" t="s">
        <v>168</v>
      </c>
      <c r="I48" s="51" t="s">
        <v>249</v>
      </c>
      <c r="J48" s="51" t="s">
        <v>268</v>
      </c>
      <c r="K48" s="51" t="s">
        <v>249</v>
      </c>
      <c r="L48" s="51">
        <v>1</v>
      </c>
      <c r="M48" s="37">
        <f t="shared" si="1"/>
        <v>1000</v>
      </c>
      <c r="N48" s="51">
        <v>1002</v>
      </c>
      <c r="O48" s="61" t="s">
        <v>251</v>
      </c>
      <c r="P48" s="52">
        <v>1.3125</v>
      </c>
      <c r="Q48" s="52">
        <f t="shared" ref="Q48" si="19">P48*N48</f>
        <v>1315.125</v>
      </c>
      <c r="R48" s="51"/>
      <c r="S48" s="59"/>
    </row>
    <row r="49" spans="1:19" s="77" customFormat="1" ht="24" x14ac:dyDescent="0.25">
      <c r="A49" s="75"/>
      <c r="B49" s="46">
        <f>ROW(B49) - ROW($B$9)</f>
        <v>40</v>
      </c>
      <c r="C49" s="53" t="s">
        <v>17</v>
      </c>
      <c r="D49" s="37" t="s">
        <v>56</v>
      </c>
      <c r="E49" s="37" t="s">
        <v>95</v>
      </c>
      <c r="F49" s="37" t="s">
        <v>114</v>
      </c>
      <c r="G49" s="37" t="s">
        <v>151</v>
      </c>
      <c r="H49" s="37" t="s">
        <v>169</v>
      </c>
      <c r="I49" s="37" t="s">
        <v>249</v>
      </c>
      <c r="J49" s="37" t="s">
        <v>204</v>
      </c>
      <c r="K49" s="37" t="s">
        <v>249</v>
      </c>
      <c r="L49" s="37">
        <v>1</v>
      </c>
      <c r="M49" s="37">
        <f t="shared" si="1"/>
        <v>1000</v>
      </c>
      <c r="N49" s="37">
        <v>1002</v>
      </c>
      <c r="O49" s="61" t="s">
        <v>251</v>
      </c>
      <c r="P49" s="38">
        <v>0.40260000000000001</v>
      </c>
      <c r="Q49" s="38">
        <f>P49*N49</f>
        <v>403.40520000000004</v>
      </c>
      <c r="R49" s="37"/>
      <c r="S49" s="59"/>
    </row>
    <row r="50" spans="1:19" s="77" customFormat="1" x14ac:dyDescent="0.25">
      <c r="A50" s="75"/>
      <c r="B50" s="47">
        <f t="shared" si="0"/>
        <v>41</v>
      </c>
      <c r="C50" s="54" t="s">
        <v>17</v>
      </c>
      <c r="D50" s="51" t="s">
        <v>57</v>
      </c>
      <c r="E50" s="51" t="s">
        <v>96</v>
      </c>
      <c r="F50" s="51" t="s">
        <v>115</v>
      </c>
      <c r="G50" s="51" t="s">
        <v>152</v>
      </c>
      <c r="H50" s="51" t="s">
        <v>170</v>
      </c>
      <c r="I50" s="51" t="s">
        <v>249</v>
      </c>
      <c r="J50" s="51" t="s">
        <v>205</v>
      </c>
      <c r="K50" s="51" t="s">
        <v>249</v>
      </c>
      <c r="L50" s="51">
        <v>1</v>
      </c>
      <c r="M50" s="37">
        <f t="shared" si="1"/>
        <v>1000</v>
      </c>
      <c r="N50" s="51">
        <v>1002</v>
      </c>
      <c r="O50" s="61" t="s">
        <v>251</v>
      </c>
      <c r="P50" s="52">
        <v>1.9155</v>
      </c>
      <c r="Q50" s="52">
        <f t="shared" ref="Q50:Q52" si="20">P50*N50</f>
        <v>1919.3309999999999</v>
      </c>
      <c r="R50" s="51"/>
      <c r="S50" s="59"/>
    </row>
    <row r="51" spans="1:19" s="77" customFormat="1" ht="15.75" thickBot="1" x14ac:dyDescent="0.3">
      <c r="A51" s="75"/>
      <c r="B51" s="47">
        <f t="shared" si="0"/>
        <v>42</v>
      </c>
      <c r="C51" s="54" t="s">
        <v>19</v>
      </c>
      <c r="D51" s="51" t="s">
        <v>58</v>
      </c>
      <c r="E51" s="51" t="s">
        <v>97</v>
      </c>
      <c r="F51" s="51" t="s">
        <v>252</v>
      </c>
      <c r="G51" s="51" t="s">
        <v>116</v>
      </c>
      <c r="H51" s="51" t="s">
        <v>172</v>
      </c>
      <c r="I51" s="51" t="s">
        <v>249</v>
      </c>
      <c r="J51" s="51" t="s">
        <v>206</v>
      </c>
      <c r="K51" s="51" t="s">
        <v>263</v>
      </c>
      <c r="L51" s="51">
        <v>1</v>
      </c>
      <c r="M51" s="37">
        <f t="shared" si="1"/>
        <v>1000</v>
      </c>
      <c r="N51" s="51">
        <v>1002</v>
      </c>
      <c r="O51" s="61" t="s">
        <v>251</v>
      </c>
      <c r="P51" s="52">
        <v>0.1381</v>
      </c>
      <c r="Q51" s="52">
        <f t="shared" si="20"/>
        <v>138.37620000000001</v>
      </c>
      <c r="R51" s="51"/>
      <c r="S51" s="39"/>
    </row>
    <row r="52" spans="1:19" s="77" customFormat="1" ht="15.75" thickBot="1" x14ac:dyDescent="0.3">
      <c r="A52" s="75"/>
      <c r="B52" s="47">
        <f t="shared" si="0"/>
        <v>43</v>
      </c>
      <c r="C52" s="54" t="s">
        <v>276</v>
      </c>
      <c r="D52" s="51" t="s">
        <v>249</v>
      </c>
      <c r="E52" s="51" t="s">
        <v>249</v>
      </c>
      <c r="F52" s="51" t="s">
        <v>249</v>
      </c>
      <c r="G52" s="51" t="s">
        <v>277</v>
      </c>
      <c r="H52" s="51" t="s">
        <v>278</v>
      </c>
      <c r="I52" s="51" t="s">
        <v>249</v>
      </c>
      <c r="J52" s="51" t="s">
        <v>279</v>
      </c>
      <c r="K52" s="51" t="s">
        <v>249</v>
      </c>
      <c r="L52" s="51">
        <v>1</v>
      </c>
      <c r="M52" s="37">
        <f t="shared" si="1"/>
        <v>1000</v>
      </c>
      <c r="N52" s="51">
        <v>1000</v>
      </c>
      <c r="O52" s="61" t="s">
        <v>251</v>
      </c>
      <c r="P52" s="52">
        <v>1.2712000000000001</v>
      </c>
      <c r="Q52" s="52">
        <f t="shared" si="20"/>
        <v>1271.2</v>
      </c>
      <c r="R52" s="51"/>
      <c r="S52" s="39"/>
    </row>
    <row r="53" spans="1:19" ht="19.5" thickBot="1" x14ac:dyDescent="0.3">
      <c r="A53" s="1"/>
      <c r="B53" s="40"/>
      <c r="C53" s="41"/>
      <c r="D53" s="42"/>
      <c r="E53" s="43"/>
      <c r="F53" s="44"/>
      <c r="G53" s="45"/>
      <c r="H53" s="44"/>
      <c r="I53" s="45"/>
      <c r="J53" s="44"/>
      <c r="K53" s="45"/>
      <c r="L53" s="45"/>
      <c r="M53" s="45"/>
      <c r="N53" s="73" t="s">
        <v>5</v>
      </c>
      <c r="O53" s="74"/>
      <c r="P53" s="74"/>
      <c r="Q53" s="48">
        <f>SUM(Q10:Q52)</f>
        <v>9944.2944000000043</v>
      </c>
      <c r="R53" s="69"/>
      <c r="S53" s="70"/>
    </row>
    <row r="54" spans="1:19" ht="19.5" thickBot="1" x14ac:dyDescent="0.3">
      <c r="A54" s="1"/>
      <c r="B54" s="25"/>
      <c r="C54" s="36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73" t="s">
        <v>6</v>
      </c>
      <c r="O54" s="74"/>
      <c r="P54" s="74"/>
      <c r="Q54" s="49">
        <f>Q53/1000</f>
        <v>9.944294400000004</v>
      </c>
      <c r="R54" s="71"/>
      <c r="S54" s="72"/>
    </row>
  </sheetData>
  <mergeCells count="5">
    <mergeCell ref="K1:S1"/>
    <mergeCell ref="S3:S8"/>
    <mergeCell ref="N53:P53"/>
    <mergeCell ref="R53:S54"/>
    <mergeCell ref="N54:P54"/>
  </mergeCells>
  <hyperlinks>
    <hyperlink ref="O10" r:id="rId1"/>
    <hyperlink ref="O11" r:id="rId2"/>
    <hyperlink ref="O13" r:id="rId3"/>
    <hyperlink ref="O14" r:id="rId4"/>
    <hyperlink ref="O16" r:id="rId5"/>
    <hyperlink ref="O17" r:id="rId6"/>
    <hyperlink ref="O18" r:id="rId7"/>
    <hyperlink ref="O19" r:id="rId8"/>
    <hyperlink ref="O20" r:id="rId9"/>
    <hyperlink ref="O21" r:id="rId10"/>
    <hyperlink ref="O24" r:id="rId11"/>
    <hyperlink ref="O27" r:id="rId12"/>
    <hyperlink ref="O28" r:id="rId13"/>
    <hyperlink ref="O29" r:id="rId14"/>
    <hyperlink ref="O30" r:id="rId15"/>
    <hyperlink ref="O31" r:id="rId16"/>
    <hyperlink ref="O32" r:id="rId17"/>
    <hyperlink ref="O33" r:id="rId18"/>
    <hyperlink ref="O34" r:id="rId19"/>
    <hyperlink ref="O35" r:id="rId20"/>
    <hyperlink ref="O37" r:id="rId21"/>
    <hyperlink ref="O38" r:id="rId22"/>
    <hyperlink ref="O39" r:id="rId23"/>
    <hyperlink ref="O41" r:id="rId24"/>
    <hyperlink ref="O42" r:id="rId25"/>
    <hyperlink ref="O40" r:id="rId26"/>
    <hyperlink ref="O43" r:id="rId27"/>
    <hyperlink ref="O44" r:id="rId28"/>
    <hyperlink ref="O45" r:id="rId29"/>
    <hyperlink ref="O46" r:id="rId30"/>
    <hyperlink ref="O47" r:id="rId31"/>
    <hyperlink ref="O49" r:id="rId32"/>
    <hyperlink ref="O50" r:id="rId33"/>
    <hyperlink ref="O51" r:id="rId34"/>
    <hyperlink ref="O12" r:id="rId35"/>
    <hyperlink ref="O15" r:id="rId36"/>
    <hyperlink ref="O36" r:id="rId37"/>
    <hyperlink ref="O26" r:id="rId38"/>
    <hyperlink ref="O48" r:id="rId39"/>
    <hyperlink ref="O23" r:id="rId40"/>
    <hyperlink ref="O52" r:id="rId41"/>
    <hyperlink ref="O22" r:id="rId42"/>
  </hyperlinks>
  <pageMargins left="0.7" right="0.7" top="0.75" bottom="0.75" header="0.3" footer="0.3"/>
  <drawing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 Boards</vt:lpstr>
      <vt:lpstr> 20 Boards</vt:lpstr>
      <vt:lpstr>50 Boards</vt:lpstr>
      <vt:lpstr>100 Boards</vt:lpstr>
      <vt:lpstr>500 Boards</vt:lpstr>
      <vt:lpstr>1000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2023-08-08T14:35:26Z</dcterms:modified>
</cp:coreProperties>
</file>