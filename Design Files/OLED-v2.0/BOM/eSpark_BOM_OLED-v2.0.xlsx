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OLED-v2.0\BOM\"/>
    </mc:Choice>
  </mc:AlternateContent>
  <bookViews>
    <workbookView xWindow="0" yWindow="0" windowWidth="28800" windowHeight="1230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26" i="1" l="1"/>
  <c r="Q27" i="1"/>
  <c r="M26" i="1"/>
  <c r="B26" i="1"/>
  <c r="Q25" i="1" l="1"/>
  <c r="M25" i="1"/>
  <c r="B25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M15" i="1"/>
  <c r="B15" i="1"/>
  <c r="Q14" i="1"/>
  <c r="M14" i="1"/>
  <c r="B14" i="1"/>
  <c r="Q13" i="1"/>
  <c r="M13" i="1"/>
  <c r="B13" i="1"/>
  <c r="Q12" i="1"/>
  <c r="M12" i="1"/>
  <c r="B12" i="1"/>
  <c r="Q28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<sst xmlns="http://schemas.openxmlformats.org/spreadsheetml/2006/main" count="205" uniqueCount="132">
  <si>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</si>
  <si>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</si>
  <si>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</si>
  <si>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</si>
  <si>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</si>
  <si>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</si>
  <si>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</si>
  <si>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</si>
  <si>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</si>
  <si>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</si>
  <si>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</si>
  <si>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Pogo Connector</t>
  </si>
  <si>
    <t>RGB LED</t>
  </si>
  <si>
    <t>OLED</t>
  </si>
  <si>
    <t>Mosfet</t>
  </si>
  <si>
    <t>Resistor</t>
  </si>
  <si>
    <t>Solder Bridge</t>
  </si>
  <si>
    <t>Designator</t>
  </si>
  <si>
    <t>C1, C2, C3, C9</t>
  </si>
  <si>
    <t>C4, C5, C6, C7</t>
  </si>
  <si>
    <t>C8</t>
  </si>
  <si>
    <t>C11</t>
  </si>
  <si>
    <t>D1</t>
  </si>
  <si>
    <t>J1</t>
  </si>
  <si>
    <t>J2</t>
  </si>
  <si>
    <t>LED1</t>
  </si>
  <si>
    <t>OLED1</t>
  </si>
  <si>
    <t>Q1</t>
  </si>
  <si>
    <t>R1, R2, R3, R7</t>
  </si>
  <si>
    <t>R4</t>
  </si>
  <si>
    <t>R5</t>
  </si>
  <si>
    <t>R6</t>
  </si>
  <si>
    <t>SB1</t>
  </si>
  <si>
    <t>SW1, SW2, SW3</t>
  </si>
  <si>
    <t>Description</t>
  </si>
  <si>
    <t>CAP CER 1UF 10V X5R 0402</t>
  </si>
  <si>
    <t>CAP CER 0.1UF 50V X5R 0402</t>
  </si>
  <si>
    <t>CAP CER 4.7UF 10V X5R 0402</t>
  </si>
  <si>
    <t>CAP CER 2.2UF 25V X5R 0402</t>
  </si>
  <si>
    <t>80V Single 1.2V@100mA 4ns 100mA SOD-523 Switching Diode ROHS</t>
  </si>
  <si>
    <t>Pogo Pad 2.5mm 4 Pin</t>
  </si>
  <si>
    <t>SMD,3.5x3.5mm Light Emitting Diodes (LED) RoHS</t>
  </si>
  <si>
    <t>SSD1306 0.96 - OLED Displays Modules ROHS</t>
  </si>
  <si>
    <t>50V 220mA 3.5Ω@10V,220mA 225mW 1.6V@1mA N Channel SOT-23 MOSFETs ROHS</t>
  </si>
  <si>
    <t>RES SMD 10K OHM 0.1% 1/10W 0603</t>
  </si>
  <si>
    <t>RES SMD 4.7K OHM 5% 1/10W 0402</t>
  </si>
  <si>
    <t>RES 0 OHM JUMPER 1/16W 0402</t>
  </si>
  <si>
    <t>±1% 412kΩ 0402 Chip Resistor - Surface Mount ROHS</t>
  </si>
  <si>
    <t>Solder Bridge ON</t>
  </si>
  <si>
    <t>3mm 2mm Round Button 50mA Top3.65mm SPST 12V SMD Tactile Switches</t>
  </si>
  <si>
    <t>Footprint</t>
  </si>
  <si>
    <t>Cap-0402</t>
  </si>
  <si>
    <t>SOD-523</t>
  </si>
  <si>
    <t>Pogo 4 Pin</t>
  </si>
  <si>
    <t>WS2812B-Mini</t>
  </si>
  <si>
    <t>N096-2864KSWEG01-H30</t>
  </si>
  <si>
    <t>Sot-23</t>
  </si>
  <si>
    <t>Res-0603</t>
  </si>
  <si>
    <t>Res-0402</t>
  </si>
  <si>
    <t>Manufacturer Part Number</t>
  </si>
  <si>
    <t>CC0402KRX5R6BB105</t>
  </si>
  <si>
    <t>C1005X5R1H104K050BB</t>
  </si>
  <si>
    <t>CC0402KRX5R6BB475</t>
  </si>
  <si>
    <t>GRM155R61E225KE11D</t>
  </si>
  <si>
    <t>1SS355WT</t>
  </si>
  <si>
    <t>POGO Connector 4 Pin</t>
  </si>
  <si>
    <t>BSS138</t>
  </si>
  <si>
    <t>RT0603BRD0710KL</t>
  </si>
  <si>
    <t>ERJ-2GEJ472X</t>
  </si>
  <si>
    <t>RC0402FR-070RL</t>
  </si>
  <si>
    <t>FRC0402F4123TS</t>
  </si>
  <si>
    <t>TS-1185EC-C-D-B</t>
  </si>
  <si>
    <t>Manufacturer</t>
  </si>
  <si>
    <t>Yageo</t>
  </si>
  <si>
    <t>TDK</t>
  </si>
  <si>
    <t>Murata</t>
  </si>
  <si>
    <t>CBI</t>
  </si>
  <si>
    <t>Worldsemi</t>
  </si>
  <si>
    <t>Newvisio</t>
  </si>
  <si>
    <t>Slkor(SLKORMICRO Elec.)</t>
  </si>
  <si>
    <t>Panasonic</t>
  </si>
  <si>
    <t>FOJAN</t>
  </si>
  <si>
    <t>XKB</t>
  </si>
  <si>
    <t>LCSC Part Number</t>
  </si>
  <si>
    <t>C106254</t>
  </si>
  <si>
    <t>C2181865</t>
  </si>
  <si>
    <t>C326586</t>
  </si>
  <si>
    <t>C385032</t>
  </si>
  <si>
    <t>C527089</t>
  </si>
  <si>
    <t>C2890596</t>
  </si>
  <si>
    <t>C426569</t>
  </si>
  <si>
    <t>C95204</t>
  </si>
  <si>
    <t>C106231</t>
  </si>
  <si>
    <t>C5126037</t>
  </si>
  <si>
    <t>C318893</t>
  </si>
  <si>
    <t>1uF</t>
  </si>
  <si>
    <t>0.1uF</t>
  </si>
  <si>
    <t>4.7uF</t>
  </si>
  <si>
    <t>2.2uf</t>
  </si>
  <si>
    <t>10K</t>
  </si>
  <si>
    <t>4.7K</t>
  </si>
  <si>
    <t>0R</t>
  </si>
  <si>
    <t>412K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</si>
  <si>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</si>
  <si>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</si>
  <si>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</si>
  <si>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</si>
  <si>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</si>
  <si>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</si>
  <si>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</si>
  <si>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</si>
  <si>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</si>
  <si>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</si>
  <si>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Switch</t>
  </si>
  <si>
    <t>-</t>
  </si>
  <si>
    <t>Bill of Materials for Project [OLED-v2.0.]</t>
  </si>
  <si>
    <t>OLED-v2.0.</t>
  </si>
  <si>
    <t>LCSC</t>
  </si>
  <si>
    <t>C2836063</t>
  </si>
  <si>
    <t>Custom</t>
  </si>
  <si>
    <t>0402WGF4701TCE</t>
  </si>
  <si>
    <t>C25900</t>
  </si>
  <si>
    <t>FPC Connector</t>
  </si>
  <si>
    <t>Clamshell -25℃~+85℃ 18P Bottom Contact Surface Mount 0.5mm SMD,P=0.5mm FFC/FPC Connectors ROHS</t>
  </si>
  <si>
    <t>F0502-B-18-15T-R</t>
  </si>
  <si>
    <t>XFCN</t>
  </si>
  <si>
    <t>C2889974</t>
  </si>
  <si>
    <t>Peripheral</t>
  </si>
  <si>
    <t>0.3mm~0.3mm 18 0.5mm Same Side 5cm P=0.5mm FFC/FPC Connect Cables ROHS</t>
  </si>
  <si>
    <t>JS05A-18P-050-4-8</t>
  </si>
  <si>
    <t xml:space="preserve">JUSHUO </t>
  </si>
  <si>
    <t>C2857498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</si>
</sst>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165" fontId="22" fillId="2" borderId="1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OSFETs_Slkor-SLKORMICRO-Elec-BSS138_C426569.html" TargetMode="External"/><Relationship Id="rId13" Type="http://schemas.openxmlformats.org/officeDocument/2006/relationships/hyperlink" Target="https://www.lcsc.com/product-detail/Tactile-Switches_XKB-Connectivity-TS-1185EC-C-D-B_C318893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7" Type="http://schemas.openxmlformats.org/officeDocument/2006/relationships/hyperlink" Target="https://www.lcsc.com/product-detail/OLED-Displays-Modules_Newvisio-N096-2864KSWEG01-H30_C2890596.html" TargetMode="External"/><Relationship Id="rId12" Type="http://schemas.openxmlformats.org/officeDocument/2006/relationships/hyperlink" Target="https://www.lcsc.com/product-detail/Chip-Resistor-Surface-Mount_FOJAN-FRC0402F4123TS_C5126037.html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TDK-C1005X5R1H104K050BB_C2181865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Light-Emitting-Diodes-LED_Worldsemi-WS2812B-Mini_C527089.html" TargetMode="External"/><Relationship Id="rId11" Type="http://schemas.openxmlformats.org/officeDocument/2006/relationships/hyperlink" Target="https://www.lcsc.com/product-detail/Chip-Resistor-Surface-Mount_YAGEO-RC0402FR-070RL_C106231.html" TargetMode="External"/><Relationship Id="rId5" Type="http://schemas.openxmlformats.org/officeDocument/2006/relationships/hyperlink" Target="https://www.lcsc.com/product-detail/Switching-Diode_CBI-1SS355WT_C2836063.html" TargetMode="External"/><Relationship Id="rId15" Type="http://schemas.openxmlformats.org/officeDocument/2006/relationships/hyperlink" Target="https://www.lcsc.com/product-detail/FFC-FPC-Connect-Cables_JUSHUO-JS05A-18P-050-4-8_C2857498.html" TargetMode="External"/><Relationship Id="rId10" Type="http://schemas.openxmlformats.org/officeDocument/2006/relationships/hyperlink" Target="https://www.lcsc.com/product-detail/Chip-Resistor-Surface-Mount_UNI-ROYAL-Uniroyal-Elec-0402WGF4701TCE_C25900.html" TargetMode="External"/><Relationship Id="rId4" Type="http://schemas.openxmlformats.org/officeDocument/2006/relationships/hyperlink" Target="https://www.lcsc.com/product-detail/Multilayer-Ceramic-Capacitors-MLCC-SMD-SMT_Murata-Electronics-GRM155R61E225KE11D_C385032.html" TargetMode="External"/><Relationship Id="rId9" Type="http://schemas.openxmlformats.org/officeDocument/2006/relationships/hyperlink" Target="https://www.lcsc.com/product-detail/Chip-Resistor-Surface-Mount_YAGEO-RT0603BRD0710KL_C95204.html" TargetMode="External"/><Relationship Id="rId14" Type="http://schemas.openxmlformats.org/officeDocument/2006/relationships/hyperlink" Target="https://www.lcsc.com/product-detail/FFC-FPC-Connectors_XFCN-F0502-B-18-15T-R_C28899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8"/>
  <sheetViews>
    <sheetView tabSelected="1" workbookViewId="0">
      <selection activeCell="H16" sqref="H1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6"/>
      <c r="L1" s="66"/>
      <c r="M1" s="66"/>
      <c r="N1" s="66"/>
      <c r="O1" s="66"/>
      <c r="P1" s="66"/>
      <c r="Q1" s="66"/>
      <c r="R1" s="66"/>
      <c r="S1" s="67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115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116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8"/>
    </row>
    <row r="4" spans="1:19" x14ac:dyDescent="0.25">
      <c r="A4" s="1"/>
      <c r="B4" s="22"/>
      <c r="C4" s="32"/>
      <c r="D4" s="13" t="s">
        <v>2</v>
      </c>
      <c r="E4" s="13"/>
      <c r="F4" s="57" t="s">
        <v>116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9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9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34</v>
      </c>
      <c r="F9" s="30" t="s">
        <v>50</v>
      </c>
      <c r="G9" s="30" t="s">
        <v>59</v>
      </c>
      <c r="H9" s="30" t="s">
        <v>72</v>
      </c>
      <c r="I9" s="30" t="s">
        <v>104</v>
      </c>
      <c r="J9" s="30" t="s">
        <v>83</v>
      </c>
      <c r="K9" s="60" t="s">
        <v>105</v>
      </c>
      <c r="L9" s="30" t="s">
        <v>103</v>
      </c>
      <c r="M9" s="30" t="s">
        <v>106</v>
      </c>
      <c r="N9" s="30" t="s">
        <v>107</v>
      </c>
      <c r="O9" s="30" t="s">
        <v>108</v>
      </c>
      <c r="P9" s="30" t="s">
        <v>109</v>
      </c>
      <c r="Q9" s="30" t="s">
        <v>110</v>
      </c>
      <c r="R9" s="30" t="s">
        <v>111</v>
      </c>
      <c r="S9" s="30" t="s">
        <v>112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18</v>
      </c>
      <c r="E10" s="37" t="s">
        <v>35</v>
      </c>
      <c r="F10" s="37" t="s">
        <v>51</v>
      </c>
      <c r="G10" s="37" t="s">
        <v>60</v>
      </c>
      <c r="H10" s="37" t="s">
        <v>73</v>
      </c>
      <c r="I10" s="37" t="s">
        <v>114</v>
      </c>
      <c r="J10" s="37" t="s">
        <v>84</v>
      </c>
      <c r="K10" s="37" t="s">
        <v>95</v>
      </c>
      <c r="L10" s="37">
        <v>4</v>
      </c>
      <c r="M10" s="37">
        <f>L10*5</f>
        <v>20</v>
      </c>
      <c r="N10" s="37">
        <v>100</v>
      </c>
      <c r="O10" s="63" t="s">
        <v>117</v>
      </c>
      <c r="P10" s="38">
        <v>2.3999999999999998E-3</v>
      </c>
      <c r="Q10" s="38">
        <f>P10*N10</f>
        <v>0.24</v>
      </c>
      <c r="R10" s="37"/>
      <c r="S10" s="50"/>
    </row>
    <row r="11" spans="1:19" x14ac:dyDescent="0.25">
      <c r="A11" s="1"/>
      <c r="B11" s="47">
        <f t="shared" ref="B11:B26" si="0">ROW(B11) - ROW($B$9)</f>
        <v>2</v>
      </c>
      <c r="C11" s="54" t="s">
        <v>9</v>
      </c>
      <c r="D11" s="51" t="s">
        <v>19</v>
      </c>
      <c r="E11" s="51" t="s">
        <v>36</v>
      </c>
      <c r="F11" s="51" t="s">
        <v>51</v>
      </c>
      <c r="G11" s="51" t="s">
        <v>61</v>
      </c>
      <c r="H11" s="51" t="s">
        <v>74</v>
      </c>
      <c r="I11" s="51" t="s">
        <v>114</v>
      </c>
      <c r="J11" s="51" t="s">
        <v>85</v>
      </c>
      <c r="K11" s="51" t="s">
        <v>96</v>
      </c>
      <c r="L11" s="51">
        <v>4</v>
      </c>
      <c r="M11" s="51">
        <f t="shared" ref="M11" si="1">L11*5</f>
        <v>20</v>
      </c>
      <c r="N11" s="51">
        <v>25</v>
      </c>
      <c r="O11" s="63" t="s">
        <v>117</v>
      </c>
      <c r="P11" s="52">
        <v>9.5699999999999993E-2</v>
      </c>
      <c r="Q11" s="52">
        <f t="shared" ref="Q11" si="2">P11*N11</f>
        <v>2.3924999999999996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20</v>
      </c>
      <c r="E12" s="37" t="s">
        <v>37</v>
      </c>
      <c r="F12" s="37" t="s">
        <v>51</v>
      </c>
      <c r="G12" s="37" t="s">
        <v>62</v>
      </c>
      <c r="H12" s="37" t="s">
        <v>73</v>
      </c>
      <c r="I12" s="37" t="s">
        <v>114</v>
      </c>
      <c r="J12" s="37" t="s">
        <v>86</v>
      </c>
      <c r="K12" s="37" t="s">
        <v>97</v>
      </c>
      <c r="L12" s="37">
        <v>1</v>
      </c>
      <c r="M12" s="37">
        <f>L12*5</f>
        <v>5</v>
      </c>
      <c r="N12" s="37">
        <v>50</v>
      </c>
      <c r="O12" s="63" t="s">
        <v>117</v>
      </c>
      <c r="P12" s="38">
        <v>1.46E-2</v>
      </c>
      <c r="Q12" s="38">
        <f>P12*N12</f>
        <v>0.73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21</v>
      </c>
      <c r="E13" s="51" t="s">
        <v>38</v>
      </c>
      <c r="F13" s="51" t="s">
        <v>51</v>
      </c>
      <c r="G13" s="51" t="s">
        <v>63</v>
      </c>
      <c r="H13" s="51" t="s">
        <v>75</v>
      </c>
      <c r="I13" s="51" t="s">
        <v>114</v>
      </c>
      <c r="J13" s="51" t="s">
        <v>87</v>
      </c>
      <c r="K13" s="51" t="s">
        <v>98</v>
      </c>
      <c r="L13" s="51">
        <v>1</v>
      </c>
      <c r="M13" s="51">
        <f t="shared" ref="M13" si="3">L13*5</f>
        <v>5</v>
      </c>
      <c r="N13" s="51">
        <v>20</v>
      </c>
      <c r="O13" s="63" t="s">
        <v>117</v>
      </c>
      <c r="P13" s="52">
        <v>3.1699999999999999E-2</v>
      </c>
      <c r="Q13" s="52">
        <f t="shared" ref="Q13" si="4">P13*N13</f>
        <v>0.63400000000000001</v>
      </c>
      <c r="R13" s="51"/>
      <c r="S13" s="59"/>
    </row>
    <row r="14" spans="1:19" ht="24" x14ac:dyDescent="0.25">
      <c r="A14" s="1"/>
      <c r="B14" s="46">
        <f>ROW(B14) - ROW($B$9)</f>
        <v>5</v>
      </c>
      <c r="C14" s="53" t="s">
        <v>10</v>
      </c>
      <c r="D14" s="37" t="s">
        <v>22</v>
      </c>
      <c r="E14" s="37" t="s">
        <v>39</v>
      </c>
      <c r="F14" s="37" t="s">
        <v>52</v>
      </c>
      <c r="G14" s="37" t="s">
        <v>64</v>
      </c>
      <c r="H14" s="37" t="s">
        <v>76</v>
      </c>
      <c r="I14" s="37"/>
      <c r="J14" s="37" t="s">
        <v>118</v>
      </c>
      <c r="K14" s="37" t="s">
        <v>114</v>
      </c>
      <c r="L14" s="37">
        <v>1</v>
      </c>
      <c r="M14" s="37">
        <f>L14*5</f>
        <v>5</v>
      </c>
      <c r="N14" s="37">
        <v>50</v>
      </c>
      <c r="O14" s="63" t="s">
        <v>117</v>
      </c>
      <c r="P14" s="38">
        <v>9.9000000000000008E-3</v>
      </c>
      <c r="Q14" s="38">
        <f>P14*N14</f>
        <v>0.49500000000000005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11</v>
      </c>
      <c r="D15" s="61" t="s">
        <v>23</v>
      </c>
      <c r="E15" s="61" t="s">
        <v>40</v>
      </c>
      <c r="F15" s="61" t="s">
        <v>53</v>
      </c>
      <c r="G15" s="61" t="s">
        <v>65</v>
      </c>
      <c r="H15" s="61" t="s">
        <v>114</v>
      </c>
      <c r="I15" s="61" t="s">
        <v>114</v>
      </c>
      <c r="J15" s="61" t="s">
        <v>114</v>
      </c>
      <c r="K15" s="61" t="s">
        <v>114</v>
      </c>
      <c r="L15" s="61">
        <v>1</v>
      </c>
      <c r="M15" s="61">
        <f t="shared" ref="M15" si="5">L15*5</f>
        <v>5</v>
      </c>
      <c r="N15" s="61" t="s">
        <v>114</v>
      </c>
      <c r="O15" s="61" t="s">
        <v>114</v>
      </c>
      <c r="P15" s="61" t="s">
        <v>114</v>
      </c>
      <c r="Q15" s="61" t="s">
        <v>114</v>
      </c>
      <c r="R15" s="61" t="s">
        <v>114</v>
      </c>
      <c r="S15" s="61" t="s">
        <v>114</v>
      </c>
    </row>
    <row r="16" spans="1:19" ht="48" x14ac:dyDescent="0.25">
      <c r="A16" s="1"/>
      <c r="B16" s="46">
        <f>ROW(B16) - ROW($B$9)</f>
        <v>7</v>
      </c>
      <c r="C16" s="53" t="s">
        <v>122</v>
      </c>
      <c r="D16" s="37" t="s">
        <v>24</v>
      </c>
      <c r="E16" s="37" t="s">
        <v>123</v>
      </c>
      <c r="F16" s="37" t="s">
        <v>119</v>
      </c>
      <c r="G16" s="37" t="s">
        <v>124</v>
      </c>
      <c r="H16" s="37" t="s">
        <v>125</v>
      </c>
      <c r="I16" s="37" t="s">
        <v>114</v>
      </c>
      <c r="J16" s="37" t="s">
        <v>126</v>
      </c>
      <c r="K16" s="37" t="s">
        <v>114</v>
      </c>
      <c r="L16" s="37">
        <v>1</v>
      </c>
      <c r="M16" s="37">
        <f>L16*5</f>
        <v>5</v>
      </c>
      <c r="N16" s="37">
        <v>10</v>
      </c>
      <c r="O16" s="63" t="s">
        <v>117</v>
      </c>
      <c r="P16" s="38">
        <v>9.8100000000000007E-2</v>
      </c>
      <c r="Q16" s="38">
        <f>P16*N16</f>
        <v>0.98100000000000009</v>
      </c>
      <c r="R16" s="37"/>
      <c r="S16" s="59"/>
    </row>
    <row r="17" spans="1:19" ht="24" x14ac:dyDescent="0.25">
      <c r="A17" s="1"/>
      <c r="B17" s="47">
        <f t="shared" si="0"/>
        <v>8</v>
      </c>
      <c r="C17" s="54" t="s">
        <v>12</v>
      </c>
      <c r="D17" s="51" t="s">
        <v>25</v>
      </c>
      <c r="E17" s="51" t="s">
        <v>41</v>
      </c>
      <c r="F17" s="51" t="s">
        <v>119</v>
      </c>
      <c r="G17" s="51" t="s">
        <v>54</v>
      </c>
      <c r="H17" s="51" t="s">
        <v>77</v>
      </c>
      <c r="I17" s="51" t="s">
        <v>114</v>
      </c>
      <c r="J17" s="51" t="s">
        <v>88</v>
      </c>
      <c r="K17" s="51" t="s">
        <v>114</v>
      </c>
      <c r="L17" s="51">
        <v>1</v>
      </c>
      <c r="M17" s="51">
        <f t="shared" ref="M17" si="6">L17*5</f>
        <v>5</v>
      </c>
      <c r="N17" s="51">
        <v>10</v>
      </c>
      <c r="O17" s="63" t="s">
        <v>117</v>
      </c>
      <c r="P17" s="52">
        <v>0.1176</v>
      </c>
      <c r="Q17" s="52">
        <f t="shared" ref="Q17" si="7">P17*N17</f>
        <v>1.1759999999999999</v>
      </c>
      <c r="R17" s="51"/>
      <c r="S17" s="59"/>
    </row>
    <row r="18" spans="1:19" ht="24" x14ac:dyDescent="0.25">
      <c r="A18" s="1"/>
      <c r="B18" s="46">
        <f>ROW(B18) - ROW($B$9)</f>
        <v>9</v>
      </c>
      <c r="C18" s="53" t="s">
        <v>13</v>
      </c>
      <c r="D18" s="37" t="s">
        <v>26</v>
      </c>
      <c r="E18" s="37" t="s">
        <v>42</v>
      </c>
      <c r="F18" s="51" t="s">
        <v>119</v>
      </c>
      <c r="G18" s="37" t="s">
        <v>55</v>
      </c>
      <c r="H18" s="37" t="s">
        <v>78</v>
      </c>
      <c r="I18" s="37" t="s">
        <v>114</v>
      </c>
      <c r="J18" s="37" t="s">
        <v>89</v>
      </c>
      <c r="K18" s="37" t="s">
        <v>114</v>
      </c>
      <c r="L18" s="37">
        <v>1</v>
      </c>
      <c r="M18" s="37">
        <f>L18*5</f>
        <v>5</v>
      </c>
      <c r="N18" s="37">
        <v>6</v>
      </c>
      <c r="O18" s="63" t="s">
        <v>117</v>
      </c>
      <c r="P18" s="38">
        <v>1.9235</v>
      </c>
      <c r="Q18" s="38">
        <f>P18*N18</f>
        <v>11.541</v>
      </c>
      <c r="R18" s="37"/>
      <c r="S18" s="59"/>
    </row>
    <row r="19" spans="1:19" ht="36" x14ac:dyDescent="0.25">
      <c r="A19" s="1"/>
      <c r="B19" s="47">
        <f t="shared" si="0"/>
        <v>10</v>
      </c>
      <c r="C19" s="54" t="s">
        <v>14</v>
      </c>
      <c r="D19" s="51" t="s">
        <v>27</v>
      </c>
      <c r="E19" s="51" t="s">
        <v>43</v>
      </c>
      <c r="F19" s="51" t="s">
        <v>56</v>
      </c>
      <c r="G19" s="51" t="s">
        <v>66</v>
      </c>
      <c r="H19" s="51" t="s">
        <v>79</v>
      </c>
      <c r="I19" s="51" t="s">
        <v>114</v>
      </c>
      <c r="J19" s="51" t="s">
        <v>90</v>
      </c>
      <c r="K19" s="51" t="s">
        <v>114</v>
      </c>
      <c r="L19" s="51">
        <v>1</v>
      </c>
      <c r="M19" s="51">
        <f t="shared" ref="M19" si="8">L19*5</f>
        <v>5</v>
      </c>
      <c r="N19" s="51">
        <v>20</v>
      </c>
      <c r="O19" s="63" t="s">
        <v>117</v>
      </c>
      <c r="P19" s="52">
        <v>2.1499999999999998E-2</v>
      </c>
      <c r="Q19" s="52">
        <f t="shared" ref="Q19" si="9">P19*N19</f>
        <v>0.42999999999999994</v>
      </c>
      <c r="R19" s="51"/>
      <c r="S19" s="59"/>
    </row>
    <row r="20" spans="1:19" x14ac:dyDescent="0.25">
      <c r="A20" s="1"/>
      <c r="B20" s="46">
        <f>ROW(B20) - ROW($B$9)</f>
        <v>11</v>
      </c>
      <c r="C20" s="53" t="s">
        <v>15</v>
      </c>
      <c r="D20" s="37" t="s">
        <v>28</v>
      </c>
      <c r="E20" s="37" t="s">
        <v>44</v>
      </c>
      <c r="F20" s="37" t="s">
        <v>57</v>
      </c>
      <c r="G20" s="37" t="s">
        <v>67</v>
      </c>
      <c r="H20" s="37" t="s">
        <v>73</v>
      </c>
      <c r="I20" s="37" t="s">
        <v>114</v>
      </c>
      <c r="J20" s="37" t="s">
        <v>91</v>
      </c>
      <c r="K20" s="37" t="s">
        <v>99</v>
      </c>
      <c r="L20" s="37">
        <v>4</v>
      </c>
      <c r="M20" s="37">
        <f>L20*5</f>
        <v>20</v>
      </c>
      <c r="N20" s="37">
        <v>40</v>
      </c>
      <c r="O20" s="63" t="s">
        <v>117</v>
      </c>
      <c r="P20" s="38">
        <v>2.1700000000000001E-2</v>
      </c>
      <c r="Q20" s="38">
        <f>P20*N20</f>
        <v>0.86799999999999999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15</v>
      </c>
      <c r="D21" s="51" t="s">
        <v>29</v>
      </c>
      <c r="E21" s="51" t="s">
        <v>45</v>
      </c>
      <c r="F21" s="51" t="s">
        <v>58</v>
      </c>
      <c r="G21" s="61" t="s">
        <v>68</v>
      </c>
      <c r="H21" s="51" t="s">
        <v>80</v>
      </c>
      <c r="I21" s="51" t="s">
        <v>120</v>
      </c>
      <c r="J21" s="51" t="s">
        <v>121</v>
      </c>
      <c r="K21" s="51" t="s">
        <v>100</v>
      </c>
      <c r="L21" s="51">
        <v>1</v>
      </c>
      <c r="M21" s="51">
        <f t="shared" ref="M21" si="10">L21*5</f>
        <v>5</v>
      </c>
      <c r="N21" s="51">
        <v>100</v>
      </c>
      <c r="O21" s="63" t="s">
        <v>117</v>
      </c>
      <c r="P21" s="52">
        <v>5.0000000000000001E-4</v>
      </c>
      <c r="Q21" s="52">
        <f t="shared" ref="Q21" si="11">P21*N21</f>
        <v>0.05</v>
      </c>
      <c r="R21" s="51"/>
      <c r="S21" s="59"/>
    </row>
    <row r="22" spans="1:19" x14ac:dyDescent="0.25">
      <c r="A22" s="1"/>
      <c r="B22" s="46">
        <f>ROW(B22) - ROW($B$9)</f>
        <v>13</v>
      </c>
      <c r="C22" s="54" t="s">
        <v>15</v>
      </c>
      <c r="D22" s="37" t="s">
        <v>30</v>
      </c>
      <c r="E22" s="37" t="s">
        <v>46</v>
      </c>
      <c r="F22" s="37" t="s">
        <v>58</v>
      </c>
      <c r="G22" s="37" t="s">
        <v>69</v>
      </c>
      <c r="H22" s="37" t="s">
        <v>73</v>
      </c>
      <c r="I22" s="37" t="s">
        <v>114</v>
      </c>
      <c r="J22" s="37" t="s">
        <v>92</v>
      </c>
      <c r="K22" s="37" t="s">
        <v>101</v>
      </c>
      <c r="L22" s="37">
        <v>1</v>
      </c>
      <c r="M22" s="37">
        <f>L22*5</f>
        <v>5</v>
      </c>
      <c r="N22" s="37">
        <v>100</v>
      </c>
      <c r="O22" s="63" t="s">
        <v>117</v>
      </c>
      <c r="P22" s="38">
        <v>6.9999999999999999E-4</v>
      </c>
      <c r="Q22" s="38">
        <f>P22*N22</f>
        <v>6.9999999999999993E-2</v>
      </c>
      <c r="R22" s="37"/>
      <c r="S22" s="59"/>
    </row>
    <row r="23" spans="1:19" ht="24" x14ac:dyDescent="0.25">
      <c r="A23" s="1"/>
      <c r="B23" s="47">
        <f t="shared" si="0"/>
        <v>14</v>
      </c>
      <c r="C23" s="54" t="s">
        <v>15</v>
      </c>
      <c r="D23" s="51" t="s">
        <v>31</v>
      </c>
      <c r="E23" s="51" t="s">
        <v>47</v>
      </c>
      <c r="F23" s="51" t="s">
        <v>58</v>
      </c>
      <c r="G23" s="51" t="s">
        <v>70</v>
      </c>
      <c r="H23" s="51" t="s">
        <v>81</v>
      </c>
      <c r="I23" s="51" t="s">
        <v>114</v>
      </c>
      <c r="J23" s="51" t="s">
        <v>93</v>
      </c>
      <c r="K23" s="51" t="s">
        <v>102</v>
      </c>
      <c r="L23" s="51">
        <v>1</v>
      </c>
      <c r="M23" s="51">
        <f t="shared" ref="M23" si="12">L23*5</f>
        <v>5</v>
      </c>
      <c r="N23" s="51">
        <v>100</v>
      </c>
      <c r="O23" s="63" t="s">
        <v>117</v>
      </c>
      <c r="P23" s="52">
        <v>5.9999999999999995E-4</v>
      </c>
      <c r="Q23" s="52">
        <f t="shared" ref="Q23" si="13">P23*N23</f>
        <v>0.06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16</v>
      </c>
      <c r="D24" s="64" t="s">
        <v>32</v>
      </c>
      <c r="E24" s="64" t="s">
        <v>48</v>
      </c>
      <c r="F24" s="64" t="s">
        <v>119</v>
      </c>
      <c r="G24" s="64" t="s">
        <v>16</v>
      </c>
      <c r="H24" s="64" t="s">
        <v>114</v>
      </c>
      <c r="I24" s="64" t="s">
        <v>114</v>
      </c>
      <c r="J24" s="64" t="s">
        <v>114</v>
      </c>
      <c r="K24" s="64" t="s">
        <v>114</v>
      </c>
      <c r="L24" s="64">
        <v>1</v>
      </c>
      <c r="M24" s="64">
        <f>L24*5</f>
        <v>5</v>
      </c>
      <c r="N24" s="64" t="s">
        <v>114</v>
      </c>
      <c r="O24" s="64" t="s">
        <v>114</v>
      </c>
      <c r="P24" s="65" t="s">
        <v>114</v>
      </c>
      <c r="Q24" s="65" t="s">
        <v>114</v>
      </c>
      <c r="R24" s="64"/>
      <c r="S24" s="62"/>
    </row>
    <row r="25" spans="1:19" ht="36.75" thickBot="1" x14ac:dyDescent="0.3">
      <c r="A25" s="1"/>
      <c r="B25" s="47">
        <f t="shared" si="0"/>
        <v>16</v>
      </c>
      <c r="C25" s="54" t="s">
        <v>113</v>
      </c>
      <c r="D25" s="51" t="s">
        <v>33</v>
      </c>
      <c r="E25" s="51" t="s">
        <v>49</v>
      </c>
      <c r="F25" s="37" t="s">
        <v>119</v>
      </c>
      <c r="G25" s="51" t="s">
        <v>71</v>
      </c>
      <c r="H25" s="51" t="s">
        <v>82</v>
      </c>
      <c r="I25" s="51" t="s">
        <v>114</v>
      </c>
      <c r="J25" s="51" t="s">
        <v>94</v>
      </c>
      <c r="K25" s="51" t="s">
        <v>114</v>
      </c>
      <c r="L25" s="51">
        <v>3</v>
      </c>
      <c r="M25" s="51">
        <f t="shared" ref="M25:M26" si="14">L25*5</f>
        <v>15</v>
      </c>
      <c r="N25" s="51">
        <v>20</v>
      </c>
      <c r="O25" s="63" t="s">
        <v>117</v>
      </c>
      <c r="P25" s="52">
        <v>5.5500000000000001E-2</v>
      </c>
      <c r="Q25" s="52">
        <f t="shared" ref="Q25:Q26" si="15">P25*N25</f>
        <v>1.1100000000000001</v>
      </c>
      <c r="R25" s="51"/>
      <c r="S25" s="39"/>
    </row>
    <row r="26" spans="1:19" ht="36.75" thickBot="1" x14ac:dyDescent="0.3">
      <c r="A26" s="1"/>
      <c r="B26" s="47">
        <f t="shared" si="0"/>
        <v>17</v>
      </c>
      <c r="C26" s="54" t="s">
        <v>127</v>
      </c>
      <c r="D26" s="51" t="s">
        <v>114</v>
      </c>
      <c r="E26" s="51" t="s">
        <v>128</v>
      </c>
      <c r="F26" s="37" t="s">
        <v>114</v>
      </c>
      <c r="G26" s="51" t="s">
        <v>129</v>
      </c>
      <c r="H26" s="51" t="s">
        <v>130</v>
      </c>
      <c r="I26" s="51" t="s">
        <v>114</v>
      </c>
      <c r="J26" s="51" t="s">
        <v>131</v>
      </c>
      <c r="K26" s="51" t="s">
        <v>114</v>
      </c>
      <c r="L26" s="51">
        <v>1</v>
      </c>
      <c r="M26" s="51">
        <f t="shared" si="14"/>
        <v>5</v>
      </c>
      <c r="N26" s="51">
        <v>10</v>
      </c>
      <c r="O26" s="63" t="s">
        <v>117</v>
      </c>
      <c r="P26" s="52">
        <v>8.3199999999999996E-2</v>
      </c>
      <c r="Q26" s="52">
        <f t="shared" si="15"/>
        <v>0.83199999999999996</v>
      </c>
      <c r="R26" s="51"/>
      <c r="S26" s="39"/>
    </row>
    <row r="27" spans="1:19" ht="19.5" thickBot="1" x14ac:dyDescent="0.3">
      <c r="A27" s="1"/>
      <c r="B27" s="40"/>
      <c r="C27" s="41"/>
      <c r="D27" s="42"/>
      <c r="E27" s="43"/>
      <c r="F27" s="44"/>
      <c r="G27" s="45"/>
      <c r="H27" s="44"/>
      <c r="I27" s="45"/>
      <c r="J27" s="44"/>
      <c r="K27" s="45"/>
      <c r="L27" s="45"/>
      <c r="M27" s="45"/>
      <c r="N27" s="74" t="s">
        <v>5</v>
      </c>
      <c r="O27" s="75"/>
      <c r="P27" s="75"/>
      <c r="Q27" s="48">
        <f>SUM(Q10:Q26)</f>
        <v>21.609499999999997</v>
      </c>
      <c r="R27" s="70"/>
      <c r="S27" s="71"/>
    </row>
    <row r="28" spans="1:19" ht="19.5" thickBot="1" x14ac:dyDescent="0.3">
      <c r="A28" s="1"/>
      <c r="B28" s="25"/>
      <c r="C28" s="36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74" t="s">
        <v>6</v>
      </c>
      <c r="O28" s="75"/>
      <c r="P28" s="75"/>
      <c r="Q28" s="49">
        <f>Q27/5</f>
        <v>4.3218999999999994</v>
      </c>
      <c r="R28" s="72"/>
      <c r="S28" s="73"/>
    </row>
  </sheetData>
  <mergeCells count="5">
    <mergeCell ref="K1:S1"/>
    <mergeCell ref="S3:S8"/>
    <mergeCell ref="R27:S28"/>
    <mergeCell ref="N27:P27"/>
    <mergeCell ref="N28:P28"/>
  </mergeCells>
  <hyperlinks>
    <hyperlink ref="O10" r:id="rId1"/>
    <hyperlink ref="O11" r:id="rId2"/>
    <hyperlink ref="O12" r:id="rId3"/>
    <hyperlink ref="O13" r:id="rId4"/>
    <hyperlink ref="O14" r:id="rId5"/>
    <hyperlink ref="O17" r:id="rId6"/>
    <hyperlink ref="O18" r:id="rId7"/>
    <hyperlink ref="O19" r:id="rId8"/>
    <hyperlink ref="O20" r:id="rId9"/>
    <hyperlink ref="O21" r:id="rId10"/>
    <hyperlink ref="O22" r:id="rId11"/>
    <hyperlink ref="O23" r:id="rId12"/>
    <hyperlink ref="O25" r:id="rId13"/>
    <hyperlink ref="O16" r:id="rId14"/>
    <hyperlink ref="O26" r:id="rId15"/>
  </hyperlinks>
  <pageMargins left="0.7" right="0.7" top="0.75" bottom="0.75" header="0.3" footer="0.3"/>
  <pageSetup paperSize="9" orientation="portrait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2023-07-20T14:48:37Z</dcterms:modified>
</cp:coreProperties>
</file>