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hrisbyrd-esp32iotproduct\Design Files\Ethernet-Module-v2.0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L18" i="1" l="1"/>
  <c r="B18" i="1"/>
  <c r="B36" i="1" l="1"/>
  <c r="L33" i="1" l="1"/>
  <c r="B33" i="1"/>
  <c r="L35" i="1" l="1"/>
  <c r="B35" i="1"/>
  <c r="L34" i="1"/>
  <c r="B34" i="1"/>
  <c r="L32" i="1"/>
  <c r="B32" i="1"/>
  <c r="L31" i="1"/>
  <c r="B31" i="1"/>
  <c r="L30" i="1"/>
  <c r="B30" i="1"/>
  <c r="L29" i="1"/>
  <c r="B29" i="1"/>
  <c r="L28" i="1"/>
  <c r="B28" i="1"/>
  <c r="L27" i="1"/>
  <c r="B27" i="1"/>
  <c r="L26" i="1"/>
  <c r="B26" i="1"/>
  <c r="L25" i="1"/>
  <c r="B25" i="1"/>
  <c r="L24" i="1"/>
  <c r="B24" i="1"/>
  <c r="L23" i="1"/>
  <c r="B23" i="1"/>
  <c r="L22" i="1"/>
  <c r="B22" i="1"/>
  <c r="L21" i="1"/>
  <c r="B21" i="1"/>
  <c r="L20" i="1"/>
  <c r="B20" i="1"/>
  <c r="L19" i="1"/>
  <c r="B19" i="1"/>
  <c r="L17" i="1"/>
  <c r="B17" i="1"/>
  <c r="L16" i="1"/>
  <c r="B16" i="1"/>
  <c r="L15" i="1"/>
  <c r="B15" i="1"/>
  <c r="L14" i="1"/>
  <c r="B14" i="1"/>
  <c r="L13" i="1"/>
  <c r="B13" i="1"/>
  <c r="L12" i="1"/>
  <c r="B12" i="1"/>
  <c r="L11" i="1" l="1"/>
  <c r="L10" i="1"/>
  <c r="B11" i="1"/>
  <c r="B10" i="1"/>
</calcChain>
</file>

<file path=xl/sharedStrings.xml><?xml version="1.0" encoding="utf-8"?>
<sst xmlns="http://schemas.openxmlformats.org/spreadsheetml/2006/main" count="237" uniqueCount="150">
  <si>
    <t>Component list</t>
  </si>
  <si>
    <t>Source Data From:</t>
  </si>
  <si>
    <t>Project:</t>
  </si>
  <si>
    <t>Variant:</t>
  </si>
  <si>
    <t>#</t>
  </si>
  <si>
    <t>None</t>
  </si>
  <si>
    <t>Item Type</t>
  </si>
  <si>
    <t>Capacitor</t>
  </si>
  <si>
    <t>Ferrite Bead</t>
  </si>
  <si>
    <t>Ethernet Connector</t>
  </si>
  <si>
    <t>Mosfet</t>
  </si>
  <si>
    <t>Resistor</t>
  </si>
  <si>
    <t>IC</t>
  </si>
  <si>
    <t>TVS Diode</t>
  </si>
  <si>
    <t>Crystal</t>
  </si>
  <si>
    <t>Designator</t>
  </si>
  <si>
    <t>C1, C9</t>
  </si>
  <si>
    <t>C2, C3, C4, C5, C6, C7, C11</t>
  </si>
  <si>
    <t>C8, C10</t>
  </si>
  <si>
    <t>C12, C13</t>
  </si>
  <si>
    <t>C14</t>
  </si>
  <si>
    <t>C15, C16</t>
  </si>
  <si>
    <t>C17</t>
  </si>
  <si>
    <t>C18, C19</t>
  </si>
  <si>
    <t>FB1, FB2</t>
  </si>
  <si>
    <t>J1</t>
  </si>
  <si>
    <t>J3</t>
  </si>
  <si>
    <t>Q1</t>
  </si>
  <si>
    <t>Q2</t>
  </si>
  <si>
    <t>R1</t>
  </si>
  <si>
    <t>R4, R5, R15, R16</t>
  </si>
  <si>
    <t>R6</t>
  </si>
  <si>
    <t>R7, R8, R11, R13</t>
  </si>
  <si>
    <t>R10, R14</t>
  </si>
  <si>
    <t>R20</t>
  </si>
  <si>
    <t>R28</t>
  </si>
  <si>
    <t>U1</t>
  </si>
  <si>
    <t>X1</t>
  </si>
  <si>
    <t>Description</t>
  </si>
  <si>
    <t>CAP CER 22UF 10V X5R 0603</t>
  </si>
  <si>
    <t>CAP CER 0.1UF 50V X5R 0603</t>
  </si>
  <si>
    <t>CAP CER 10UF 25V X5R 0603</t>
  </si>
  <si>
    <t>50V 6.8nF X7R ±10% 0603</t>
  </si>
  <si>
    <t>CAP CER 0.022UF 100V X7R 0603</t>
  </si>
  <si>
    <t>CAP CER 10000PF 100V X7R 0603</t>
  </si>
  <si>
    <t>CAP CER, 4.7 µF, 25 V, 0603</t>
  </si>
  <si>
    <t>CAP CER 12PF 100V C0G/NP0 0603</t>
  </si>
  <si>
    <t>FERRITE BEAD 600 OHM 1210 1LN</t>
  </si>
  <si>
    <t>PCI Express Mini Card (Mini PCIe)</t>
  </si>
  <si>
    <t>40V 100mW 100@10mA,1V 200mA 300MHz 300mV@50mA,5mA NPN -55℃~+150℃@(Tj) SOT-723 Bipolar Transistors - BJT ROHS</t>
  </si>
  <si>
    <t>MOSFET P-CH 12V 2.6A SUPERSOT3</t>
  </si>
  <si>
    <t>RES SMD 1K OHM 1% 1/10W 0603</t>
  </si>
  <si>
    <t>RES SMD 0R, 1%, 0.1W, 0603</t>
  </si>
  <si>
    <t>RES 49.9 OHM 1% 1/10W 0603</t>
  </si>
  <si>
    <t>RES SMD 10 OHM 1% 1/10W 0603</t>
  </si>
  <si>
    <t>RES SMD 0603 33 Ohm 1% 1/10W</t>
  </si>
  <si>
    <t>RES  SMD 330R 100 mW 0603</t>
  </si>
  <si>
    <t>RES SMD 1M OHM 1% 1/10W 0603</t>
  </si>
  <si>
    <t>RES SMD 12.4K OHM 1% 1/10W 0603</t>
  </si>
  <si>
    <t>SPI LQFP-48(7x7) Ethernet ICs ROHS</t>
  </si>
  <si>
    <t>SMD3225-4P Crystals ROHS</t>
  </si>
  <si>
    <t>Footprint</t>
  </si>
  <si>
    <t>Cap-0603</t>
  </si>
  <si>
    <t>IND-1210</t>
  </si>
  <si>
    <t>SOT-723</t>
  </si>
  <si>
    <t>SOT-23</t>
  </si>
  <si>
    <t>Res-0603</t>
  </si>
  <si>
    <t>48-LQFP (7x7)_</t>
  </si>
  <si>
    <t>NX3225GA-25MHZ-STD-CRG-2</t>
  </si>
  <si>
    <t>Manufacturer Part Number</t>
  </si>
  <si>
    <t>CC0603MRX5R6BB226</t>
  </si>
  <si>
    <t>CC0603KRX5R9BB104</t>
  </si>
  <si>
    <t>C1608X5R1E106M080AC</t>
  </si>
  <si>
    <t>0603B682K500NT</t>
  </si>
  <si>
    <t>CGA3E2X7R2A223K080AA</t>
  </si>
  <si>
    <t>AC0603KRX7R0BB103</t>
  </si>
  <si>
    <t>C1608X5R1E475KT000E</t>
  </si>
  <si>
    <t>GCM1885C2A120JA16D</t>
  </si>
  <si>
    <t>FBMH3225HM601NT</t>
  </si>
  <si>
    <t>MMBT3904M</t>
  </si>
  <si>
    <t>FDN306P</t>
  </si>
  <si>
    <t>RC0603FR-071KL</t>
  </si>
  <si>
    <t>RC0603FR-070RL</t>
  </si>
  <si>
    <t>RC0603FR-0749R9L</t>
  </si>
  <si>
    <t>RC0603FR-0710RL</t>
  </si>
  <si>
    <t>RC0603FR-0733RL</t>
  </si>
  <si>
    <t>RC0603JR-07330RL</t>
  </si>
  <si>
    <t>RC0603FR-071ML</t>
  </si>
  <si>
    <t>RC0603FR-0712K4L</t>
  </si>
  <si>
    <t>W5500</t>
  </si>
  <si>
    <t>Manufacturer</t>
  </si>
  <si>
    <t>Yageo</t>
  </si>
  <si>
    <t>TDK</t>
  </si>
  <si>
    <t>FH</t>
  </si>
  <si>
    <t>Murata</t>
  </si>
  <si>
    <t>Taiyo Yuden</t>
  </si>
  <si>
    <t>TECH PUBLIC</t>
  </si>
  <si>
    <t>ON Semiconductor / Fairchild</t>
  </si>
  <si>
    <t>WIZNET</t>
  </si>
  <si>
    <t>Littelfuse</t>
  </si>
  <si>
    <t>NDK</t>
  </si>
  <si>
    <t>22uF</t>
  </si>
  <si>
    <t>0.1uF</t>
  </si>
  <si>
    <t>10uF</t>
  </si>
  <si>
    <t>6.8nF</t>
  </si>
  <si>
    <t>22nF</t>
  </si>
  <si>
    <t>10nF</t>
  </si>
  <si>
    <t>4.7uF</t>
  </si>
  <si>
    <t>12pF</t>
  </si>
  <si>
    <t>1K</t>
  </si>
  <si>
    <t>10K</t>
  </si>
  <si>
    <t>0R</t>
  </si>
  <si>
    <t>49.9R</t>
  </si>
  <si>
    <t>10R</t>
  </si>
  <si>
    <t>33R</t>
  </si>
  <si>
    <t>330R</t>
  </si>
  <si>
    <t>1M</t>
  </si>
  <si>
    <t>12.4K</t>
  </si>
  <si>
    <t>25MHZ</t>
  </si>
  <si>
    <t>Quantity</t>
  </si>
  <si>
    <t>Value</t>
  </si>
  <si>
    <t>-</t>
  </si>
  <si>
    <t>Alternate Part Number</t>
  </si>
  <si>
    <t>Quantity (5 Boards)</t>
  </si>
  <si>
    <t>Remarks</t>
  </si>
  <si>
    <t>Custom</t>
  </si>
  <si>
    <t>DO NOT MOUNT</t>
  </si>
  <si>
    <t xml:space="preserve">Mini PCIe SMD Pad </t>
  </si>
  <si>
    <t>Bill of Materials for Project [Ethernet-Module-v2.0.]</t>
  </si>
  <si>
    <t>Ethernet-Module-v2.0.</t>
  </si>
  <si>
    <t>CONN JACK 1PORT 100 BASE-T PCB</t>
  </si>
  <si>
    <t>ARJM11D7-114-AB-EW2</t>
  </si>
  <si>
    <t>Abracon</t>
  </si>
  <si>
    <t>RES SMD 10K OHM 1% 1/20W 0201</t>
  </si>
  <si>
    <t>Res-0201</t>
  </si>
  <si>
    <t>RC0201FR-0710KL</t>
  </si>
  <si>
    <t>R2, R9, R12, R17, R18, R19, R22, R23, R24, R25, R26, R27</t>
  </si>
  <si>
    <t>R3, R21, R29</t>
  </si>
  <si>
    <t>R30</t>
  </si>
  <si>
    <t>RES 4.7K OHM 1% 1/16W 0402</t>
  </si>
  <si>
    <t>Res-0402</t>
  </si>
  <si>
    <t>RC0402FR-074K7L</t>
  </si>
  <si>
    <t>4.7K</t>
  </si>
  <si>
    <t>Peripheral</t>
  </si>
  <si>
    <t>Eternet Cable</t>
  </si>
  <si>
    <t>LC-2030C</t>
  </si>
  <si>
    <t xml:space="preserve">Shengwei </t>
  </si>
  <si>
    <t>D1, D2</t>
  </si>
  <si>
    <t>TVS DIODE 5.5VWM 8.5VC SOT23-3</t>
  </si>
  <si>
    <t>SP0502BAHTG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</si>
</sst>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22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4" borderId="14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>
      <alignment vertical="center"/>
    </xf>
    <xf numFmtId="0" fontId="0" fillId="3" borderId="10" xfId="0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ill="1" applyBorder="1"/>
    <xf numFmtId="0" fontId="11" fillId="3" borderId="17" xfId="0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4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8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horizontal="center" vertical="center" wrapText="1"/>
    </xf>
    <xf numFmtId="0" fontId="21" fillId="3" borderId="18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8"/>
  <sheetViews>
    <sheetView tabSelected="1" workbookViewId="0">
      <selection activeCell="G43" sqref="G43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25.28515625" bestFit="1" customWidth="1"/>
    <col min="8" max="8" width="21.5703125" bestFit="1" customWidth="1"/>
    <col min="9" max="9" width="21.42578125" bestFit="1" customWidth="1"/>
    <col min="10" max="10" width="6.140625" bestFit="1" customWidth="1"/>
    <col min="11" max="11" width="8.7109375" bestFit="1" customWidth="1"/>
    <col min="12" max="12" width="18.28515625" bestFit="1" customWidth="1"/>
    <col min="13" max="13" width="29.42578125" customWidth="1"/>
    <col min="15" max="15" width="25.28515625" bestFit="1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63"/>
      <c r="K1" s="63"/>
      <c r="L1" s="63"/>
      <c r="M1" s="63"/>
    </row>
    <row r="2" spans="1:13" ht="32.25" thickBot="1" x14ac:dyDescent="0.3">
      <c r="A2" s="1"/>
      <c r="B2" s="20"/>
      <c r="C2" s="43"/>
      <c r="D2" s="10" t="s">
        <v>0</v>
      </c>
      <c r="E2" s="10"/>
      <c r="F2" s="51" t="s">
        <v>128</v>
      </c>
      <c r="G2" s="11"/>
      <c r="H2" s="11"/>
      <c r="I2" s="3"/>
      <c r="J2" s="3"/>
      <c r="K2" s="3"/>
      <c r="L2" s="3"/>
      <c r="M2" s="40"/>
    </row>
    <row r="3" spans="1:13" x14ac:dyDescent="0.25">
      <c r="A3" s="1"/>
      <c r="B3" s="21"/>
      <c r="C3" s="44"/>
      <c r="D3" s="12" t="s">
        <v>1</v>
      </c>
      <c r="E3" s="12"/>
      <c r="F3" s="52" t="s">
        <v>129</v>
      </c>
      <c r="G3" s="12"/>
      <c r="H3" s="12"/>
      <c r="I3" s="4"/>
      <c r="J3" s="4"/>
      <c r="K3" s="4"/>
      <c r="L3" s="4"/>
      <c r="M3" s="64"/>
    </row>
    <row r="4" spans="1:13" x14ac:dyDescent="0.25">
      <c r="A4" s="1"/>
      <c r="B4" s="21"/>
      <c r="C4" s="44"/>
      <c r="D4" s="12" t="s">
        <v>2</v>
      </c>
      <c r="E4" s="12"/>
      <c r="F4" s="53" t="s">
        <v>129</v>
      </c>
      <c r="G4" s="13"/>
      <c r="H4" s="13"/>
      <c r="I4" s="6"/>
      <c r="J4" s="6"/>
      <c r="K4" s="6"/>
      <c r="L4" s="6"/>
      <c r="M4" s="65"/>
    </row>
    <row r="5" spans="1:13" x14ac:dyDescent="0.25">
      <c r="A5" s="1"/>
      <c r="B5" s="21"/>
      <c r="C5" s="44"/>
      <c r="D5" s="12" t="s">
        <v>3</v>
      </c>
      <c r="E5" s="12"/>
      <c r="F5" s="54" t="s">
        <v>5</v>
      </c>
      <c r="G5" s="14"/>
      <c r="H5" s="14"/>
      <c r="I5" s="5"/>
      <c r="J5" s="5"/>
      <c r="K5" s="5"/>
      <c r="L5" s="5"/>
      <c r="M5" s="65"/>
    </row>
    <row r="6" spans="1:13" x14ac:dyDescent="0.25">
      <c r="A6" s="1"/>
      <c r="B6" s="22"/>
      <c r="C6" s="45"/>
      <c r="D6" s="15"/>
      <c r="E6" s="15"/>
      <c r="F6" s="16"/>
      <c r="G6" s="14"/>
      <c r="H6" s="14"/>
      <c r="I6" s="5"/>
      <c r="J6" s="5"/>
      <c r="K6" s="5"/>
      <c r="L6" s="5"/>
      <c r="M6" s="65"/>
    </row>
    <row r="7" spans="1:13" x14ac:dyDescent="0.25">
      <c r="A7" s="1"/>
      <c r="B7" s="23"/>
      <c r="C7" s="46"/>
      <c r="D7" s="17"/>
      <c r="E7" s="17"/>
      <c r="F7" s="18"/>
      <c r="G7" s="17"/>
      <c r="H7" s="17"/>
      <c r="I7" s="7"/>
      <c r="J7" s="7"/>
      <c r="K7" s="7"/>
      <c r="L7" s="7"/>
      <c r="M7" s="65"/>
    </row>
    <row r="8" spans="1:13" ht="15.75" thickBot="1" x14ac:dyDescent="0.3">
      <c r="A8" s="1"/>
      <c r="B8" s="26"/>
      <c r="C8" s="47"/>
      <c r="D8" s="27"/>
      <c r="E8" s="27"/>
      <c r="F8" s="28"/>
      <c r="G8" s="17"/>
      <c r="H8" s="17"/>
      <c r="I8" s="7"/>
      <c r="J8" s="7"/>
      <c r="K8" s="7"/>
      <c r="L8" s="7"/>
      <c r="M8" s="65"/>
    </row>
    <row r="9" spans="1:13" ht="15.75" thickBot="1" x14ac:dyDescent="0.3">
      <c r="A9" s="1"/>
      <c r="B9" s="29" t="s">
        <v>4</v>
      </c>
      <c r="C9" s="29" t="s">
        <v>6</v>
      </c>
      <c r="D9" s="29" t="s">
        <v>15</v>
      </c>
      <c r="E9" s="30" t="s">
        <v>38</v>
      </c>
      <c r="F9" s="29" t="s">
        <v>61</v>
      </c>
      <c r="G9" s="30" t="s">
        <v>69</v>
      </c>
      <c r="H9" s="29" t="s">
        <v>122</v>
      </c>
      <c r="I9" s="29" t="s">
        <v>90</v>
      </c>
      <c r="J9" s="29" t="s">
        <v>120</v>
      </c>
      <c r="K9" s="29" t="s">
        <v>119</v>
      </c>
      <c r="L9" s="29" t="s">
        <v>123</v>
      </c>
      <c r="M9" s="29" t="s">
        <v>124</v>
      </c>
    </row>
    <row r="10" spans="1:13" ht="15.75" thickBot="1" x14ac:dyDescent="0.3">
      <c r="A10" s="1"/>
      <c r="B10" s="50">
        <f>ROW(B10) - ROW($B$9)</f>
        <v>1</v>
      </c>
      <c r="C10" s="57" t="s">
        <v>7</v>
      </c>
      <c r="D10" s="36" t="s">
        <v>16</v>
      </c>
      <c r="E10" s="37" t="s">
        <v>39</v>
      </c>
      <c r="F10" s="36" t="s">
        <v>62</v>
      </c>
      <c r="G10" s="37" t="s">
        <v>70</v>
      </c>
      <c r="H10" s="36" t="s">
        <v>121</v>
      </c>
      <c r="I10" s="36" t="s">
        <v>91</v>
      </c>
      <c r="J10" s="36" t="s">
        <v>101</v>
      </c>
      <c r="K10" s="36">
        <v>2</v>
      </c>
      <c r="L10" s="37">
        <f>K10*5</f>
        <v>10</v>
      </c>
      <c r="M10" s="36"/>
    </row>
    <row r="11" spans="1:13" ht="15.75" thickBot="1" x14ac:dyDescent="0.3">
      <c r="A11" s="1"/>
      <c r="B11" s="50">
        <f t="shared" ref="B11:B33" si="0">ROW(B11) - ROW($B$9)</f>
        <v>2</v>
      </c>
      <c r="C11" s="58" t="s">
        <v>7</v>
      </c>
      <c r="D11" s="38" t="s">
        <v>17</v>
      </c>
      <c r="E11" s="39" t="s">
        <v>40</v>
      </c>
      <c r="F11" s="38" t="s">
        <v>62</v>
      </c>
      <c r="G11" s="39" t="s">
        <v>71</v>
      </c>
      <c r="H11" s="38" t="s">
        <v>121</v>
      </c>
      <c r="I11" s="38" t="s">
        <v>91</v>
      </c>
      <c r="J11" s="38" t="s">
        <v>102</v>
      </c>
      <c r="K11" s="38">
        <v>7</v>
      </c>
      <c r="L11" s="39">
        <f t="shared" ref="L11" si="1">K11*5</f>
        <v>35</v>
      </c>
      <c r="M11" s="38"/>
    </row>
    <row r="12" spans="1:13" ht="15.75" thickBot="1" x14ac:dyDescent="0.3">
      <c r="A12" s="1"/>
      <c r="B12" s="50">
        <f>ROW(B12) - ROW($B$9)</f>
        <v>3</v>
      </c>
      <c r="C12" s="58" t="s">
        <v>7</v>
      </c>
      <c r="D12" s="36" t="s">
        <v>18</v>
      </c>
      <c r="E12" s="37" t="s">
        <v>41</v>
      </c>
      <c r="F12" s="36" t="s">
        <v>62</v>
      </c>
      <c r="G12" s="37" t="s">
        <v>72</v>
      </c>
      <c r="H12" s="36" t="s">
        <v>121</v>
      </c>
      <c r="I12" s="36" t="s">
        <v>92</v>
      </c>
      <c r="J12" s="36" t="s">
        <v>103</v>
      </c>
      <c r="K12" s="36">
        <v>2</v>
      </c>
      <c r="L12" s="37">
        <f>K12*5</f>
        <v>10</v>
      </c>
      <c r="M12" s="36"/>
    </row>
    <row r="13" spans="1:13" ht="15.75" thickBot="1" x14ac:dyDescent="0.3">
      <c r="A13" s="1"/>
      <c r="B13" s="50">
        <f t="shared" si="0"/>
        <v>4</v>
      </c>
      <c r="C13" s="58" t="s">
        <v>7</v>
      </c>
      <c r="D13" s="38" t="s">
        <v>19</v>
      </c>
      <c r="E13" s="39" t="s">
        <v>42</v>
      </c>
      <c r="F13" s="38" t="s">
        <v>62</v>
      </c>
      <c r="G13" s="39" t="s">
        <v>73</v>
      </c>
      <c r="H13" s="36" t="s">
        <v>121</v>
      </c>
      <c r="I13" s="38" t="s">
        <v>93</v>
      </c>
      <c r="J13" s="38" t="s">
        <v>104</v>
      </c>
      <c r="K13" s="38">
        <v>2</v>
      </c>
      <c r="L13" s="39">
        <f t="shared" ref="L13" si="2">K13*5</f>
        <v>10</v>
      </c>
      <c r="M13" s="38"/>
    </row>
    <row r="14" spans="1:13" ht="15.75" thickBot="1" x14ac:dyDescent="0.3">
      <c r="A14" s="1"/>
      <c r="B14" s="50">
        <f>ROW(B14) - ROW($B$9)</f>
        <v>5</v>
      </c>
      <c r="C14" s="57" t="s">
        <v>7</v>
      </c>
      <c r="D14" s="36" t="s">
        <v>20</v>
      </c>
      <c r="E14" s="37" t="s">
        <v>43</v>
      </c>
      <c r="F14" s="36" t="s">
        <v>62</v>
      </c>
      <c r="G14" s="37" t="s">
        <v>74</v>
      </c>
      <c r="H14" s="36" t="s">
        <v>121</v>
      </c>
      <c r="I14" s="36" t="s">
        <v>92</v>
      </c>
      <c r="J14" s="36" t="s">
        <v>105</v>
      </c>
      <c r="K14" s="36">
        <v>1</v>
      </c>
      <c r="L14" s="37">
        <f>K14*5</f>
        <v>5</v>
      </c>
      <c r="M14" s="36"/>
    </row>
    <row r="15" spans="1:13" ht="15.75" thickBot="1" x14ac:dyDescent="0.3">
      <c r="A15" s="1"/>
      <c r="B15" s="50">
        <f t="shared" si="0"/>
        <v>6</v>
      </c>
      <c r="C15" s="58" t="s">
        <v>7</v>
      </c>
      <c r="D15" s="38" t="s">
        <v>21</v>
      </c>
      <c r="E15" s="39" t="s">
        <v>44</v>
      </c>
      <c r="F15" s="38" t="s">
        <v>62</v>
      </c>
      <c r="G15" s="39" t="s">
        <v>75</v>
      </c>
      <c r="H15" s="36" t="s">
        <v>121</v>
      </c>
      <c r="I15" s="38" t="s">
        <v>91</v>
      </c>
      <c r="J15" s="38" t="s">
        <v>106</v>
      </c>
      <c r="K15" s="38">
        <v>2</v>
      </c>
      <c r="L15" s="39">
        <f t="shared" ref="L15" si="3">K15*5</f>
        <v>10</v>
      </c>
      <c r="M15" s="38"/>
    </row>
    <row r="16" spans="1:13" ht="15.75" thickBot="1" x14ac:dyDescent="0.3">
      <c r="A16" s="1"/>
      <c r="B16" s="50">
        <f>ROW(B16) - ROW($B$9)</f>
        <v>7</v>
      </c>
      <c r="C16" s="58" t="s">
        <v>7</v>
      </c>
      <c r="D16" s="36" t="s">
        <v>22</v>
      </c>
      <c r="E16" s="37" t="s">
        <v>45</v>
      </c>
      <c r="F16" s="36" t="s">
        <v>62</v>
      </c>
      <c r="G16" s="37" t="s">
        <v>76</v>
      </c>
      <c r="H16" s="36" t="s">
        <v>121</v>
      </c>
      <c r="I16" s="36" t="s">
        <v>92</v>
      </c>
      <c r="J16" s="36" t="s">
        <v>107</v>
      </c>
      <c r="K16" s="36">
        <v>1</v>
      </c>
      <c r="L16" s="37">
        <f>K16*5</f>
        <v>5</v>
      </c>
      <c r="M16" s="36"/>
    </row>
    <row r="17" spans="1:13" ht="15.75" thickBot="1" x14ac:dyDescent="0.3">
      <c r="A17" s="1"/>
      <c r="B17" s="50">
        <f t="shared" si="0"/>
        <v>8</v>
      </c>
      <c r="C17" s="58" t="s">
        <v>7</v>
      </c>
      <c r="D17" s="38" t="s">
        <v>23</v>
      </c>
      <c r="E17" s="39" t="s">
        <v>46</v>
      </c>
      <c r="F17" s="38" t="s">
        <v>62</v>
      </c>
      <c r="G17" s="39" t="s">
        <v>77</v>
      </c>
      <c r="H17" s="36" t="s">
        <v>121</v>
      </c>
      <c r="I17" s="38" t="s">
        <v>94</v>
      </c>
      <c r="J17" s="38" t="s">
        <v>108</v>
      </c>
      <c r="K17" s="38">
        <v>2</v>
      </c>
      <c r="L17" s="39">
        <f t="shared" ref="L17:L18" si="4">K17*5</f>
        <v>10</v>
      </c>
      <c r="M17" s="38"/>
    </row>
    <row r="18" spans="1:13" ht="15.75" thickBot="1" x14ac:dyDescent="0.3">
      <c r="A18" s="1"/>
      <c r="B18" s="50">
        <f t="shared" si="0"/>
        <v>9</v>
      </c>
      <c r="C18" s="57" t="s">
        <v>13</v>
      </c>
      <c r="D18" s="36" t="s">
        <v>147</v>
      </c>
      <c r="E18" s="36" t="s">
        <v>148</v>
      </c>
      <c r="F18" s="36" t="s">
        <v>65</v>
      </c>
      <c r="G18" s="36" t="s">
        <v>149</v>
      </c>
      <c r="H18" s="36" t="s">
        <v>121</v>
      </c>
      <c r="I18" s="36" t="s">
        <v>99</v>
      </c>
      <c r="J18" s="36" t="s">
        <v>121</v>
      </c>
      <c r="K18" s="36">
        <v>2</v>
      </c>
      <c r="L18" s="37">
        <f t="shared" si="4"/>
        <v>10</v>
      </c>
      <c r="M18" s="36"/>
    </row>
    <row r="19" spans="1:13" ht="15.75" thickBot="1" x14ac:dyDescent="0.3">
      <c r="A19" s="1"/>
      <c r="B19" s="50">
        <f>ROW(B19) - ROW($B$9)</f>
        <v>10</v>
      </c>
      <c r="C19" s="57" t="s">
        <v>8</v>
      </c>
      <c r="D19" s="36" t="s">
        <v>24</v>
      </c>
      <c r="E19" s="37" t="s">
        <v>47</v>
      </c>
      <c r="F19" s="36" t="s">
        <v>63</v>
      </c>
      <c r="G19" s="37" t="s">
        <v>78</v>
      </c>
      <c r="H19" s="36" t="s">
        <v>121</v>
      </c>
      <c r="I19" s="36" t="s">
        <v>95</v>
      </c>
      <c r="J19" s="36" t="s">
        <v>121</v>
      </c>
      <c r="K19" s="36">
        <v>2</v>
      </c>
      <c r="L19" s="37">
        <f>K19*5</f>
        <v>10</v>
      </c>
      <c r="M19" s="36"/>
    </row>
    <row r="20" spans="1:13" ht="15.75" thickBot="1" x14ac:dyDescent="0.3">
      <c r="A20" s="1"/>
      <c r="B20" s="50">
        <f t="shared" si="0"/>
        <v>11</v>
      </c>
      <c r="C20" s="58" t="s">
        <v>9</v>
      </c>
      <c r="D20" s="60" t="s">
        <v>25</v>
      </c>
      <c r="E20" s="60" t="s">
        <v>130</v>
      </c>
      <c r="F20" s="60" t="s">
        <v>125</v>
      </c>
      <c r="G20" s="60" t="s">
        <v>131</v>
      </c>
      <c r="H20" s="36" t="s">
        <v>121</v>
      </c>
      <c r="I20" s="60" t="s">
        <v>132</v>
      </c>
      <c r="J20" s="36" t="s">
        <v>121</v>
      </c>
      <c r="K20" s="38">
        <v>1</v>
      </c>
      <c r="L20" s="39">
        <f t="shared" ref="L20" si="5">K20*5</f>
        <v>5</v>
      </c>
      <c r="M20" s="38"/>
    </row>
    <row r="21" spans="1:13" ht="15.75" thickBot="1" x14ac:dyDescent="0.3">
      <c r="A21" s="1"/>
      <c r="B21" s="50">
        <f>ROW(B21) - ROW($B$9)</f>
        <v>12</v>
      </c>
      <c r="C21" s="57" t="s">
        <v>127</v>
      </c>
      <c r="D21" s="55" t="s">
        <v>26</v>
      </c>
      <c r="E21" s="59" t="s">
        <v>48</v>
      </c>
      <c r="F21" s="55" t="s">
        <v>125</v>
      </c>
      <c r="G21" s="59" t="s">
        <v>121</v>
      </c>
      <c r="H21" s="55" t="s">
        <v>121</v>
      </c>
      <c r="I21" s="55" t="s">
        <v>121</v>
      </c>
      <c r="J21" s="55" t="s">
        <v>121</v>
      </c>
      <c r="K21" s="55">
        <v>1</v>
      </c>
      <c r="L21" s="59">
        <f>K21*5</f>
        <v>5</v>
      </c>
      <c r="M21" s="56" t="s">
        <v>126</v>
      </c>
    </row>
    <row r="22" spans="1:13" ht="48.75" thickBot="1" x14ac:dyDescent="0.3">
      <c r="A22" s="1"/>
      <c r="B22" s="50">
        <f t="shared" si="0"/>
        <v>13</v>
      </c>
      <c r="C22" s="58" t="s">
        <v>10</v>
      </c>
      <c r="D22" s="38" t="s">
        <v>27</v>
      </c>
      <c r="E22" s="39" t="s">
        <v>49</v>
      </c>
      <c r="F22" s="38" t="s">
        <v>64</v>
      </c>
      <c r="G22" s="39" t="s">
        <v>79</v>
      </c>
      <c r="H22" s="38" t="s">
        <v>121</v>
      </c>
      <c r="I22" s="38" t="s">
        <v>96</v>
      </c>
      <c r="J22" s="36" t="s">
        <v>121</v>
      </c>
      <c r="K22" s="38">
        <v>1</v>
      </c>
      <c r="L22" s="39">
        <f t="shared" ref="L22" si="6">K22*5</f>
        <v>5</v>
      </c>
      <c r="M22" s="38"/>
    </row>
    <row r="23" spans="1:13" ht="24.75" thickBot="1" x14ac:dyDescent="0.3">
      <c r="A23" s="1"/>
      <c r="B23" s="50">
        <f>ROW(B23) - ROW($B$9)</f>
        <v>14</v>
      </c>
      <c r="C23" s="58" t="s">
        <v>10</v>
      </c>
      <c r="D23" s="36" t="s">
        <v>28</v>
      </c>
      <c r="E23" s="37" t="s">
        <v>50</v>
      </c>
      <c r="F23" s="36" t="s">
        <v>65</v>
      </c>
      <c r="G23" s="37" t="s">
        <v>80</v>
      </c>
      <c r="H23" s="36" t="s">
        <v>121</v>
      </c>
      <c r="I23" s="36" t="s">
        <v>97</v>
      </c>
      <c r="J23" s="36" t="s">
        <v>121</v>
      </c>
      <c r="K23" s="36">
        <v>1</v>
      </c>
      <c r="L23" s="37">
        <f>K23*5</f>
        <v>5</v>
      </c>
      <c r="M23" s="36"/>
    </row>
    <row r="24" spans="1:13" ht="15.75" thickBot="1" x14ac:dyDescent="0.3">
      <c r="A24" s="1"/>
      <c r="B24" s="50">
        <f t="shared" si="0"/>
        <v>15</v>
      </c>
      <c r="C24" s="58" t="s">
        <v>11</v>
      </c>
      <c r="D24" s="38" t="s">
        <v>29</v>
      </c>
      <c r="E24" s="39" t="s">
        <v>51</v>
      </c>
      <c r="F24" s="38" t="s">
        <v>66</v>
      </c>
      <c r="G24" s="39" t="s">
        <v>81</v>
      </c>
      <c r="H24" s="38" t="s">
        <v>121</v>
      </c>
      <c r="I24" s="38" t="s">
        <v>91</v>
      </c>
      <c r="J24" s="38" t="s">
        <v>109</v>
      </c>
      <c r="K24" s="38">
        <v>1</v>
      </c>
      <c r="L24" s="39">
        <f t="shared" ref="L24" si="7">K24*5</f>
        <v>5</v>
      </c>
      <c r="M24" s="38"/>
    </row>
    <row r="25" spans="1:13" ht="24.75" thickBot="1" x14ac:dyDescent="0.3">
      <c r="A25" s="1"/>
      <c r="B25" s="50">
        <f>ROW(B25) - ROW($B$9)</f>
        <v>16</v>
      </c>
      <c r="C25" s="57" t="s">
        <v>11</v>
      </c>
      <c r="D25" s="36" t="s">
        <v>136</v>
      </c>
      <c r="E25" s="36" t="s">
        <v>133</v>
      </c>
      <c r="F25" s="36" t="s">
        <v>134</v>
      </c>
      <c r="G25" s="36" t="s">
        <v>135</v>
      </c>
      <c r="H25" s="36" t="s">
        <v>121</v>
      </c>
      <c r="I25" s="36" t="s">
        <v>91</v>
      </c>
      <c r="J25" s="36" t="s">
        <v>110</v>
      </c>
      <c r="K25" s="36">
        <v>12</v>
      </c>
      <c r="L25" s="37">
        <f>K25*5</f>
        <v>60</v>
      </c>
      <c r="M25" s="36"/>
    </row>
    <row r="26" spans="1:13" ht="15.75" thickBot="1" x14ac:dyDescent="0.3">
      <c r="A26" s="1"/>
      <c r="B26" s="50">
        <f t="shared" si="0"/>
        <v>17</v>
      </c>
      <c r="C26" s="58" t="s">
        <v>11</v>
      </c>
      <c r="D26" s="38" t="s">
        <v>137</v>
      </c>
      <c r="E26" s="39" t="s">
        <v>52</v>
      </c>
      <c r="F26" s="38" t="s">
        <v>66</v>
      </c>
      <c r="G26" s="39" t="s">
        <v>82</v>
      </c>
      <c r="H26" s="38" t="s">
        <v>121</v>
      </c>
      <c r="I26" s="38" t="s">
        <v>91</v>
      </c>
      <c r="J26" s="38" t="s">
        <v>111</v>
      </c>
      <c r="K26" s="38">
        <v>3</v>
      </c>
      <c r="L26" s="39">
        <f t="shared" ref="L26" si="8">K26*5</f>
        <v>15</v>
      </c>
      <c r="M26" s="38"/>
    </row>
    <row r="27" spans="1:13" ht="15.75" thickBot="1" x14ac:dyDescent="0.3">
      <c r="A27" s="1"/>
      <c r="B27" s="50">
        <f>ROW(B27) - ROW($B$9)</f>
        <v>18</v>
      </c>
      <c r="C27" s="57" t="s">
        <v>11</v>
      </c>
      <c r="D27" s="36" t="s">
        <v>30</v>
      </c>
      <c r="E27" s="37" t="s">
        <v>53</v>
      </c>
      <c r="F27" s="36" t="s">
        <v>66</v>
      </c>
      <c r="G27" s="37" t="s">
        <v>83</v>
      </c>
      <c r="H27" s="36" t="s">
        <v>121</v>
      </c>
      <c r="I27" s="36" t="s">
        <v>91</v>
      </c>
      <c r="J27" s="36" t="s">
        <v>112</v>
      </c>
      <c r="K27" s="36">
        <v>4</v>
      </c>
      <c r="L27" s="37">
        <f>K27*5</f>
        <v>20</v>
      </c>
      <c r="M27" s="36"/>
    </row>
    <row r="28" spans="1:13" ht="15.75" thickBot="1" x14ac:dyDescent="0.3">
      <c r="A28" s="1"/>
      <c r="B28" s="50">
        <f t="shared" si="0"/>
        <v>19</v>
      </c>
      <c r="C28" s="58" t="s">
        <v>11</v>
      </c>
      <c r="D28" s="38" t="s">
        <v>31</v>
      </c>
      <c r="E28" s="39" t="s">
        <v>54</v>
      </c>
      <c r="F28" s="38" t="s">
        <v>66</v>
      </c>
      <c r="G28" s="39" t="s">
        <v>84</v>
      </c>
      <c r="H28" s="38" t="s">
        <v>121</v>
      </c>
      <c r="I28" s="38" t="s">
        <v>91</v>
      </c>
      <c r="J28" s="38" t="s">
        <v>113</v>
      </c>
      <c r="K28" s="38">
        <v>1</v>
      </c>
      <c r="L28" s="39">
        <f t="shared" ref="L28" si="9">K28*5</f>
        <v>5</v>
      </c>
      <c r="M28" s="38"/>
    </row>
    <row r="29" spans="1:13" ht="15.75" thickBot="1" x14ac:dyDescent="0.3">
      <c r="A29" s="1"/>
      <c r="B29" s="50">
        <f>ROW(B29) - ROW($B$9)</f>
        <v>20</v>
      </c>
      <c r="C29" s="57" t="s">
        <v>11</v>
      </c>
      <c r="D29" s="36" t="s">
        <v>32</v>
      </c>
      <c r="E29" s="37" t="s">
        <v>55</v>
      </c>
      <c r="F29" s="36" t="s">
        <v>66</v>
      </c>
      <c r="G29" s="37" t="s">
        <v>85</v>
      </c>
      <c r="H29" s="36" t="s">
        <v>121</v>
      </c>
      <c r="I29" s="36" t="s">
        <v>91</v>
      </c>
      <c r="J29" s="36" t="s">
        <v>114</v>
      </c>
      <c r="K29" s="36">
        <v>4</v>
      </c>
      <c r="L29" s="37">
        <f>K29*5</f>
        <v>20</v>
      </c>
      <c r="M29" s="36"/>
    </row>
    <row r="30" spans="1:13" ht="15.75" thickBot="1" x14ac:dyDescent="0.3">
      <c r="A30" s="1"/>
      <c r="B30" s="50">
        <f t="shared" si="0"/>
        <v>21</v>
      </c>
      <c r="C30" s="58" t="s">
        <v>11</v>
      </c>
      <c r="D30" s="38" t="s">
        <v>33</v>
      </c>
      <c r="E30" s="39" t="s">
        <v>56</v>
      </c>
      <c r="F30" s="38" t="s">
        <v>66</v>
      </c>
      <c r="G30" s="39" t="s">
        <v>86</v>
      </c>
      <c r="H30" s="38" t="s">
        <v>121</v>
      </c>
      <c r="I30" s="38" t="s">
        <v>91</v>
      </c>
      <c r="J30" s="38" t="s">
        <v>115</v>
      </c>
      <c r="K30" s="38">
        <v>2</v>
      </c>
      <c r="L30" s="39">
        <f t="shared" ref="L30" si="10">K30*5</f>
        <v>10</v>
      </c>
      <c r="M30" s="38"/>
    </row>
    <row r="31" spans="1:13" ht="15.75" thickBot="1" x14ac:dyDescent="0.3">
      <c r="A31" s="1"/>
      <c r="B31" s="50">
        <f>ROW(B31) - ROW($B$9)</f>
        <v>22</v>
      </c>
      <c r="C31" s="58" t="s">
        <v>11</v>
      </c>
      <c r="D31" s="36" t="s">
        <v>34</v>
      </c>
      <c r="E31" s="37" t="s">
        <v>57</v>
      </c>
      <c r="F31" s="36" t="s">
        <v>66</v>
      </c>
      <c r="G31" s="37" t="s">
        <v>87</v>
      </c>
      <c r="H31" s="36" t="s">
        <v>121</v>
      </c>
      <c r="I31" s="36" t="s">
        <v>91</v>
      </c>
      <c r="J31" s="36" t="s">
        <v>116</v>
      </c>
      <c r="K31" s="36">
        <v>1</v>
      </c>
      <c r="L31" s="37">
        <f>K31*5</f>
        <v>5</v>
      </c>
      <c r="M31" s="36"/>
    </row>
    <row r="32" spans="1:13" ht="15.75" thickBot="1" x14ac:dyDescent="0.3">
      <c r="A32" s="1"/>
      <c r="B32" s="50">
        <f t="shared" si="0"/>
        <v>23</v>
      </c>
      <c r="C32" s="58" t="s">
        <v>11</v>
      </c>
      <c r="D32" s="38" t="s">
        <v>35</v>
      </c>
      <c r="E32" s="39" t="s">
        <v>58</v>
      </c>
      <c r="F32" s="38" t="s">
        <v>66</v>
      </c>
      <c r="G32" s="39" t="s">
        <v>88</v>
      </c>
      <c r="H32" s="38" t="s">
        <v>121</v>
      </c>
      <c r="I32" s="38" t="s">
        <v>91</v>
      </c>
      <c r="J32" s="38" t="s">
        <v>117</v>
      </c>
      <c r="K32" s="38">
        <v>1</v>
      </c>
      <c r="L32" s="39">
        <f t="shared" ref="L32:L33" si="11">K32*5</f>
        <v>5</v>
      </c>
      <c r="M32" s="38"/>
    </row>
    <row r="33" spans="1:13" ht="15.75" thickBot="1" x14ac:dyDescent="0.3">
      <c r="A33" s="1"/>
      <c r="B33" s="50">
        <f t="shared" si="0"/>
        <v>24</v>
      </c>
      <c r="C33" s="57" t="s">
        <v>11</v>
      </c>
      <c r="D33" s="36" t="s">
        <v>138</v>
      </c>
      <c r="E33" s="36" t="s">
        <v>139</v>
      </c>
      <c r="F33" s="36" t="s">
        <v>140</v>
      </c>
      <c r="G33" s="36" t="s">
        <v>141</v>
      </c>
      <c r="H33" s="36" t="s">
        <v>121</v>
      </c>
      <c r="I33" s="36" t="s">
        <v>91</v>
      </c>
      <c r="J33" s="36" t="s">
        <v>142</v>
      </c>
      <c r="K33" s="36">
        <v>1</v>
      </c>
      <c r="L33" s="39">
        <f t="shared" si="11"/>
        <v>5</v>
      </c>
      <c r="M33" s="36"/>
    </row>
    <row r="34" spans="1:13" ht="15.75" thickBot="1" x14ac:dyDescent="0.3">
      <c r="A34" s="1"/>
      <c r="B34" s="50">
        <f>ROW(B34) - ROW($B$9)</f>
        <v>25</v>
      </c>
      <c r="C34" s="57" t="s">
        <v>12</v>
      </c>
      <c r="D34" s="36" t="s">
        <v>36</v>
      </c>
      <c r="E34" s="37" t="s">
        <v>59</v>
      </c>
      <c r="F34" s="36" t="s">
        <v>67</v>
      </c>
      <c r="G34" s="37" t="s">
        <v>89</v>
      </c>
      <c r="H34" s="36" t="s">
        <v>121</v>
      </c>
      <c r="I34" s="36" t="s">
        <v>98</v>
      </c>
      <c r="J34" s="36" t="s">
        <v>121</v>
      </c>
      <c r="K34" s="36">
        <v>1</v>
      </c>
      <c r="L34" s="37">
        <f>K34*5</f>
        <v>5</v>
      </c>
      <c r="M34" s="36"/>
    </row>
    <row r="35" spans="1:13" ht="15.75" thickBot="1" x14ac:dyDescent="0.3">
      <c r="A35" s="1"/>
      <c r="B35" s="50">
        <f>ROW(B35) - ROW($B$9)</f>
        <v>26</v>
      </c>
      <c r="C35" s="57" t="s">
        <v>14</v>
      </c>
      <c r="D35" s="36" t="s">
        <v>37</v>
      </c>
      <c r="E35" s="37" t="s">
        <v>60</v>
      </c>
      <c r="F35" s="36" t="s">
        <v>125</v>
      </c>
      <c r="G35" s="37" t="s">
        <v>68</v>
      </c>
      <c r="H35" s="36" t="s">
        <v>121</v>
      </c>
      <c r="I35" s="36" t="s">
        <v>100</v>
      </c>
      <c r="J35" s="36" t="s">
        <v>118</v>
      </c>
      <c r="K35" s="36">
        <v>1</v>
      </c>
      <c r="L35" s="37">
        <f>K35*5</f>
        <v>5</v>
      </c>
      <c r="M35" s="36"/>
    </row>
    <row r="36" spans="1:13" ht="15.75" thickBot="1" x14ac:dyDescent="0.3">
      <c r="A36" s="1"/>
      <c r="B36" s="50">
        <f>ROW(B36) - ROW($B$9)</f>
        <v>27</v>
      </c>
      <c r="C36" s="57" t="s">
        <v>143</v>
      </c>
      <c r="D36" s="36" t="s">
        <v>121</v>
      </c>
      <c r="E36" s="36" t="s">
        <v>144</v>
      </c>
      <c r="F36" s="36" t="s">
        <v>121</v>
      </c>
      <c r="G36" s="36" t="s">
        <v>145</v>
      </c>
      <c r="H36" s="61" t="s">
        <v>121</v>
      </c>
      <c r="I36" s="36" t="s">
        <v>146</v>
      </c>
      <c r="J36" s="36" t="s">
        <v>121</v>
      </c>
      <c r="K36" s="36">
        <v>1</v>
      </c>
      <c r="L36" s="61">
        <v>5</v>
      </c>
      <c r="M36" s="36"/>
    </row>
    <row r="37" spans="1:13" ht="19.5" thickBot="1" x14ac:dyDescent="0.3">
      <c r="A37" s="1"/>
      <c r="B37" s="31"/>
      <c r="C37" s="48"/>
      <c r="D37" s="32"/>
      <c r="E37" s="33"/>
      <c r="F37" s="34"/>
      <c r="G37" s="35"/>
      <c r="H37" s="35"/>
      <c r="I37" s="34"/>
      <c r="J37" s="35"/>
      <c r="K37" s="35"/>
      <c r="L37" s="62"/>
      <c r="M37" s="41"/>
    </row>
    <row r="38" spans="1:13" ht="19.5" thickBot="1" x14ac:dyDescent="0.3">
      <c r="A38" s="1"/>
      <c r="B38" s="24"/>
      <c r="C38" s="49"/>
      <c r="D38" s="8"/>
      <c r="E38" s="9"/>
      <c r="F38" s="9"/>
      <c r="G38" s="9"/>
      <c r="H38" s="9"/>
      <c r="I38" s="9"/>
      <c r="J38" s="9"/>
      <c r="K38" s="9"/>
      <c r="L38" s="62"/>
      <c r="M38" s="42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2023-12-22T16:41:33Z</dcterms:modified>
</cp:coreProperties>
</file>