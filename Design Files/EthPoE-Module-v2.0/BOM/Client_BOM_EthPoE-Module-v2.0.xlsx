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53222"/>
  <mc:AlternateContent xmlns:mc="http://schemas.openxmlformats.org/markup-compatibility/2006">
    <mc:Choice Requires="x15">
      <x15ac:absPath xmlns:x15ac="http://schemas.microsoft.com/office/spreadsheetml/2010/11/ac" url="D:\eSpark-Consultants\chrisbyrd-esp32iotproduct\Design Files\EthPoE-Module-v2.0\BOM\"/>
    </mc:Choice>
  </mc:AlternateContent>
  <bookViews>
    <workbookView xWindow="28680" yWindow="-120" windowWidth="29040" windowHeight="15840"/>
  </bookViews>
  <sheets>
    <sheet name="Sheet1" sheetId="1" r:id="rId1"/>
  </sheets>
  <calcPr calcId="162913"/>
</workbook>
</file>

<file path=xl/calcChain.xml><?xml version="1.0" encoding="utf-8"?>
<calcChain xmlns="http://schemas.openxmlformats.org/spreadsheetml/2006/main">
  <c r="B51" i="1" l="1"/>
  <c r="B50" i="1"/>
  <c r="B49" i="1"/>
  <c r="B48" i="1"/>
  <c r="B47" i="1"/>
  <c r="B46" i="1"/>
  <c r="B45" i="1"/>
  <c r="B44" i="1"/>
  <c r="B43" i="1"/>
  <c r="B42" i="1"/>
  <c r="B41" i="1"/>
  <c r="B40" i="1"/>
  <c r="B39" i="1"/>
  <c r="B38" i="1"/>
  <c r="B37" i="1"/>
  <c r="B36" i="1"/>
  <c r="B35" i="1"/>
  <c r="B34" i="1"/>
  <c r="B33" i="1"/>
  <c r="B32" i="1"/>
  <c r="B31" i="1"/>
  <c r="B30" i="1"/>
  <c r="B29" i="1"/>
  <c r="B28" i="1"/>
  <c r="B27" i="1"/>
  <c r="B26" i="1"/>
  <c r="B25" i="1"/>
  <c r="B24" i="1"/>
  <c r="B23" i="1"/>
  <c r="B22" i="1"/>
  <c r="B21" i="1"/>
  <c r="B20" i="1"/>
  <c r="B19" i="1"/>
  <c r="B18" i="1"/>
  <c r="B17" i="1"/>
  <c r="B16" i="1"/>
  <c r="B15" i="1"/>
  <c r="B14" i="1"/>
  <c r="B13" i="1"/>
  <c r="B12" i="1"/>
  <c r="B11" i="1"/>
  <c r="B10" i="1"/>
  <c r="K51" i="1" l="1"/>
  <c r="K50" i="1"/>
  <c r="N50" i="1" s="1"/>
  <c r="K49" i="1"/>
  <c r="K48" i="1"/>
  <c r="K47" i="1"/>
  <c r="N47" i="1" s="1"/>
  <c r="K46" i="1"/>
  <c r="N46" i="1" s="1"/>
  <c r="K45" i="1"/>
  <c r="N45" i="1" s="1"/>
  <c r="K44" i="1"/>
  <c r="N44" i="1" s="1"/>
  <c r="K43" i="1"/>
  <c r="N43" i="1" s="1"/>
  <c r="K42" i="1"/>
  <c r="N42" i="1" s="1"/>
  <c r="K41" i="1"/>
  <c r="N41" i="1" s="1"/>
  <c r="K40" i="1"/>
  <c r="N40" i="1" s="1"/>
  <c r="K39" i="1"/>
  <c r="N39" i="1" s="1"/>
  <c r="K38" i="1"/>
  <c r="N38" i="1" s="1"/>
  <c r="K37" i="1"/>
  <c r="N37" i="1" s="1"/>
  <c r="K36" i="1"/>
  <c r="N36" i="1" s="1"/>
  <c r="K35" i="1"/>
  <c r="N35" i="1" s="1"/>
  <c r="K34" i="1"/>
  <c r="K33" i="1"/>
  <c r="N33" i="1" s="1"/>
  <c r="K32" i="1"/>
  <c r="N32" i="1" s="1"/>
  <c r="K31" i="1"/>
  <c r="N31" i="1" s="1"/>
  <c r="K30" i="1"/>
  <c r="N30" i="1" s="1"/>
  <c r="K29" i="1"/>
  <c r="K28" i="1"/>
  <c r="N28" i="1" s="1"/>
  <c r="K27" i="1"/>
  <c r="K26" i="1"/>
  <c r="K25" i="1"/>
  <c r="N25" i="1" s="1"/>
  <c r="K24" i="1"/>
  <c r="K23" i="1"/>
  <c r="N23" i="1" s="1"/>
  <c r="K22" i="1"/>
  <c r="K21" i="1"/>
  <c r="K20" i="1"/>
  <c r="K19" i="1"/>
  <c r="N19" i="1" s="1"/>
  <c r="K18" i="1"/>
  <c r="N18" i="1" s="1"/>
  <c r="K17" i="1"/>
  <c r="K16" i="1"/>
  <c r="N16" i="1" s="1"/>
  <c r="K15" i="1"/>
  <c r="N15" i="1" s="1"/>
  <c r="K14" i="1"/>
  <c r="N14" i="1" s="1"/>
  <c r="K13" i="1"/>
  <c r="N13" i="1" s="1"/>
  <c r="K12" i="1"/>
  <c r="N12" i="1" s="1"/>
  <c r="K11" i="1" l="1"/>
  <c r="K10" i="1"/>
  <c r="N10" i="1" s="1"/>
  <c r="N52" i="1" s="1"/>
  <c r="N53" i="1" s="1"/>
</calcChain>
</file>

<file path=xl/sharedStrings.xml><?xml version="1.0" encoding="utf-8"?>
<sst xmlns="http://schemas.openxmlformats.org/spreadsheetml/2006/main" count="374" uniqueCount="232">
  <si>
    <t>Component list</t>
  </si>
  <si>
    <t>Source Data From:</t>
  </si>
  <si>
    <t>Project:</t>
  </si>
  <si>
    <t>Variant:</t>
  </si>
  <si>
    <t>#</t>
  </si>
  <si>
    <t>None</t>
  </si>
  <si>
    <t>Item Type</t>
  </si>
  <si>
    <t>Capacitor</t>
  </si>
  <si>
    <t>Diode</t>
  </si>
  <si>
    <t>Fuse</t>
  </si>
  <si>
    <t>Ferrite Bead</t>
  </si>
  <si>
    <t>Ethernet Connector</t>
  </si>
  <si>
    <t>Inductor</t>
  </si>
  <si>
    <t>Mosfet</t>
  </si>
  <si>
    <t>Resistor</t>
  </si>
  <si>
    <t>IC</t>
  </si>
  <si>
    <t>TVS Diode</t>
  </si>
  <si>
    <t>Crystal</t>
  </si>
  <si>
    <t>Designator</t>
  </si>
  <si>
    <t>C1, C3, C8, C9, C10, C11, C12, C13, C14, C17</t>
  </si>
  <si>
    <t>C2</t>
  </si>
  <si>
    <t>C4, C24, C25</t>
  </si>
  <si>
    <t>C5</t>
  </si>
  <si>
    <t>C6</t>
  </si>
  <si>
    <t>C7, C15, C20</t>
  </si>
  <si>
    <t>C16</t>
  </si>
  <si>
    <t>C18, C19</t>
  </si>
  <si>
    <t>C21, C22</t>
  </si>
  <si>
    <t>C23</t>
  </si>
  <si>
    <t>D1</t>
  </si>
  <si>
    <t>D2</t>
  </si>
  <si>
    <t>F1</t>
  </si>
  <si>
    <t>FB1, FB2</t>
  </si>
  <si>
    <t>J1</t>
  </si>
  <si>
    <t>J2</t>
  </si>
  <si>
    <t>L1</t>
  </si>
  <si>
    <t>Q1</t>
  </si>
  <si>
    <t>Q2</t>
  </si>
  <si>
    <t>R1</t>
  </si>
  <si>
    <t>R2</t>
  </si>
  <si>
    <t>R3</t>
  </si>
  <si>
    <t>R4</t>
  </si>
  <si>
    <t>R5</t>
  </si>
  <si>
    <t>R6</t>
  </si>
  <si>
    <t>R7</t>
  </si>
  <si>
    <t>R8</t>
  </si>
  <si>
    <t>R9</t>
  </si>
  <si>
    <t>R13</t>
  </si>
  <si>
    <t>R15, R16</t>
  </si>
  <si>
    <t>R18, R19, R27, R28</t>
  </si>
  <si>
    <t>R20</t>
  </si>
  <si>
    <t>R21, R22, R24, R26</t>
  </si>
  <si>
    <t>R32</t>
  </si>
  <si>
    <t>R40</t>
  </si>
  <si>
    <t>U1</t>
  </si>
  <si>
    <t>U2</t>
  </si>
  <si>
    <t>U3</t>
  </si>
  <si>
    <t>U4</t>
  </si>
  <si>
    <t>X1</t>
  </si>
  <si>
    <t>Description</t>
  </si>
  <si>
    <t>CAP CER 0.1UF 100V X5R 0402</t>
  </si>
  <si>
    <t>15uF 63V ±20% SMD,D6.3xL5.7mm Aluminum Electrolytic Capacitors - SMD ROHS</t>
  </si>
  <si>
    <t>CAP CER 12PF 100V C0G/NP0 0603</t>
  </si>
  <si>
    <t>CAP TANT 470UF 10% 10V 2917</t>
  </si>
  <si>
    <t>CAP CER 220PF 50V C0G/NPO 0402</t>
  </si>
  <si>
    <t>CAP CER 0.022UF 16V X5R 0402</t>
  </si>
  <si>
    <t>CAP CER 10UF 25V X5R 0603</t>
  </si>
  <si>
    <t>50V 6.8nF X7R ±10% 0603</t>
  </si>
  <si>
    <t>CAP CER 10000PF 100V X7R 0603</t>
  </si>
  <si>
    <t>CAP CER, 4.7 µF, 25 V, 0603</t>
  </si>
  <si>
    <t>93.6V 64.4V 58V SMA(DO-214AC) TVS ROHS</t>
  </si>
  <si>
    <t>SCHOTTKY DIODE SMB 100V 5A</t>
  </si>
  <si>
    <t>6V 1A 100A 1.95A - Resettable Fuses ROHS</t>
  </si>
  <si>
    <t>FERRITE BEAD 600 OHM 1210 1LN</t>
  </si>
  <si>
    <t>PCI Express Mini Card (Mini PCIe)</t>
  </si>
  <si>
    <t>33uH 2.3A ±20% SMD,6.6x7.3mm Inductors</t>
  </si>
  <si>
    <t>40V 100mW 100@10mA,1V 200mA 300MHz 300mV@50mA,5mA NPN -55℃~+150℃@(Tj) SOT-723 Bipolar Transistors - BJT ROHS</t>
  </si>
  <si>
    <t>MOSFET P-CH 12V 2.6A SUPERSOT3</t>
  </si>
  <si>
    <t>50mW ±5% -100ppm/℃~+350ppm/℃ 4.7Ω 0201 Chip Resistor - Surface Mount ROHS</t>
  </si>
  <si>
    <t>RES 24.9K OHM 0.5% 1/20W 0201</t>
  </si>
  <si>
    <t>RES 4.7K OHM 1% 1/16W 0402</t>
  </si>
  <si>
    <t>RES 0.03 OHM 1% 1/2W 0805</t>
  </si>
  <si>
    <t>RES 180K OHM 5% 1/20W 0201</t>
  </si>
  <si>
    <t>4.42kΩ 0201 Chip Resistor - Surface Mount ROHS</t>
  </si>
  <si>
    <t>RES SMD 22 OHM 5% 1/3W 0603</t>
  </si>
  <si>
    <t>RES 300K OHM 1% 1/20W 0201</t>
  </si>
  <si>
    <t>RES 57.6K OHM 0.5% 1/20W 0201</t>
  </si>
  <si>
    <t>RES SMD 10K OHM 1% 1/20W 0201</t>
  </si>
  <si>
    <t>RES SMD 1K OHM 1% 1/10W 0603</t>
  </si>
  <si>
    <t>RES  SMD 330R 100 mW 0603</t>
  </si>
  <si>
    <t>RES SMD 0R, 1%, 0.1W, 0603</t>
  </si>
  <si>
    <t>RES SMD 49.9 OHM 1% 1/20W 0201</t>
  </si>
  <si>
    <t>RES SMD 10 OHM 1% 1/10W 0603</t>
  </si>
  <si>
    <t>RES SMD 0603 33 Ohm 1% 1/10W</t>
  </si>
  <si>
    <t>RES SMD 1M OHM 1% 1/10W 0603</t>
  </si>
  <si>
    <t>RES SMD 12.4K OHM 1% 1/10W 0603</t>
  </si>
  <si>
    <t>Step-down type SOIC-8-EP DC-DC Converters ROHS</t>
  </si>
  <si>
    <t>SPI LQFP-48(7x7) Ethernet ICs ROHS</t>
  </si>
  <si>
    <t>TVS DIODE 5.5VWM 8.5VC SOT23-5</t>
  </si>
  <si>
    <t>SMD3225-4P Crystals ROHS</t>
  </si>
  <si>
    <t>Footprint</t>
  </si>
  <si>
    <t>Cap-0402</t>
  </si>
  <si>
    <t>VMMC0571J150MV</t>
  </si>
  <si>
    <t>Cap-0603</t>
  </si>
  <si>
    <t>Case-E</t>
  </si>
  <si>
    <t>SMA</t>
  </si>
  <si>
    <t>SMB_</t>
  </si>
  <si>
    <t>Fuse-0805</t>
  </si>
  <si>
    <t>IND-1210</t>
  </si>
  <si>
    <t>Mini PCIE Pad</t>
  </si>
  <si>
    <t>SOT-723</t>
  </si>
  <si>
    <t>SOT-23</t>
  </si>
  <si>
    <t>Res-0201</t>
  </si>
  <si>
    <t>Res-0402</t>
  </si>
  <si>
    <t>RES-0805</t>
  </si>
  <si>
    <t>Res-0603</t>
  </si>
  <si>
    <t>8-SOIC-EP</t>
  </si>
  <si>
    <t>48-LQFP (7x7)_</t>
  </si>
  <si>
    <t>SOT-23-5</t>
  </si>
  <si>
    <t>NX3225GA-25MHZ-STD-CRG-2</t>
  </si>
  <si>
    <t>Manufacturer Part Number</t>
  </si>
  <si>
    <t>GRM155R62A104KE14D</t>
  </si>
  <si>
    <t>GCM1885C2A120JA16D</t>
  </si>
  <si>
    <t>TAJE477K010RNJ</t>
  </si>
  <si>
    <t>CC0402JRNPO9BN221</t>
  </si>
  <si>
    <t>CC0402KRX5R7BB223</t>
  </si>
  <si>
    <t>C1608X5R1E106M080AC</t>
  </si>
  <si>
    <t>0603B682K500NT</t>
  </si>
  <si>
    <t>AC0603KRX7R0BB103</t>
  </si>
  <si>
    <t>C1608X5R1E475KT000E</t>
  </si>
  <si>
    <t>SMAJ58A</t>
  </si>
  <si>
    <t>SS510B</t>
  </si>
  <si>
    <t>JK-SMD0805-100-6</t>
  </si>
  <si>
    <t>FBMH3225HM601NT</t>
  </si>
  <si>
    <t>MDA7050-330M</t>
  </si>
  <si>
    <t>MMBT3904M</t>
  </si>
  <si>
    <t>FDN306P</t>
  </si>
  <si>
    <t>NQ01WMJ047JTEE</t>
  </si>
  <si>
    <t>RC0201DR-0724K9L</t>
  </si>
  <si>
    <t>RC0402FR-074K7L</t>
  </si>
  <si>
    <t>PE0805FRF470R03L</t>
  </si>
  <si>
    <t>RC0201JR-07180KL</t>
  </si>
  <si>
    <t>0201WMF4421TEE</t>
  </si>
  <si>
    <t>CRCW060322R0JNEAHP</t>
  </si>
  <si>
    <t>RC0201FR-07300KL</t>
  </si>
  <si>
    <t>RC0201DR-0757K6L</t>
  </si>
  <si>
    <t>RC0201FR-0710KL</t>
  </si>
  <si>
    <t>RC0603FR-071KL</t>
  </si>
  <si>
    <t>RC0603JR-07330RL</t>
  </si>
  <si>
    <t>RC0603FR-070RL</t>
  </si>
  <si>
    <t>RC0201FR-0749R9L</t>
  </si>
  <si>
    <t>RC0603FR-0710RL</t>
  </si>
  <si>
    <t>RC0603FR-0733RL</t>
  </si>
  <si>
    <t>RC0603FR-071ML</t>
  </si>
  <si>
    <t>RC0603FR-0712K4L</t>
  </si>
  <si>
    <t>TX4138</t>
  </si>
  <si>
    <t>W5500</t>
  </si>
  <si>
    <t>SP0504BAHTG</t>
  </si>
  <si>
    <t>Manufacturer</t>
  </si>
  <si>
    <t>Murata</t>
  </si>
  <si>
    <t>Ymin</t>
  </si>
  <si>
    <t>Kyocera AVX</t>
  </si>
  <si>
    <t>Yageo</t>
  </si>
  <si>
    <t>TDK</t>
  </si>
  <si>
    <t>FH</t>
  </si>
  <si>
    <t>Yangzhou Yangjie Elec Tech</t>
  </si>
  <si>
    <t>MDD</t>
  </si>
  <si>
    <t>Jinrui Electronic Materials Co.</t>
  </si>
  <si>
    <t>Taiyo Yuden</t>
  </si>
  <si>
    <t>KOHERelec</t>
  </si>
  <si>
    <t>TECH PUBLIC</t>
  </si>
  <si>
    <t>ON Semiconductor / Fairchild</t>
  </si>
  <si>
    <t>UNI-ROYAL</t>
  </si>
  <si>
    <t>Vishay Dale</t>
  </si>
  <si>
    <t>Texas Instruments</t>
  </si>
  <si>
    <t>XDS</t>
  </si>
  <si>
    <t>WIZNET</t>
  </si>
  <si>
    <t>Littelfuse</t>
  </si>
  <si>
    <t>NDK</t>
  </si>
  <si>
    <t>0.1uf</t>
  </si>
  <si>
    <t>15uF</t>
  </si>
  <si>
    <t>12pF</t>
  </si>
  <si>
    <t>470uF</t>
  </si>
  <si>
    <t>220pF</t>
  </si>
  <si>
    <t>22nF</t>
  </si>
  <si>
    <t>10uF</t>
  </si>
  <si>
    <t>6.8nF</t>
  </si>
  <si>
    <t>10nF</t>
  </si>
  <si>
    <t>4.7uF</t>
  </si>
  <si>
    <t>33uH</t>
  </si>
  <si>
    <t>4.7R</t>
  </si>
  <si>
    <t>24.9K</t>
  </si>
  <si>
    <t>4.7K</t>
  </si>
  <si>
    <t>30mR</t>
  </si>
  <si>
    <t>180K</t>
  </si>
  <si>
    <t>4.42k</t>
  </si>
  <si>
    <t>22R</t>
  </si>
  <si>
    <t>300K</t>
  </si>
  <si>
    <t>57.6k</t>
  </si>
  <si>
    <t>10K</t>
  </si>
  <si>
    <t>1K</t>
  </si>
  <si>
    <t>330R</t>
  </si>
  <si>
    <t>0R</t>
  </si>
  <si>
    <t>49.9R</t>
  </si>
  <si>
    <t>10R</t>
  </si>
  <si>
    <t>33R</t>
  </si>
  <si>
    <t>1M</t>
  </si>
  <si>
    <t>12.4K</t>
  </si>
  <si>
    <t>Custom</t>
  </si>
  <si>
    <t>Mini PCIe Connector</t>
  </si>
  <si>
    <t>-</t>
  </si>
  <si>
    <t>Value</t>
  </si>
  <si>
    <t>Quantity (5 Boards)</t>
  </si>
  <si>
    <t>Remarks</t>
  </si>
  <si>
    <t>Links</t>
  </si>
  <si>
    <t>Unit Cost (5 Boards)</t>
  </si>
  <si>
    <t>Total Cost (5 Boards)</t>
  </si>
  <si>
    <t>Digikey</t>
  </si>
  <si>
    <t>Quantity (1 Board)</t>
  </si>
  <si>
    <t>Bill of Materials for Project [EthPoE-Module-v2.0.]</t>
  </si>
  <si>
    <t>EthPoE-Module-v2.0.</t>
  </si>
  <si>
    <t>EthPoE-Module-v2.0</t>
  </si>
  <si>
    <t>Custom Supplier</t>
  </si>
  <si>
    <t>CONN JACK 1PORT 100 BASE-T PCB</t>
  </si>
  <si>
    <t>ARJM11D7-114-AB-EW2</t>
  </si>
  <si>
    <t>Abracon</t>
  </si>
  <si>
    <t>Mouser</t>
  </si>
  <si>
    <t>IC POE CNTRL 1 CHANNEL 8SOIC</t>
  </si>
  <si>
    <t>SOIC-8</t>
  </si>
  <si>
    <t>TPS2375DR</t>
  </si>
  <si>
    <t>R10, R14, R23, R25, R29, R30, R31, R34, R35, R36, R37, R38, R39</t>
  </si>
  <si>
    <t>R12, R17, R33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</si>
</sst>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164" formatCode="[$-409]h:mm:ss\ AM/PM;@"/>
    <numFmt numFmtId="165" formatCode="&quot;$&quot;#,##0.0000"/>
    <numFmt numFmtId="166" formatCode="&quot;$&quot;#,##0.00"/>
  </numFmts>
  <fonts count="22" x14ac:knownFonts="1">
    <font>
      <sz val="11"/>
      <color theme="1"/>
      <name val="Calibri"/>
      <family val="2"/>
      <scheme val="minor"/>
    </font>
    <font>
      <sz val="10"/>
      <color indexed="13"/>
      <name val="Arial"/>
      <family val="2"/>
    </font>
    <font>
      <b/>
      <sz val="24"/>
      <color indexed="10"/>
      <name val="Arial"/>
      <family val="2"/>
    </font>
    <font>
      <b/>
      <sz val="10"/>
      <color indexed="10"/>
      <name val="Arial"/>
      <family val="2"/>
    </font>
    <font>
      <sz val="10"/>
      <color indexed="10"/>
      <name val="Arial"/>
      <family val="2"/>
    </font>
    <font>
      <sz val="9"/>
      <color indexed="10"/>
      <name val="Arial"/>
      <family val="2"/>
    </font>
    <font>
      <b/>
      <sz val="12"/>
      <color theme="0"/>
      <name val="Arial"/>
      <family val="2"/>
    </font>
    <font>
      <b/>
      <sz val="10"/>
      <color theme="0"/>
      <name val="Arial"/>
      <family val="2"/>
    </font>
    <font>
      <sz val="10"/>
      <color theme="0"/>
      <name val="Arial"/>
      <family val="2"/>
    </font>
    <font>
      <sz val="9"/>
      <color theme="0"/>
      <name val="Arial"/>
      <family val="2"/>
    </font>
    <font>
      <b/>
      <sz val="10"/>
      <color theme="0"/>
      <name val="Calibri"/>
      <family val="2"/>
      <scheme val="minor"/>
    </font>
    <font>
      <sz val="10"/>
      <name val="Calibri"/>
      <family val="2"/>
      <scheme val="minor"/>
    </font>
    <font>
      <sz val="10"/>
      <color theme="0"/>
      <name val="Calibri"/>
      <family val="2"/>
      <scheme val="minor"/>
    </font>
    <font>
      <b/>
      <sz val="24"/>
      <color theme="0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9"/>
      <color theme="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9"/>
      <name val="Calibri"/>
      <family val="2"/>
      <scheme val="minor"/>
    </font>
    <font>
      <b/>
      <sz val="10"/>
      <name val="Calibri"/>
      <family val="2"/>
      <scheme val="minor"/>
    </font>
    <font>
      <strike/>
      <sz val="9"/>
      <color rgb="FFFF0000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9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03A4CB"/>
        <bgColor indexed="64"/>
      </patternFill>
    </fill>
    <fill>
      <patternFill patternType="solid">
        <fgColor theme="1" tint="0.499984740745262"/>
        <bgColor indexed="64"/>
      </patternFill>
    </fill>
  </fills>
  <borders count="19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</borders>
  <cellStyleXfs count="2">
    <xf numFmtId="0" fontId="0" fillId="0" borderId="0"/>
    <xf numFmtId="0" fontId="20" fillId="0" borderId="0" applyNumberFormat="0" applyFill="0" applyBorder="0" applyAlignment="0" applyProtection="0"/>
  </cellStyleXfs>
  <cellXfs count="71">
    <xf numFmtId="0" fontId="0" fillId="0" borderId="0" xfId="0"/>
    <xf numFmtId="0" fontId="1" fillId="2" borderId="0" xfId="0" applyFont="1" applyFill="1"/>
    <xf numFmtId="0" fontId="1" fillId="2" borderId="1" xfId="0" applyFont="1" applyFill="1" applyBorder="1"/>
    <xf numFmtId="0" fontId="6" fillId="3" borderId="11" xfId="0" applyFont="1" applyFill="1" applyBorder="1" applyAlignment="1">
      <alignment vertical="center"/>
    </xf>
    <xf numFmtId="0" fontId="7" fillId="3" borderId="0" xfId="0" applyFont="1" applyFill="1"/>
    <xf numFmtId="0" fontId="8" fillId="3" borderId="5" xfId="0" applyFont="1" applyFill="1" applyBorder="1"/>
    <xf numFmtId="0" fontId="8" fillId="3" borderId="6" xfId="0" applyFont="1" applyFill="1" applyBorder="1"/>
    <xf numFmtId="0" fontId="9" fillId="3" borderId="0" xfId="0" applyFont="1" applyFill="1"/>
    <xf numFmtId="0" fontId="10" fillId="3" borderId="3" xfId="0" applyFont="1" applyFill="1" applyBorder="1" applyAlignment="1" applyProtection="1">
      <alignment horizontal="left" vertical="top"/>
      <protection locked="0"/>
    </xf>
    <xf numFmtId="0" fontId="11" fillId="3" borderId="3" xfId="0" applyFont="1" applyFill="1" applyBorder="1" applyAlignment="1" applyProtection="1">
      <alignment horizontal="left" vertical="top"/>
      <protection locked="0"/>
    </xf>
    <xf numFmtId="0" fontId="13" fillId="3" borderId="10" xfId="0" applyFont="1" applyFill="1" applyBorder="1" applyAlignment="1">
      <alignment vertical="center"/>
    </xf>
    <xf numFmtId="0" fontId="14" fillId="3" borderId="11" xfId="0" applyFont="1" applyFill="1" applyBorder="1" applyAlignment="1">
      <alignment vertical="center"/>
    </xf>
    <xf numFmtId="0" fontId="10" fillId="3" borderId="0" xfId="0" applyFont="1" applyFill="1"/>
    <xf numFmtId="0" fontId="12" fillId="3" borderId="6" xfId="0" applyFont="1" applyFill="1" applyBorder="1"/>
    <xf numFmtId="0" fontId="12" fillId="3" borderId="5" xfId="0" applyFont="1" applyFill="1" applyBorder="1"/>
    <xf numFmtId="0" fontId="10" fillId="3" borderId="5" xfId="0" applyFont="1" applyFill="1" applyBorder="1"/>
    <xf numFmtId="0" fontId="12" fillId="3" borderId="5" xfId="0" applyFont="1" applyFill="1" applyBorder="1" applyAlignment="1">
      <alignment horizontal="left"/>
    </xf>
    <xf numFmtId="0" fontId="15" fillId="3" borderId="0" xfId="0" applyFont="1" applyFill="1"/>
    <xf numFmtId="0" fontId="12" fillId="3" borderId="1" xfId="0" applyFont="1" applyFill="1" applyBorder="1" applyAlignment="1">
      <alignment horizontal="left"/>
    </xf>
    <xf numFmtId="0" fontId="1" fillId="2" borderId="0" xfId="0" applyFont="1" applyFill="1" applyAlignment="1">
      <alignment horizontal="center"/>
    </xf>
    <xf numFmtId="0" fontId="2" fillId="3" borderId="9" xfId="0" applyFont="1" applyFill="1" applyBorder="1" applyAlignment="1">
      <alignment horizontal="center" vertical="center"/>
    </xf>
    <xf numFmtId="0" fontId="3" fillId="3" borderId="7" xfId="0" applyFont="1" applyFill="1" applyBorder="1" applyAlignment="1">
      <alignment horizontal="center"/>
    </xf>
    <xf numFmtId="0" fontId="3" fillId="3" borderId="4" xfId="0" applyFont="1" applyFill="1" applyBorder="1" applyAlignment="1">
      <alignment horizontal="center"/>
    </xf>
    <xf numFmtId="0" fontId="5" fillId="3" borderId="7" xfId="0" applyFont="1" applyFill="1" applyBorder="1" applyAlignment="1">
      <alignment horizontal="center"/>
    </xf>
    <xf numFmtId="0" fontId="12" fillId="3" borderId="13" xfId="0" applyFont="1" applyFill="1" applyBorder="1" applyAlignment="1" applyProtection="1">
      <alignment horizontal="center" vertical="top"/>
      <protection locked="0"/>
    </xf>
    <xf numFmtId="0" fontId="0" fillId="0" borderId="0" xfId="0" applyAlignment="1">
      <alignment horizontal="center"/>
    </xf>
    <xf numFmtId="0" fontId="4" fillId="3" borderId="7" xfId="0" applyFont="1" applyFill="1" applyBorder="1" applyAlignment="1">
      <alignment horizontal="center"/>
    </xf>
    <xf numFmtId="0" fontId="12" fillId="3" borderId="0" xfId="0" applyFont="1" applyFill="1"/>
    <xf numFmtId="164" fontId="12" fillId="3" borderId="0" xfId="0" applyNumberFormat="1" applyFont="1" applyFill="1" applyAlignment="1">
      <alignment horizontal="left"/>
    </xf>
    <xf numFmtId="0" fontId="16" fillId="4" borderId="14" xfId="0" applyFont="1" applyFill="1" applyBorder="1" applyAlignment="1">
      <alignment horizontal="center" vertical="center"/>
    </xf>
    <xf numFmtId="0" fontId="16" fillId="4" borderId="11" xfId="0" applyFont="1" applyFill="1" applyBorder="1" applyAlignment="1">
      <alignment horizontal="center" vertical="center"/>
    </xf>
    <xf numFmtId="0" fontId="10" fillId="3" borderId="9" xfId="0" applyFont="1" applyFill="1" applyBorder="1" applyAlignment="1" applyProtection="1">
      <alignment horizontal="center" vertical="center"/>
      <protection locked="0"/>
    </xf>
    <xf numFmtId="0" fontId="10" fillId="3" borderId="10" xfId="0" applyFont="1" applyFill="1" applyBorder="1" applyAlignment="1" applyProtection="1">
      <alignment vertical="center"/>
      <protection locked="0"/>
    </xf>
    <xf numFmtId="0" fontId="11" fillId="3" borderId="10" xfId="0" applyFont="1" applyFill="1" applyBorder="1" applyAlignment="1" applyProtection="1">
      <alignment horizontal="left" vertical="center"/>
      <protection locked="0"/>
    </xf>
    <xf numFmtId="0" fontId="0" fillId="3" borderId="10" xfId="0" applyFill="1" applyBorder="1" applyAlignment="1">
      <alignment vertical="center"/>
    </xf>
    <xf numFmtId="0" fontId="0" fillId="3" borderId="10" xfId="0" applyFill="1" applyBorder="1"/>
    <xf numFmtId="0" fontId="17" fillId="2" borderId="15" xfId="0" applyFont="1" applyFill="1" applyBorder="1" applyAlignment="1">
      <alignment horizontal="center" vertical="center" wrapText="1"/>
    </xf>
    <xf numFmtId="0" fontId="17" fillId="2" borderId="5" xfId="0" applyFont="1" applyFill="1" applyBorder="1" applyAlignment="1">
      <alignment horizontal="center" vertical="center" wrapText="1"/>
    </xf>
    <xf numFmtId="0" fontId="17" fillId="2" borderId="16" xfId="0" applyFont="1" applyFill="1" applyBorder="1" applyAlignment="1">
      <alignment horizontal="center" vertical="center" wrapText="1"/>
    </xf>
    <xf numFmtId="0" fontId="17" fillId="2" borderId="6" xfId="0" applyFont="1" applyFill="1" applyBorder="1" applyAlignment="1">
      <alignment horizontal="center" vertical="center" wrapText="1"/>
    </xf>
    <xf numFmtId="0" fontId="6" fillId="3" borderId="12" xfId="0" applyFont="1" applyFill="1" applyBorder="1" applyAlignment="1">
      <alignment vertical="center"/>
    </xf>
    <xf numFmtId="0" fontId="0" fillId="3" borderId="8" xfId="0" applyFill="1" applyBorder="1"/>
    <xf numFmtId="0" fontId="11" fillId="3" borderId="17" xfId="0" applyFont="1" applyFill="1" applyBorder="1" applyAlignment="1" applyProtection="1">
      <alignment horizontal="left" vertical="top"/>
      <protection locked="0"/>
    </xf>
    <xf numFmtId="0" fontId="2" fillId="3" borderId="10" xfId="0" applyFont="1" applyFill="1" applyBorder="1" applyAlignment="1">
      <alignment horizontal="center" vertical="center"/>
    </xf>
    <xf numFmtId="0" fontId="3" fillId="3" borderId="0" xfId="0" applyFont="1" applyFill="1" applyAlignment="1">
      <alignment horizontal="center"/>
    </xf>
    <xf numFmtId="0" fontId="3" fillId="3" borderId="5" xfId="0" applyFont="1" applyFill="1" applyBorder="1" applyAlignment="1">
      <alignment horizontal="center"/>
    </xf>
    <xf numFmtId="0" fontId="5" fillId="3" borderId="0" xfId="0" applyFont="1" applyFill="1" applyAlignment="1">
      <alignment horizontal="center"/>
    </xf>
    <xf numFmtId="0" fontId="4" fillId="3" borderId="0" xfId="0" applyFont="1" applyFill="1" applyAlignment="1">
      <alignment horizontal="center"/>
    </xf>
    <xf numFmtId="0" fontId="10" fillId="3" borderId="10" xfId="0" applyFont="1" applyFill="1" applyBorder="1" applyAlignment="1" applyProtection="1">
      <alignment horizontal="center" vertical="center"/>
      <protection locked="0"/>
    </xf>
    <xf numFmtId="0" fontId="12" fillId="3" borderId="3" xfId="0" applyFont="1" applyFill="1" applyBorder="1" applyAlignment="1" applyProtection="1">
      <alignment horizontal="center" vertical="top"/>
      <protection locked="0"/>
    </xf>
    <xf numFmtId="0" fontId="14" fillId="3" borderId="11" xfId="0" quotePrefix="1" applyFont="1" applyFill="1" applyBorder="1" applyAlignment="1">
      <alignment vertical="center"/>
    </xf>
    <xf numFmtId="0" fontId="10" fillId="3" borderId="0" xfId="0" quotePrefix="1" applyFont="1" applyFill="1" applyAlignment="1">
      <alignment horizontal="left"/>
    </xf>
    <xf numFmtId="0" fontId="10" fillId="3" borderId="6" xfId="0" quotePrefix="1" applyFont="1" applyFill="1" applyBorder="1" applyAlignment="1">
      <alignment horizontal="left"/>
    </xf>
    <xf numFmtId="0" fontId="10" fillId="3" borderId="5" xfId="0" quotePrefix="1" applyFont="1" applyFill="1" applyBorder="1" applyAlignment="1">
      <alignment horizontal="left"/>
    </xf>
    <xf numFmtId="0" fontId="10" fillId="4" borderId="15" xfId="0" applyFont="1" applyFill="1" applyBorder="1" applyAlignment="1">
      <alignment horizontal="center" vertical="center" wrapText="1"/>
    </xf>
    <xf numFmtId="0" fontId="18" fillId="2" borderId="15" xfId="0" applyFont="1" applyFill="1" applyBorder="1" applyAlignment="1">
      <alignment horizontal="center" vertical="center" wrapText="1"/>
    </xf>
    <xf numFmtId="0" fontId="10" fillId="4" borderId="16" xfId="0" applyFont="1" applyFill="1" applyBorder="1" applyAlignment="1">
      <alignment horizontal="center" vertical="center" wrapText="1"/>
    </xf>
    <xf numFmtId="0" fontId="18" fillId="2" borderId="16" xfId="0" applyFont="1" applyFill="1" applyBorder="1" applyAlignment="1">
      <alignment horizontal="center" vertical="center" wrapText="1"/>
    </xf>
    <xf numFmtId="0" fontId="19" fillId="2" borderId="15" xfId="0" applyFont="1" applyFill="1" applyBorder="1" applyAlignment="1">
      <alignment horizontal="center" vertical="center" wrapText="1"/>
    </xf>
    <xf numFmtId="0" fontId="19" fillId="2" borderId="16" xfId="0" applyFont="1" applyFill="1" applyBorder="1" applyAlignment="1">
      <alignment horizontal="center" vertical="center" wrapText="1"/>
    </xf>
    <xf numFmtId="0" fontId="20" fillId="2" borderId="15" xfId="1" applyFill="1" applyBorder="1" applyAlignment="1">
      <alignment horizontal="center" vertical="center" wrapText="1"/>
    </xf>
    <xf numFmtId="165" fontId="17" fillId="2" borderId="15" xfId="0" applyNumberFormat="1" applyFont="1" applyFill="1" applyBorder="1" applyAlignment="1">
      <alignment horizontal="center" vertical="center" wrapText="1"/>
    </xf>
    <xf numFmtId="165" fontId="17" fillId="2" borderId="16" xfId="0" applyNumberFormat="1" applyFont="1" applyFill="1" applyBorder="1" applyAlignment="1">
      <alignment horizontal="center" vertical="center" wrapText="1"/>
    </xf>
    <xf numFmtId="165" fontId="19" fillId="2" borderId="15" xfId="0" applyNumberFormat="1" applyFont="1" applyFill="1" applyBorder="1" applyAlignment="1">
      <alignment horizontal="center" vertical="center" wrapText="1"/>
    </xf>
    <xf numFmtId="166" fontId="14" fillId="3" borderId="14" xfId="0" quotePrefix="1" applyNumberFormat="1" applyFont="1" applyFill="1" applyBorder="1" applyAlignment="1">
      <alignment horizontal="center" vertical="center" wrapText="1"/>
    </xf>
    <xf numFmtId="166" fontId="14" fillId="3" borderId="18" xfId="0" applyNumberFormat="1" applyFont="1" applyFill="1" applyBorder="1" applyAlignment="1">
      <alignment horizontal="center" vertical="center"/>
    </xf>
    <xf numFmtId="0" fontId="21" fillId="2" borderId="15" xfId="0" applyFont="1" applyFill="1" applyBorder="1" applyAlignment="1">
      <alignment horizontal="center" vertical="center" wrapText="1"/>
    </xf>
    <xf numFmtId="0" fontId="21" fillId="2" borderId="16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/>
    </xf>
    <xf numFmtId="0" fontId="0" fillId="0" borderId="8" xfId="0" applyBorder="1" applyAlignment="1">
      <alignment horizontal="center"/>
    </xf>
    <xf numFmtId="0" fontId="0" fillId="0" borderId="2" xfId="0" applyBorder="1" applyAlignment="1">
      <alignment horizontal="center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colors>
    <mruColors>
      <color rgb="FF03A4CB"/>
      <color rgb="FF2CD0B2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14</xdr:col>
      <xdr:colOff>47625</xdr:colOff>
      <xdr:row>2</xdr:row>
      <xdr:rowOff>19942</xdr:rowOff>
    </xdr:from>
    <xdr:to>
      <xdr:col>14</xdr:col>
      <xdr:colOff>1905000</xdr:colOff>
      <xdr:row>7</xdr:row>
      <xdr:rowOff>171450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20059650" y="629542"/>
          <a:ext cx="1857375" cy="1104008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www.digikey.com/en/products/detail/tdk-corporation/C1608X5R1E475K080AC/3648581?s=N4IgTCBcDaIMIEYBsAGAHADQKwCUEFEAWAdiwGkAVFa-EAXQF8g" TargetMode="External"/><Relationship Id="rId13" Type="http://schemas.openxmlformats.org/officeDocument/2006/relationships/hyperlink" Target="https://www.digikey.com/en/products/detail/yageo/PE0805FRF470R03L/5914077?s=N4IgTCBcDaIAoFEAMAOJBWAYgJUwFgHYlskBmAGRAF0BfIA" TargetMode="External"/><Relationship Id="rId18" Type="http://schemas.openxmlformats.org/officeDocument/2006/relationships/hyperlink" Target="https://www.digikey.com/en/products/detail/yageo/RC0201FR-0710KL/1948870?s=N4IgTCBcDaIEoGEAMYkEYBicC0SDsaSA0gDIgC6AvkA" TargetMode="External"/><Relationship Id="rId26" Type="http://schemas.openxmlformats.org/officeDocument/2006/relationships/hyperlink" Target="https://www.digikey.com/en/products/detail/yageo/RC0603FR-0712K4L/726917?s=N4IgTCBcDaIEoGEAMA2JBmAYnAtEg7AIxgDSALADIgC6AvkA" TargetMode="External"/><Relationship Id="rId3" Type="http://schemas.openxmlformats.org/officeDocument/2006/relationships/hyperlink" Target="https://www.digikey.com/en/products/detail/kyocera-avx/TAJE477K010RNJ/563853?s=N4IgTCBcDaICoEEBSBRALAdgwaQAwEZcAlAOSRAF0BfIA" TargetMode="External"/><Relationship Id="rId21" Type="http://schemas.openxmlformats.org/officeDocument/2006/relationships/hyperlink" Target="https://www.digikey.com/en/products/detail/yageo/RC0603FR-070RL/1304008?s=N4IgTCBcDaIEoGEAMA2JBmAYnAtEg7EnADIgC6AvkA" TargetMode="External"/><Relationship Id="rId7" Type="http://schemas.openxmlformats.org/officeDocument/2006/relationships/hyperlink" Target="https://www.digikey.com/en/products/detail/yageo/AC0603KRX7R0BB103/6643086?s=N4IgTCBcDaIIIGEAMA2JBmA0gJQBoHZskAhYgRgxAF0BfIA" TargetMode="External"/><Relationship Id="rId12" Type="http://schemas.openxmlformats.org/officeDocument/2006/relationships/hyperlink" Target="https://www.digikey.com/en/products/detail/yageo/RC0402FR-074K7L/2827563?s=N4IgTCBcDaIEoGEAMAWJYBicC0SDsKA0ngDIgC6AvkA" TargetMode="External"/><Relationship Id="rId17" Type="http://schemas.openxmlformats.org/officeDocument/2006/relationships/hyperlink" Target="https://www.digikey.com/en/products/detail/yageo/RC0201DR-0757K6L/5916898?s=N4IgTCBcDaIEoGEAMYkEYAicC0SDsArHgNIBsAMiALoC%2BQA" TargetMode="External"/><Relationship Id="rId25" Type="http://schemas.openxmlformats.org/officeDocument/2006/relationships/hyperlink" Target="https://www.digikey.com/en/products/detail/yageo/RC0603FR-071ML/726844?s=N4IgTCBcDaIEoGEAMA2JBmAYnAtEg7AIwCyAMiALoC%2BQA" TargetMode="External"/><Relationship Id="rId2" Type="http://schemas.openxmlformats.org/officeDocument/2006/relationships/hyperlink" Target="https://www.digikey.com/en/products/detail/murata-electronics/GCM1885C2A120JA16D/2591683?s=N4IgTCBcDaIOIGECyBGAHGgrAsBBFYADAFL4BsAIiALoC%2BQA" TargetMode="External"/><Relationship Id="rId16" Type="http://schemas.openxmlformats.org/officeDocument/2006/relationships/hyperlink" Target="https://www.digikey.com/en/products/detail/yageo/RC0201FR-07300KL/5280445?s=N4IgTCBcDaIEoGEAMYkEYBicC0SDsAzEkgNIAyIAugL5A" TargetMode="External"/><Relationship Id="rId20" Type="http://schemas.openxmlformats.org/officeDocument/2006/relationships/hyperlink" Target="https://www.digikey.com/en/products/detail/yageo/RC0603JR-07330RL/726769?s=N4IgTCBcDaIEoGEAMA2JBmAUnAtEg7OuknADIgC6AvkA" TargetMode="External"/><Relationship Id="rId29" Type="http://schemas.openxmlformats.org/officeDocument/2006/relationships/hyperlink" Target="https://www.digikey.com/en/products/detail/texas-instruments/TPS2375DR/1671129" TargetMode="External"/><Relationship Id="rId1" Type="http://schemas.openxmlformats.org/officeDocument/2006/relationships/hyperlink" Target="https://www.digikey.com/en/products/detail/murata-electronics/GRM155R62A104KE14D/5027543?s=N4IgTCBcDaIOICUCyBGArGhA2MBBFADACwDSAoikQCIgC6AvkA" TargetMode="External"/><Relationship Id="rId6" Type="http://schemas.openxmlformats.org/officeDocument/2006/relationships/hyperlink" Target="https://www.digikey.com/en/products/detail/tdk-corporation/C1608X5R1E106M080AC/3648585?s=N4IgTCBcDaIMIEYBsAGAHADQKwCUEFEEUkBZdFAQThAF0BfIA" TargetMode="External"/><Relationship Id="rId11" Type="http://schemas.openxmlformats.org/officeDocument/2006/relationships/hyperlink" Target="https://www.digikey.com/en/products/detail/yageo/RC0201DR-0724K9L/5916668?s=N4IgTCBcDaIEoGEAMYkEYAicC0SDsYALANICcAMiALoC%2BQA" TargetMode="External"/><Relationship Id="rId24" Type="http://schemas.openxmlformats.org/officeDocument/2006/relationships/hyperlink" Target="https://www.digikey.com/en/products/detail/yageo/RC0603FR-0733RL/727158?s=N4IgTCBcDaIEoGEAMA2JBmAYnAtEg7OunADIgC6AvkA" TargetMode="External"/><Relationship Id="rId5" Type="http://schemas.openxmlformats.org/officeDocument/2006/relationships/hyperlink" Target="https://www.digikey.com/en/products/detail/yageo/CC0402KRX5R7BB223/5195101?s=N4IgTCBcDaIMJwAwBZFgNICUAaBWTA7AEJFhgDMIAugL5A" TargetMode="External"/><Relationship Id="rId15" Type="http://schemas.openxmlformats.org/officeDocument/2006/relationships/hyperlink" Target="https://www.digikey.com/en/products/detail/vishay-dale/CRCW060322R0JNEAHP/2222286?s=N4IgTCBcDaIMICU4HUAMA2VBmMYGoCkA5AUQEEAJABRAF0BfIA" TargetMode="External"/><Relationship Id="rId23" Type="http://schemas.openxmlformats.org/officeDocument/2006/relationships/hyperlink" Target="https://www.digikey.com/en/products/detail/yageo/RC0603FR-0710RL/726879?s=N4IgTCBcDaIEoGEAMA2JBmAYnAtEg7AIxJwAyIAugL5A" TargetMode="External"/><Relationship Id="rId28" Type="http://schemas.openxmlformats.org/officeDocument/2006/relationships/hyperlink" Target="https://eu.mouser.com/ProductDetail/ABRACON/ARJM11D7-114-AB-EW2?qs=YCa%2FAAYMW02ICsJcHu%252BNJg%3D%3D" TargetMode="External"/><Relationship Id="rId10" Type="http://schemas.openxmlformats.org/officeDocument/2006/relationships/hyperlink" Target="https://www.digikey.com/en/products/detail/onsemi/FDN306P/965300" TargetMode="External"/><Relationship Id="rId19" Type="http://schemas.openxmlformats.org/officeDocument/2006/relationships/hyperlink" Target="https://www.digikey.com/en/products/detail/yageo/RC0603FR-071KL/726843?s=N4IgTCBcDaIEoGEAMA2JBmAYnAtEg7AIwDSAMiALoC%2BQA" TargetMode="External"/><Relationship Id="rId31" Type="http://schemas.openxmlformats.org/officeDocument/2006/relationships/drawing" Target="../drawings/drawing1.xml"/><Relationship Id="rId4" Type="http://schemas.openxmlformats.org/officeDocument/2006/relationships/hyperlink" Target="https://www.digikey.com/en/products/detail/yageo/CC0402JRNPO9BN221/2833581?s=N4IgTCBcDaIMJwAwBZFgFICUByAFA8gJwBC2YYAjCALoC%2BQA" TargetMode="External"/><Relationship Id="rId9" Type="http://schemas.openxmlformats.org/officeDocument/2006/relationships/hyperlink" Target="https://www.digikey.com/en/products/detail/taiyo-yuden/FBMH3225HM601NT/957843" TargetMode="External"/><Relationship Id="rId14" Type="http://schemas.openxmlformats.org/officeDocument/2006/relationships/hyperlink" Target="https://www.digikey.com/en/products/detail/yageo/RC0201JR-07180KL/3202429?s=N4IgTCBcDaIEoGEAMYkEYBScC0SDsaAHEgNIAyIAugL5A" TargetMode="External"/><Relationship Id="rId22" Type="http://schemas.openxmlformats.org/officeDocument/2006/relationships/hyperlink" Target="https://www.digikey.com/en/products/detail/yageo/RC0201FR-0749R9L/5280562?s=N4IgTCBcDaIEoGEAMYkEYBicC0SDsALAJxxEAyIAugL5A" TargetMode="External"/><Relationship Id="rId27" Type="http://schemas.openxmlformats.org/officeDocument/2006/relationships/hyperlink" Target="https://www.digikey.com/en/products/detail/littelfuse-inc/SP0504BAHTG/1154431?s=N4IgTCBcDaIMoAUAMBWJAWAQgQQBIBUBxEAXQF8g" TargetMode="External"/><Relationship Id="rId30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:O53"/>
  <sheetViews>
    <sheetView tabSelected="1" topLeftCell="A31" workbookViewId="0">
      <selection activeCell="L53" sqref="L53"/>
    </sheetView>
  </sheetViews>
  <sheetFormatPr defaultRowHeight="15" x14ac:dyDescent="0.25"/>
  <cols>
    <col min="2" max="2" width="3.140625" style="25" customWidth="1"/>
    <col min="3" max="3" width="18.7109375" style="25" bestFit="1" customWidth="1"/>
    <col min="4" max="4" width="36" bestFit="1" customWidth="1"/>
    <col min="5" max="5" width="30" customWidth="1"/>
    <col min="6" max="6" width="21.5703125" customWidth="1"/>
    <col min="7" max="7" width="25.28515625" bestFit="1" customWidth="1"/>
    <col min="8" max="8" width="24.42578125" bestFit="1" customWidth="1"/>
    <col min="9" max="9" width="6.140625" bestFit="1" customWidth="1"/>
    <col min="10" max="10" width="17.42578125" bestFit="1" customWidth="1"/>
    <col min="11" max="11" width="18.28515625" bestFit="1" customWidth="1"/>
    <col min="12" max="12" width="8.42578125" bestFit="1" customWidth="1"/>
    <col min="13" max="13" width="18.7109375" bestFit="1" customWidth="1"/>
    <col min="14" max="14" width="19.28515625" bestFit="1" customWidth="1"/>
    <col min="15" max="15" width="29.42578125" customWidth="1"/>
  </cols>
  <sheetData>
    <row r="1" spans="1:15" ht="15.75" thickBot="1" x14ac:dyDescent="0.3">
      <c r="A1" s="1"/>
      <c r="B1" s="19"/>
      <c r="C1" s="19"/>
      <c r="D1" s="2"/>
      <c r="E1" s="2"/>
      <c r="F1" s="2"/>
      <c r="G1" s="2"/>
      <c r="H1" s="2"/>
      <c r="I1" s="68"/>
      <c r="J1" s="68"/>
      <c r="K1" s="68"/>
      <c r="L1" s="68"/>
      <c r="M1" s="68"/>
      <c r="N1" s="68"/>
      <c r="O1" s="68"/>
    </row>
    <row r="2" spans="1:15" ht="32.25" thickBot="1" x14ac:dyDescent="0.3">
      <c r="A2" s="1"/>
      <c r="B2" s="20"/>
      <c r="C2" s="43"/>
      <c r="D2" s="10" t="s">
        <v>0</v>
      </c>
      <c r="E2" s="10"/>
      <c r="F2" s="50" t="s">
        <v>219</v>
      </c>
      <c r="G2" s="11"/>
      <c r="H2" s="11"/>
      <c r="I2" s="3"/>
      <c r="J2" s="3"/>
      <c r="K2" s="3"/>
      <c r="L2" s="3"/>
      <c r="M2" s="3"/>
      <c r="N2" s="3"/>
      <c r="O2" s="40"/>
    </row>
    <row r="3" spans="1:15" x14ac:dyDescent="0.25">
      <c r="A3" s="1"/>
      <c r="B3" s="21"/>
      <c r="C3" s="44"/>
      <c r="D3" s="12" t="s">
        <v>1</v>
      </c>
      <c r="E3" s="12"/>
      <c r="F3" s="51" t="s">
        <v>220</v>
      </c>
      <c r="G3" s="12"/>
      <c r="H3" s="12"/>
      <c r="I3" s="4"/>
      <c r="J3" s="4"/>
      <c r="K3" s="4"/>
      <c r="L3" s="4"/>
      <c r="M3" s="4"/>
      <c r="N3" s="4"/>
      <c r="O3" s="69"/>
    </row>
    <row r="4" spans="1:15" x14ac:dyDescent="0.25">
      <c r="A4" s="1"/>
      <c r="B4" s="21"/>
      <c r="C4" s="44"/>
      <c r="D4" s="12" t="s">
        <v>2</v>
      </c>
      <c r="E4" s="12"/>
      <c r="F4" s="52" t="s">
        <v>221</v>
      </c>
      <c r="G4" s="13"/>
      <c r="H4" s="13"/>
      <c r="I4" s="6"/>
      <c r="J4" s="6"/>
      <c r="K4" s="6"/>
      <c r="L4" s="5"/>
      <c r="M4" s="5"/>
      <c r="N4" s="5"/>
      <c r="O4" s="70"/>
    </row>
    <row r="5" spans="1:15" x14ac:dyDescent="0.25">
      <c r="A5" s="1"/>
      <c r="B5" s="21"/>
      <c r="C5" s="44"/>
      <c r="D5" s="12" t="s">
        <v>3</v>
      </c>
      <c r="E5" s="12"/>
      <c r="F5" s="53" t="s">
        <v>5</v>
      </c>
      <c r="G5" s="14"/>
      <c r="H5" s="14"/>
      <c r="I5" s="5"/>
      <c r="J5" s="5"/>
      <c r="K5" s="5"/>
      <c r="L5" s="5"/>
      <c r="M5" s="5"/>
      <c r="N5" s="5"/>
      <c r="O5" s="70"/>
    </row>
    <row r="6" spans="1:15" x14ac:dyDescent="0.25">
      <c r="A6" s="1"/>
      <c r="B6" s="22"/>
      <c r="C6" s="45"/>
      <c r="D6" s="15"/>
      <c r="E6" s="15"/>
      <c r="F6" s="16"/>
      <c r="G6" s="14"/>
      <c r="H6" s="14"/>
      <c r="I6" s="5"/>
      <c r="J6" s="5"/>
      <c r="K6" s="5"/>
      <c r="L6" s="5"/>
      <c r="M6" s="5"/>
      <c r="N6" s="5"/>
      <c r="O6" s="70"/>
    </row>
    <row r="7" spans="1:15" x14ac:dyDescent="0.25">
      <c r="A7" s="1"/>
      <c r="B7" s="23"/>
      <c r="C7" s="46"/>
      <c r="D7" s="17"/>
      <c r="E7" s="17"/>
      <c r="F7" s="18"/>
      <c r="G7" s="17"/>
      <c r="H7" s="17"/>
      <c r="I7" s="7"/>
      <c r="J7" s="7"/>
      <c r="K7" s="7"/>
      <c r="L7" s="7"/>
      <c r="M7" s="7"/>
      <c r="N7" s="7"/>
      <c r="O7" s="70"/>
    </row>
    <row r="8" spans="1:15" ht="15.75" thickBot="1" x14ac:dyDescent="0.3">
      <c r="A8" s="1"/>
      <c r="B8" s="26"/>
      <c r="C8" s="47"/>
      <c r="D8" s="27"/>
      <c r="E8" s="27"/>
      <c r="F8" s="28"/>
      <c r="G8" s="17"/>
      <c r="H8" s="17"/>
      <c r="I8" s="7"/>
      <c r="J8" s="7"/>
      <c r="K8" s="7"/>
      <c r="L8" s="7"/>
      <c r="M8" s="7"/>
      <c r="N8" s="7"/>
      <c r="O8" s="70"/>
    </row>
    <row r="9" spans="1:15" ht="15.75" thickBot="1" x14ac:dyDescent="0.3">
      <c r="A9" s="1"/>
      <c r="B9" s="29" t="s">
        <v>4</v>
      </c>
      <c r="C9" s="29" t="s">
        <v>6</v>
      </c>
      <c r="D9" s="29" t="s">
        <v>18</v>
      </c>
      <c r="E9" s="29" t="s">
        <v>59</v>
      </c>
      <c r="F9" s="29" t="s">
        <v>100</v>
      </c>
      <c r="G9" s="29" t="s">
        <v>120</v>
      </c>
      <c r="H9" s="29" t="s">
        <v>158</v>
      </c>
      <c r="I9" s="30" t="s">
        <v>211</v>
      </c>
      <c r="J9" s="29" t="s">
        <v>218</v>
      </c>
      <c r="K9" s="29" t="s">
        <v>212</v>
      </c>
      <c r="L9" s="29" t="s">
        <v>214</v>
      </c>
      <c r="M9" s="29" t="s">
        <v>215</v>
      </c>
      <c r="N9" s="29" t="s">
        <v>216</v>
      </c>
      <c r="O9" s="29" t="s">
        <v>213</v>
      </c>
    </row>
    <row r="10" spans="1:15" x14ac:dyDescent="0.25">
      <c r="A10" s="1"/>
      <c r="B10" s="54">
        <f>ROW(B10) - ROW($B$9)</f>
        <v>1</v>
      </c>
      <c r="C10" s="55" t="s">
        <v>7</v>
      </c>
      <c r="D10" s="36" t="s">
        <v>19</v>
      </c>
      <c r="E10" s="36" t="s">
        <v>60</v>
      </c>
      <c r="F10" s="36" t="s">
        <v>101</v>
      </c>
      <c r="G10" s="36" t="s">
        <v>121</v>
      </c>
      <c r="H10" s="36" t="s">
        <v>159</v>
      </c>
      <c r="I10" s="36" t="s">
        <v>179</v>
      </c>
      <c r="J10" s="36">
        <v>10</v>
      </c>
      <c r="K10" s="37">
        <f>J10*5</f>
        <v>50</v>
      </c>
      <c r="L10" s="60" t="s">
        <v>217</v>
      </c>
      <c r="M10" s="61">
        <v>1.26E-2</v>
      </c>
      <c r="N10" s="61">
        <f>M10*K10</f>
        <v>0.63</v>
      </c>
      <c r="O10" s="36"/>
    </row>
    <row r="11" spans="1:15" ht="36" x14ac:dyDescent="0.25">
      <c r="A11" s="1"/>
      <c r="B11" s="56">
        <f t="shared" ref="B11:B51" si="0">ROW(B11) - ROW($B$9)</f>
        <v>2</v>
      </c>
      <c r="C11" s="57" t="s">
        <v>7</v>
      </c>
      <c r="D11" s="38" t="s">
        <v>20</v>
      </c>
      <c r="E11" s="38" t="s">
        <v>61</v>
      </c>
      <c r="F11" s="38" t="s">
        <v>208</v>
      </c>
      <c r="G11" s="38" t="s">
        <v>102</v>
      </c>
      <c r="H11" s="38" t="s">
        <v>160</v>
      </c>
      <c r="I11" s="38" t="s">
        <v>180</v>
      </c>
      <c r="J11" s="38">
        <v>1</v>
      </c>
      <c r="K11" s="39">
        <f t="shared" ref="K11" si="1">J11*5</f>
        <v>5</v>
      </c>
      <c r="L11" s="60" t="s">
        <v>222</v>
      </c>
      <c r="M11" s="62" t="s">
        <v>210</v>
      </c>
      <c r="N11" s="62" t="s">
        <v>210</v>
      </c>
      <c r="O11" s="38"/>
    </row>
    <row r="12" spans="1:15" x14ac:dyDescent="0.25">
      <c r="A12" s="1"/>
      <c r="B12" s="54">
        <f>ROW(B12) - ROW($B$9)</f>
        <v>3</v>
      </c>
      <c r="C12" s="57" t="s">
        <v>7</v>
      </c>
      <c r="D12" s="36" t="s">
        <v>21</v>
      </c>
      <c r="E12" s="36" t="s">
        <v>62</v>
      </c>
      <c r="F12" s="36" t="s">
        <v>103</v>
      </c>
      <c r="G12" s="66" t="s">
        <v>122</v>
      </c>
      <c r="H12" s="36" t="s">
        <v>159</v>
      </c>
      <c r="I12" s="36" t="s">
        <v>181</v>
      </c>
      <c r="J12" s="36">
        <v>3</v>
      </c>
      <c r="K12" s="37">
        <f>J12*5</f>
        <v>15</v>
      </c>
      <c r="L12" s="60" t="s">
        <v>217</v>
      </c>
      <c r="M12" s="61">
        <v>7.0999999999999994E-2</v>
      </c>
      <c r="N12" s="61">
        <f>M12*K12</f>
        <v>1.0649999999999999</v>
      </c>
      <c r="O12" s="36"/>
    </row>
    <row r="13" spans="1:15" x14ac:dyDescent="0.25">
      <c r="A13" s="1"/>
      <c r="B13" s="56">
        <f t="shared" si="0"/>
        <v>4</v>
      </c>
      <c r="C13" s="57" t="s">
        <v>7</v>
      </c>
      <c r="D13" s="38" t="s">
        <v>22</v>
      </c>
      <c r="E13" s="38" t="s">
        <v>63</v>
      </c>
      <c r="F13" s="38" t="s">
        <v>104</v>
      </c>
      <c r="G13" s="67" t="s">
        <v>123</v>
      </c>
      <c r="H13" s="38" t="s">
        <v>161</v>
      </c>
      <c r="I13" s="38" t="s">
        <v>182</v>
      </c>
      <c r="J13" s="38">
        <v>1</v>
      </c>
      <c r="K13" s="39">
        <f t="shared" ref="K13" si="2">J13*5</f>
        <v>5</v>
      </c>
      <c r="L13" s="60" t="s">
        <v>217</v>
      </c>
      <c r="M13" s="62">
        <v>2.33</v>
      </c>
      <c r="N13" s="62">
        <f t="shared" ref="N13" si="3">M13*K13</f>
        <v>11.65</v>
      </c>
      <c r="O13" s="38"/>
    </row>
    <row r="14" spans="1:15" x14ac:dyDescent="0.25">
      <c r="A14" s="1"/>
      <c r="B14" s="54">
        <f>ROW(B14) - ROW($B$9)</f>
        <v>5</v>
      </c>
      <c r="C14" s="55" t="s">
        <v>7</v>
      </c>
      <c r="D14" s="36" t="s">
        <v>23</v>
      </c>
      <c r="E14" s="36" t="s">
        <v>64</v>
      </c>
      <c r="F14" s="36" t="s">
        <v>101</v>
      </c>
      <c r="G14" s="66" t="s">
        <v>124</v>
      </c>
      <c r="H14" s="36" t="s">
        <v>162</v>
      </c>
      <c r="I14" s="36" t="s">
        <v>183</v>
      </c>
      <c r="J14" s="36">
        <v>1</v>
      </c>
      <c r="K14" s="37">
        <f>J14*5</f>
        <v>5</v>
      </c>
      <c r="L14" s="60" t="s">
        <v>217</v>
      </c>
      <c r="M14" s="61">
        <v>0.1</v>
      </c>
      <c r="N14" s="61">
        <f>M14*K14</f>
        <v>0.5</v>
      </c>
      <c r="O14" s="36"/>
    </row>
    <row r="15" spans="1:15" x14ac:dyDescent="0.25">
      <c r="A15" s="1"/>
      <c r="B15" s="56">
        <f t="shared" si="0"/>
        <v>6</v>
      </c>
      <c r="C15" s="57" t="s">
        <v>7</v>
      </c>
      <c r="D15" s="38" t="s">
        <v>24</v>
      </c>
      <c r="E15" s="38" t="s">
        <v>65</v>
      </c>
      <c r="F15" s="38" t="s">
        <v>101</v>
      </c>
      <c r="G15" s="66" t="s">
        <v>125</v>
      </c>
      <c r="H15" s="38" t="s">
        <v>162</v>
      </c>
      <c r="I15" s="38" t="s">
        <v>184</v>
      </c>
      <c r="J15" s="38">
        <v>3</v>
      </c>
      <c r="K15" s="39">
        <f t="shared" ref="K15" si="4">J15*5</f>
        <v>15</v>
      </c>
      <c r="L15" s="60" t="s">
        <v>217</v>
      </c>
      <c r="M15" s="62">
        <v>5.5E-2</v>
      </c>
      <c r="N15" s="62">
        <f t="shared" ref="N15" si="5">M15*K15</f>
        <v>0.82499999999999996</v>
      </c>
      <c r="O15" s="38"/>
    </row>
    <row r="16" spans="1:15" x14ac:dyDescent="0.25">
      <c r="A16" s="1"/>
      <c r="B16" s="54">
        <f>ROW(B16) - ROW($B$9)</f>
        <v>7</v>
      </c>
      <c r="C16" s="55" t="s">
        <v>7</v>
      </c>
      <c r="D16" s="36" t="s">
        <v>25</v>
      </c>
      <c r="E16" s="36" t="s">
        <v>66</v>
      </c>
      <c r="F16" s="36" t="s">
        <v>103</v>
      </c>
      <c r="G16" s="66" t="s">
        <v>126</v>
      </c>
      <c r="H16" s="36" t="s">
        <v>163</v>
      </c>
      <c r="I16" s="36" t="s">
        <v>185</v>
      </c>
      <c r="J16" s="36">
        <v>1</v>
      </c>
      <c r="K16" s="37">
        <f>J16*5</f>
        <v>5</v>
      </c>
      <c r="L16" s="60" t="s">
        <v>217</v>
      </c>
      <c r="M16" s="61">
        <v>0.75</v>
      </c>
      <c r="N16" s="61">
        <f>M16*K16</f>
        <v>3.75</v>
      </c>
      <c r="O16" s="36"/>
    </row>
    <row r="17" spans="1:15" ht="30" x14ac:dyDescent="0.25">
      <c r="A17" s="1"/>
      <c r="B17" s="56">
        <f t="shared" si="0"/>
        <v>8</v>
      </c>
      <c r="C17" s="57" t="s">
        <v>7</v>
      </c>
      <c r="D17" s="38" t="s">
        <v>26</v>
      </c>
      <c r="E17" s="38" t="s">
        <v>67</v>
      </c>
      <c r="F17" s="38" t="s">
        <v>103</v>
      </c>
      <c r="G17" s="67" t="s">
        <v>127</v>
      </c>
      <c r="H17" s="38" t="s">
        <v>164</v>
      </c>
      <c r="I17" s="38" t="s">
        <v>186</v>
      </c>
      <c r="J17" s="38">
        <v>2</v>
      </c>
      <c r="K17" s="39">
        <f t="shared" ref="K17" si="6">J17*5</f>
        <v>10</v>
      </c>
      <c r="L17" s="60" t="s">
        <v>222</v>
      </c>
      <c r="M17" s="62" t="s">
        <v>210</v>
      </c>
      <c r="N17" s="62" t="s">
        <v>210</v>
      </c>
      <c r="O17" s="38"/>
    </row>
    <row r="18" spans="1:15" x14ac:dyDescent="0.25">
      <c r="A18" s="1"/>
      <c r="B18" s="54">
        <f>ROW(B18) - ROW($B$9)</f>
        <v>9</v>
      </c>
      <c r="C18" s="55" t="s">
        <v>7</v>
      </c>
      <c r="D18" s="36" t="s">
        <v>27</v>
      </c>
      <c r="E18" s="36" t="s">
        <v>68</v>
      </c>
      <c r="F18" s="36" t="s">
        <v>103</v>
      </c>
      <c r="G18" s="66" t="s">
        <v>128</v>
      </c>
      <c r="H18" s="36" t="s">
        <v>162</v>
      </c>
      <c r="I18" s="36" t="s">
        <v>187</v>
      </c>
      <c r="J18" s="36">
        <v>2</v>
      </c>
      <c r="K18" s="37">
        <f>J18*5</f>
        <v>10</v>
      </c>
      <c r="L18" s="60" t="s">
        <v>217</v>
      </c>
      <c r="M18" s="61">
        <v>9.7000000000000003E-2</v>
      </c>
      <c r="N18" s="61">
        <f>M18*K18</f>
        <v>0.97</v>
      </c>
      <c r="O18" s="36"/>
    </row>
    <row r="19" spans="1:15" x14ac:dyDescent="0.25">
      <c r="A19" s="1"/>
      <c r="B19" s="56">
        <f t="shared" si="0"/>
        <v>10</v>
      </c>
      <c r="C19" s="55" t="s">
        <v>7</v>
      </c>
      <c r="D19" s="38" t="s">
        <v>28</v>
      </c>
      <c r="E19" s="38" t="s">
        <v>69</v>
      </c>
      <c r="F19" s="38" t="s">
        <v>103</v>
      </c>
      <c r="G19" s="67" t="s">
        <v>129</v>
      </c>
      <c r="H19" s="38" t="s">
        <v>163</v>
      </c>
      <c r="I19" s="38" t="s">
        <v>188</v>
      </c>
      <c r="J19" s="38">
        <v>1</v>
      </c>
      <c r="K19" s="39">
        <f t="shared" ref="K19" si="7">J19*5</f>
        <v>5</v>
      </c>
      <c r="L19" s="60" t="s">
        <v>217</v>
      </c>
      <c r="M19" s="62">
        <v>0.32</v>
      </c>
      <c r="N19" s="62">
        <f t="shared" ref="N19" si="8">M19*K19</f>
        <v>1.6</v>
      </c>
      <c r="O19" s="38"/>
    </row>
    <row r="20" spans="1:15" ht="30" x14ac:dyDescent="0.25">
      <c r="A20" s="1"/>
      <c r="B20" s="54">
        <f>ROW(B20) - ROW($B$9)</f>
        <v>11</v>
      </c>
      <c r="C20" s="55" t="s">
        <v>8</v>
      </c>
      <c r="D20" s="36" t="s">
        <v>29</v>
      </c>
      <c r="E20" s="36" t="s">
        <v>70</v>
      </c>
      <c r="F20" s="36" t="s">
        <v>105</v>
      </c>
      <c r="G20" s="66" t="s">
        <v>130</v>
      </c>
      <c r="H20" s="36" t="s">
        <v>165</v>
      </c>
      <c r="I20" s="36" t="s">
        <v>210</v>
      </c>
      <c r="J20" s="36">
        <v>1</v>
      </c>
      <c r="K20" s="37">
        <f>J20*5</f>
        <v>5</v>
      </c>
      <c r="L20" s="60" t="s">
        <v>222</v>
      </c>
      <c r="M20" s="61"/>
      <c r="N20" s="61" t="s">
        <v>210</v>
      </c>
      <c r="O20" s="36"/>
    </row>
    <row r="21" spans="1:15" ht="30" x14ac:dyDescent="0.25">
      <c r="A21" s="1"/>
      <c r="B21" s="56">
        <f t="shared" si="0"/>
        <v>12</v>
      </c>
      <c r="C21" s="57" t="s">
        <v>8</v>
      </c>
      <c r="D21" s="38" t="s">
        <v>30</v>
      </c>
      <c r="E21" s="38" t="s">
        <v>71</v>
      </c>
      <c r="F21" s="38" t="s">
        <v>106</v>
      </c>
      <c r="G21" s="67" t="s">
        <v>131</v>
      </c>
      <c r="H21" s="38" t="s">
        <v>166</v>
      </c>
      <c r="I21" s="38" t="s">
        <v>210</v>
      </c>
      <c r="J21" s="38">
        <v>1</v>
      </c>
      <c r="K21" s="39">
        <f t="shared" ref="K21" si="9">J21*5</f>
        <v>5</v>
      </c>
      <c r="L21" s="60" t="s">
        <v>222</v>
      </c>
      <c r="M21" s="62"/>
      <c r="N21" s="62" t="s">
        <v>210</v>
      </c>
      <c r="O21" s="38"/>
    </row>
    <row r="22" spans="1:15" ht="30" x14ac:dyDescent="0.25">
      <c r="A22" s="1"/>
      <c r="B22" s="54">
        <f>ROW(B22) - ROW($B$9)</f>
        <v>13</v>
      </c>
      <c r="C22" s="55" t="s">
        <v>9</v>
      </c>
      <c r="D22" s="36" t="s">
        <v>31</v>
      </c>
      <c r="E22" s="36" t="s">
        <v>72</v>
      </c>
      <c r="F22" s="36" t="s">
        <v>107</v>
      </c>
      <c r="G22" s="66" t="s">
        <v>132</v>
      </c>
      <c r="H22" s="36" t="s">
        <v>167</v>
      </c>
      <c r="I22" s="36" t="s">
        <v>210</v>
      </c>
      <c r="J22" s="36">
        <v>1</v>
      </c>
      <c r="K22" s="37">
        <f>J22*5</f>
        <v>5</v>
      </c>
      <c r="L22" s="60" t="s">
        <v>222</v>
      </c>
      <c r="M22" s="61"/>
      <c r="N22" s="61" t="s">
        <v>210</v>
      </c>
      <c r="O22" s="36"/>
    </row>
    <row r="23" spans="1:15" x14ac:dyDescent="0.25">
      <c r="A23" s="1"/>
      <c r="B23" s="56">
        <f t="shared" si="0"/>
        <v>14</v>
      </c>
      <c r="C23" s="57" t="s">
        <v>10</v>
      </c>
      <c r="D23" s="38" t="s">
        <v>32</v>
      </c>
      <c r="E23" s="38" t="s">
        <v>73</v>
      </c>
      <c r="F23" s="38" t="s">
        <v>108</v>
      </c>
      <c r="G23" s="67" t="s">
        <v>133</v>
      </c>
      <c r="H23" s="38" t="s">
        <v>168</v>
      </c>
      <c r="I23" s="38" t="s">
        <v>210</v>
      </c>
      <c r="J23" s="38">
        <v>2</v>
      </c>
      <c r="K23" s="39">
        <f t="shared" ref="K23" si="10">J23*5</f>
        <v>10</v>
      </c>
      <c r="L23" s="60" t="s">
        <v>217</v>
      </c>
      <c r="M23" s="62">
        <v>0.38</v>
      </c>
      <c r="N23" s="62">
        <f t="shared" ref="N23" si="11">M23*K23</f>
        <v>3.8</v>
      </c>
      <c r="O23" s="38"/>
    </row>
    <row r="24" spans="1:15" x14ac:dyDescent="0.25">
      <c r="A24" s="1"/>
      <c r="B24" s="54">
        <f>ROW(B24) - ROW($B$9)</f>
        <v>15</v>
      </c>
      <c r="C24" s="55" t="s">
        <v>209</v>
      </c>
      <c r="D24" s="58" t="s">
        <v>33</v>
      </c>
      <c r="E24" s="58" t="s">
        <v>74</v>
      </c>
      <c r="F24" s="59" t="s">
        <v>208</v>
      </c>
      <c r="G24" s="58" t="s">
        <v>109</v>
      </c>
      <c r="H24" s="58" t="s">
        <v>210</v>
      </c>
      <c r="I24" s="58" t="s">
        <v>210</v>
      </c>
      <c r="J24" s="36">
        <v>1</v>
      </c>
      <c r="K24" s="37">
        <f>J24*5</f>
        <v>5</v>
      </c>
      <c r="L24" s="36" t="s">
        <v>210</v>
      </c>
      <c r="M24" s="63" t="s">
        <v>210</v>
      </c>
      <c r="N24" s="63" t="s">
        <v>210</v>
      </c>
      <c r="O24" s="36"/>
    </row>
    <row r="25" spans="1:15" x14ac:dyDescent="0.25">
      <c r="A25" s="1"/>
      <c r="B25" s="56">
        <f t="shared" si="0"/>
        <v>16</v>
      </c>
      <c r="C25" s="57" t="s">
        <v>11</v>
      </c>
      <c r="D25" s="38" t="s">
        <v>34</v>
      </c>
      <c r="E25" s="38" t="s">
        <v>223</v>
      </c>
      <c r="F25" s="38" t="s">
        <v>208</v>
      </c>
      <c r="G25" s="38" t="s">
        <v>224</v>
      </c>
      <c r="H25" s="38" t="s">
        <v>225</v>
      </c>
      <c r="I25" s="38" t="s">
        <v>210</v>
      </c>
      <c r="J25" s="38">
        <v>1</v>
      </c>
      <c r="K25" s="39">
        <f t="shared" ref="K25" si="12">J25*5</f>
        <v>5</v>
      </c>
      <c r="L25" s="60" t="s">
        <v>226</v>
      </c>
      <c r="M25" s="62">
        <v>3.47</v>
      </c>
      <c r="N25" s="62">
        <f t="shared" ref="N25" si="13">M25*K25</f>
        <v>17.350000000000001</v>
      </c>
      <c r="O25" s="38"/>
    </row>
    <row r="26" spans="1:15" ht="30" x14ac:dyDescent="0.25">
      <c r="A26" s="1"/>
      <c r="B26" s="54">
        <f>ROW(B26) - ROW($B$9)</f>
        <v>17</v>
      </c>
      <c r="C26" s="55" t="s">
        <v>12</v>
      </c>
      <c r="D26" s="36" t="s">
        <v>35</v>
      </c>
      <c r="E26" s="36" t="s">
        <v>75</v>
      </c>
      <c r="F26" s="38" t="s">
        <v>208</v>
      </c>
      <c r="G26" s="66" t="s">
        <v>134</v>
      </c>
      <c r="H26" s="36" t="s">
        <v>169</v>
      </c>
      <c r="I26" s="36" t="s">
        <v>189</v>
      </c>
      <c r="J26" s="36">
        <v>1</v>
      </c>
      <c r="K26" s="37">
        <f>J26*5</f>
        <v>5</v>
      </c>
      <c r="L26" s="60" t="s">
        <v>222</v>
      </c>
      <c r="M26" s="61"/>
      <c r="N26" s="61" t="s">
        <v>210</v>
      </c>
      <c r="O26" s="36"/>
    </row>
    <row r="27" spans="1:15" ht="48" x14ac:dyDescent="0.25">
      <c r="A27" s="1"/>
      <c r="B27" s="56">
        <f t="shared" si="0"/>
        <v>18</v>
      </c>
      <c r="C27" s="57" t="s">
        <v>13</v>
      </c>
      <c r="D27" s="38" t="s">
        <v>36</v>
      </c>
      <c r="E27" s="38" t="s">
        <v>76</v>
      </c>
      <c r="F27" s="38" t="s">
        <v>110</v>
      </c>
      <c r="G27" s="67" t="s">
        <v>135</v>
      </c>
      <c r="H27" s="38" t="s">
        <v>170</v>
      </c>
      <c r="I27" s="36" t="s">
        <v>210</v>
      </c>
      <c r="J27" s="38">
        <v>1</v>
      </c>
      <c r="K27" s="39">
        <f t="shared" ref="K27" si="14">J27*5</f>
        <v>5</v>
      </c>
      <c r="L27" s="60" t="s">
        <v>222</v>
      </c>
      <c r="M27" s="62"/>
      <c r="N27" s="62" t="s">
        <v>210</v>
      </c>
      <c r="O27" s="38"/>
    </row>
    <row r="28" spans="1:15" x14ac:dyDescent="0.25">
      <c r="A28" s="1"/>
      <c r="B28" s="54">
        <f>ROW(B28) - ROW($B$9)</f>
        <v>19</v>
      </c>
      <c r="C28" s="57" t="s">
        <v>13</v>
      </c>
      <c r="D28" s="36" t="s">
        <v>37</v>
      </c>
      <c r="E28" s="36" t="s">
        <v>77</v>
      </c>
      <c r="F28" s="36" t="s">
        <v>111</v>
      </c>
      <c r="G28" s="66" t="s">
        <v>136</v>
      </c>
      <c r="H28" s="36" t="s">
        <v>171</v>
      </c>
      <c r="I28" s="38" t="s">
        <v>210</v>
      </c>
      <c r="J28" s="36">
        <v>1</v>
      </c>
      <c r="K28" s="37">
        <f>J28*5</f>
        <v>5</v>
      </c>
      <c r="L28" s="60" t="s">
        <v>217</v>
      </c>
      <c r="M28" s="61">
        <v>0.46</v>
      </c>
      <c r="N28" s="61">
        <f>M28*K28</f>
        <v>2.3000000000000003</v>
      </c>
      <c r="O28" s="36"/>
    </row>
    <row r="29" spans="1:15" ht="36" x14ac:dyDescent="0.25">
      <c r="A29" s="1"/>
      <c r="B29" s="56">
        <f t="shared" si="0"/>
        <v>20</v>
      </c>
      <c r="C29" s="57" t="s">
        <v>14</v>
      </c>
      <c r="D29" s="38" t="s">
        <v>38</v>
      </c>
      <c r="E29" s="38" t="s">
        <v>78</v>
      </c>
      <c r="F29" s="38" t="s">
        <v>112</v>
      </c>
      <c r="G29" s="67" t="s">
        <v>137</v>
      </c>
      <c r="H29" s="38" t="s">
        <v>172</v>
      </c>
      <c r="I29" s="38" t="s">
        <v>190</v>
      </c>
      <c r="J29" s="38">
        <v>1</v>
      </c>
      <c r="K29" s="39">
        <f t="shared" ref="K29" si="15">J29*5</f>
        <v>5</v>
      </c>
      <c r="L29" s="60" t="s">
        <v>222</v>
      </c>
      <c r="M29" s="62"/>
      <c r="N29" s="62" t="s">
        <v>210</v>
      </c>
      <c r="O29" s="38"/>
    </row>
    <row r="30" spans="1:15" x14ac:dyDescent="0.25">
      <c r="A30" s="1"/>
      <c r="B30" s="54">
        <f>ROW(B30) - ROW($B$9)</f>
        <v>21</v>
      </c>
      <c r="C30" s="55" t="s">
        <v>14</v>
      </c>
      <c r="D30" s="36" t="s">
        <v>39</v>
      </c>
      <c r="E30" s="36" t="s">
        <v>79</v>
      </c>
      <c r="F30" s="36" t="s">
        <v>112</v>
      </c>
      <c r="G30" s="66" t="s">
        <v>138</v>
      </c>
      <c r="H30" s="36" t="s">
        <v>162</v>
      </c>
      <c r="I30" s="36" t="s">
        <v>191</v>
      </c>
      <c r="J30" s="36">
        <v>1</v>
      </c>
      <c r="K30" s="37">
        <f>J30*5</f>
        <v>5</v>
      </c>
      <c r="L30" s="60" t="s">
        <v>217</v>
      </c>
      <c r="M30" s="61">
        <v>0.2155</v>
      </c>
      <c r="N30" s="61">
        <f>M30*K30</f>
        <v>1.0774999999999999</v>
      </c>
      <c r="O30" s="36"/>
    </row>
    <row r="31" spans="1:15" x14ac:dyDescent="0.25">
      <c r="A31" s="1"/>
      <c r="B31" s="56">
        <f t="shared" si="0"/>
        <v>22</v>
      </c>
      <c r="C31" s="57" t="s">
        <v>14</v>
      </c>
      <c r="D31" s="38" t="s">
        <v>40</v>
      </c>
      <c r="E31" s="38" t="s">
        <v>80</v>
      </c>
      <c r="F31" s="38" t="s">
        <v>113</v>
      </c>
      <c r="G31" s="67" t="s">
        <v>139</v>
      </c>
      <c r="H31" s="38" t="s">
        <v>162</v>
      </c>
      <c r="I31" s="38" t="s">
        <v>192</v>
      </c>
      <c r="J31" s="38">
        <v>1</v>
      </c>
      <c r="K31" s="39">
        <f t="shared" ref="K31" si="16">J31*5</f>
        <v>5</v>
      </c>
      <c r="L31" s="60" t="s">
        <v>217</v>
      </c>
      <c r="M31" s="62">
        <v>0.1</v>
      </c>
      <c r="N31" s="62">
        <f t="shared" ref="N31" si="17">M31*K31</f>
        <v>0.5</v>
      </c>
      <c r="O31" s="38"/>
    </row>
    <row r="32" spans="1:15" x14ac:dyDescent="0.25">
      <c r="A32" s="1"/>
      <c r="B32" s="54">
        <f>ROW(B32) - ROW($B$9)</f>
        <v>23</v>
      </c>
      <c r="C32" s="55" t="s">
        <v>14</v>
      </c>
      <c r="D32" s="36" t="s">
        <v>41</v>
      </c>
      <c r="E32" s="36" t="s">
        <v>81</v>
      </c>
      <c r="F32" s="36" t="s">
        <v>114</v>
      </c>
      <c r="G32" s="66" t="s">
        <v>140</v>
      </c>
      <c r="H32" s="36" t="s">
        <v>162</v>
      </c>
      <c r="I32" s="36" t="s">
        <v>193</v>
      </c>
      <c r="J32" s="36">
        <v>1</v>
      </c>
      <c r="K32" s="37">
        <f>J32*5</f>
        <v>5</v>
      </c>
      <c r="L32" s="60" t="s">
        <v>217</v>
      </c>
      <c r="M32" s="61">
        <v>0.9</v>
      </c>
      <c r="N32" s="61">
        <f>M32*K32</f>
        <v>4.5</v>
      </c>
      <c r="O32" s="36"/>
    </row>
    <row r="33" spans="1:15" x14ac:dyDescent="0.25">
      <c r="A33" s="1"/>
      <c r="B33" s="56">
        <f t="shared" si="0"/>
        <v>24</v>
      </c>
      <c r="C33" s="57" t="s">
        <v>14</v>
      </c>
      <c r="D33" s="38" t="s">
        <v>42</v>
      </c>
      <c r="E33" s="38" t="s">
        <v>82</v>
      </c>
      <c r="F33" s="38" t="s">
        <v>112</v>
      </c>
      <c r="G33" s="67" t="s">
        <v>141</v>
      </c>
      <c r="H33" s="38" t="s">
        <v>162</v>
      </c>
      <c r="I33" s="38" t="s">
        <v>194</v>
      </c>
      <c r="J33" s="38">
        <v>1</v>
      </c>
      <c r="K33" s="39">
        <f t="shared" ref="K33" si="18">J33*5</f>
        <v>5</v>
      </c>
      <c r="L33" s="60" t="s">
        <v>217</v>
      </c>
      <c r="M33" s="62">
        <v>0.1</v>
      </c>
      <c r="N33" s="62">
        <f t="shared" ref="N33" si="19">M33*K33</f>
        <v>0.5</v>
      </c>
      <c r="O33" s="38"/>
    </row>
    <row r="34" spans="1:15" ht="30" x14ac:dyDescent="0.25">
      <c r="A34" s="1"/>
      <c r="B34" s="54">
        <f>ROW(B34) - ROW($B$9)</f>
        <v>25</v>
      </c>
      <c r="C34" s="55" t="s">
        <v>14</v>
      </c>
      <c r="D34" s="36" t="s">
        <v>43</v>
      </c>
      <c r="E34" s="36" t="s">
        <v>83</v>
      </c>
      <c r="F34" s="36" t="s">
        <v>112</v>
      </c>
      <c r="G34" s="66" t="s">
        <v>142</v>
      </c>
      <c r="H34" s="36" t="s">
        <v>172</v>
      </c>
      <c r="I34" s="36" t="s">
        <v>195</v>
      </c>
      <c r="J34" s="36">
        <v>1</v>
      </c>
      <c r="K34" s="37">
        <f>J34*5</f>
        <v>5</v>
      </c>
      <c r="L34" s="60" t="s">
        <v>222</v>
      </c>
      <c r="M34" s="61"/>
      <c r="N34" s="61" t="s">
        <v>210</v>
      </c>
      <c r="O34" s="36"/>
    </row>
    <row r="35" spans="1:15" x14ac:dyDescent="0.25">
      <c r="A35" s="1"/>
      <c r="B35" s="56">
        <f t="shared" si="0"/>
        <v>26</v>
      </c>
      <c r="C35" s="55" t="s">
        <v>14</v>
      </c>
      <c r="D35" s="38" t="s">
        <v>44</v>
      </c>
      <c r="E35" s="38" t="s">
        <v>84</v>
      </c>
      <c r="F35" s="38" t="s">
        <v>115</v>
      </c>
      <c r="G35" s="66" t="s">
        <v>143</v>
      </c>
      <c r="H35" s="38" t="s">
        <v>173</v>
      </c>
      <c r="I35" s="38" t="s">
        <v>196</v>
      </c>
      <c r="J35" s="38">
        <v>1</v>
      </c>
      <c r="K35" s="39">
        <f t="shared" ref="K35" si="20">J35*5</f>
        <v>5</v>
      </c>
      <c r="L35" s="60" t="s">
        <v>217</v>
      </c>
      <c r="M35" s="62">
        <v>0.15</v>
      </c>
      <c r="N35" s="62">
        <f t="shared" ref="N35" si="21">M35*K35</f>
        <v>0.75</v>
      </c>
      <c r="O35" s="38"/>
    </row>
    <row r="36" spans="1:15" x14ac:dyDescent="0.25">
      <c r="A36" s="1"/>
      <c r="B36" s="54">
        <f>ROW(B36) - ROW($B$9)</f>
        <v>27</v>
      </c>
      <c r="C36" s="55" t="s">
        <v>14</v>
      </c>
      <c r="D36" s="36" t="s">
        <v>45</v>
      </c>
      <c r="E36" s="36" t="s">
        <v>85</v>
      </c>
      <c r="F36" s="36" t="s">
        <v>112</v>
      </c>
      <c r="G36" s="66" t="s">
        <v>144</v>
      </c>
      <c r="H36" s="36" t="s">
        <v>162</v>
      </c>
      <c r="I36" s="36" t="s">
        <v>197</v>
      </c>
      <c r="J36" s="36">
        <v>1</v>
      </c>
      <c r="K36" s="37">
        <f>J36*5</f>
        <v>5</v>
      </c>
      <c r="L36" s="60" t="s">
        <v>217</v>
      </c>
      <c r="M36" s="61">
        <v>0.1</v>
      </c>
      <c r="N36" s="61">
        <f>M36*K36</f>
        <v>0.5</v>
      </c>
      <c r="O36" s="36"/>
    </row>
    <row r="37" spans="1:15" x14ac:dyDescent="0.25">
      <c r="A37" s="1"/>
      <c r="B37" s="56">
        <f t="shared" si="0"/>
        <v>28</v>
      </c>
      <c r="C37" s="57" t="s">
        <v>14</v>
      </c>
      <c r="D37" s="38" t="s">
        <v>46</v>
      </c>
      <c r="E37" s="38" t="s">
        <v>86</v>
      </c>
      <c r="F37" s="38" t="s">
        <v>112</v>
      </c>
      <c r="G37" s="67" t="s">
        <v>145</v>
      </c>
      <c r="H37" s="38" t="s">
        <v>162</v>
      </c>
      <c r="I37" s="38" t="s">
        <v>198</v>
      </c>
      <c r="J37" s="38">
        <v>1</v>
      </c>
      <c r="K37" s="39">
        <f t="shared" ref="K37" si="22">J37*5</f>
        <v>5</v>
      </c>
      <c r="L37" s="60" t="s">
        <v>217</v>
      </c>
      <c r="M37" s="61">
        <v>0.1</v>
      </c>
      <c r="N37" s="62">
        <f t="shared" ref="N37" si="23">M37*K37</f>
        <v>0.5</v>
      </c>
      <c r="O37" s="38"/>
    </row>
    <row r="38" spans="1:15" ht="24" x14ac:dyDescent="0.25">
      <c r="A38" s="1"/>
      <c r="B38" s="54">
        <f>ROW(B38) - ROW($B$9)</f>
        <v>29</v>
      </c>
      <c r="C38" s="55" t="s">
        <v>14</v>
      </c>
      <c r="D38" s="36" t="s">
        <v>230</v>
      </c>
      <c r="E38" s="36" t="s">
        <v>87</v>
      </c>
      <c r="F38" s="36" t="s">
        <v>112</v>
      </c>
      <c r="G38" s="66" t="s">
        <v>146</v>
      </c>
      <c r="H38" s="36" t="s">
        <v>162</v>
      </c>
      <c r="I38" s="36" t="s">
        <v>199</v>
      </c>
      <c r="J38" s="36">
        <v>13</v>
      </c>
      <c r="K38" s="37">
        <f>J38*5</f>
        <v>65</v>
      </c>
      <c r="L38" s="60" t="s">
        <v>217</v>
      </c>
      <c r="M38" s="61">
        <v>1.6199999999999999E-2</v>
      </c>
      <c r="N38" s="61">
        <f>M38*K38</f>
        <v>1.0529999999999999</v>
      </c>
      <c r="O38" s="36"/>
    </row>
    <row r="39" spans="1:15" x14ac:dyDescent="0.25">
      <c r="A39" s="1"/>
      <c r="B39" s="56">
        <f t="shared" si="0"/>
        <v>30</v>
      </c>
      <c r="C39" s="57" t="s">
        <v>14</v>
      </c>
      <c r="D39" s="38" t="s">
        <v>47</v>
      </c>
      <c r="E39" s="38" t="s">
        <v>88</v>
      </c>
      <c r="F39" s="38" t="s">
        <v>115</v>
      </c>
      <c r="G39" s="67" t="s">
        <v>147</v>
      </c>
      <c r="H39" s="38" t="s">
        <v>162</v>
      </c>
      <c r="I39" s="38" t="s">
        <v>200</v>
      </c>
      <c r="J39" s="38">
        <v>1</v>
      </c>
      <c r="K39" s="39">
        <f t="shared" ref="K39" si="24">J39*5</f>
        <v>5</v>
      </c>
      <c r="L39" s="60" t="s">
        <v>217</v>
      </c>
      <c r="M39" s="62">
        <v>0.1</v>
      </c>
      <c r="N39" s="62">
        <f t="shared" ref="N39" si="25">M39*K39</f>
        <v>0.5</v>
      </c>
      <c r="O39" s="38"/>
    </row>
    <row r="40" spans="1:15" x14ac:dyDescent="0.25">
      <c r="A40" s="1"/>
      <c r="B40" s="54">
        <f>ROW(B40) - ROW($B$9)</f>
        <v>31</v>
      </c>
      <c r="C40" s="55" t="s">
        <v>14</v>
      </c>
      <c r="D40" s="36" t="s">
        <v>48</v>
      </c>
      <c r="E40" s="36" t="s">
        <v>89</v>
      </c>
      <c r="F40" s="36" t="s">
        <v>115</v>
      </c>
      <c r="G40" s="66" t="s">
        <v>148</v>
      </c>
      <c r="H40" s="36" t="s">
        <v>162</v>
      </c>
      <c r="I40" s="36" t="s">
        <v>201</v>
      </c>
      <c r="J40" s="36">
        <v>2</v>
      </c>
      <c r="K40" s="37">
        <f>J40*5</f>
        <v>10</v>
      </c>
      <c r="L40" s="60" t="s">
        <v>217</v>
      </c>
      <c r="M40" s="61">
        <v>1.4999999999999999E-2</v>
      </c>
      <c r="N40" s="61">
        <f>M40*K40</f>
        <v>0.15</v>
      </c>
      <c r="O40" s="36"/>
    </row>
    <row r="41" spans="1:15" x14ac:dyDescent="0.25">
      <c r="A41" s="1"/>
      <c r="B41" s="56">
        <f t="shared" si="0"/>
        <v>32</v>
      </c>
      <c r="C41" s="57" t="s">
        <v>14</v>
      </c>
      <c r="D41" s="38" t="s">
        <v>231</v>
      </c>
      <c r="E41" s="38" t="s">
        <v>90</v>
      </c>
      <c r="F41" s="38" t="s">
        <v>115</v>
      </c>
      <c r="G41" s="67" t="s">
        <v>149</v>
      </c>
      <c r="H41" s="38" t="s">
        <v>162</v>
      </c>
      <c r="I41" s="38" t="s">
        <v>202</v>
      </c>
      <c r="J41" s="38">
        <v>3</v>
      </c>
      <c r="K41" s="39">
        <f t="shared" ref="K41" si="26">J41*5</f>
        <v>15</v>
      </c>
      <c r="L41" s="60" t="s">
        <v>217</v>
      </c>
      <c r="M41" s="62">
        <v>1.7999999999999999E-2</v>
      </c>
      <c r="N41" s="62">
        <f t="shared" ref="N41" si="27">M41*K41</f>
        <v>0.26999999999999996</v>
      </c>
      <c r="O41" s="38"/>
    </row>
    <row r="42" spans="1:15" x14ac:dyDescent="0.25">
      <c r="A42" s="1"/>
      <c r="B42" s="54">
        <f>ROW(B42) - ROW($B$9)</f>
        <v>33</v>
      </c>
      <c r="C42" s="55" t="s">
        <v>14</v>
      </c>
      <c r="D42" s="36" t="s">
        <v>49</v>
      </c>
      <c r="E42" s="36" t="s">
        <v>91</v>
      </c>
      <c r="F42" s="36" t="s">
        <v>112</v>
      </c>
      <c r="G42" s="66" t="s">
        <v>150</v>
      </c>
      <c r="H42" s="36" t="s">
        <v>162</v>
      </c>
      <c r="I42" s="36" t="s">
        <v>203</v>
      </c>
      <c r="J42" s="36">
        <v>4</v>
      </c>
      <c r="K42" s="37">
        <f>J42*5</f>
        <v>20</v>
      </c>
      <c r="L42" s="60" t="s">
        <v>217</v>
      </c>
      <c r="M42" s="61">
        <v>2.5999999999999999E-2</v>
      </c>
      <c r="N42" s="61">
        <f>M42*K42</f>
        <v>0.52</v>
      </c>
      <c r="O42" s="36"/>
    </row>
    <row r="43" spans="1:15" x14ac:dyDescent="0.25">
      <c r="A43" s="1"/>
      <c r="B43" s="56">
        <f t="shared" si="0"/>
        <v>34</v>
      </c>
      <c r="C43" s="57" t="s">
        <v>14</v>
      </c>
      <c r="D43" s="38" t="s">
        <v>50</v>
      </c>
      <c r="E43" s="38" t="s">
        <v>92</v>
      </c>
      <c r="F43" s="38" t="s">
        <v>115</v>
      </c>
      <c r="G43" s="67" t="s">
        <v>151</v>
      </c>
      <c r="H43" s="38" t="s">
        <v>162</v>
      </c>
      <c r="I43" s="38" t="s">
        <v>204</v>
      </c>
      <c r="J43" s="38">
        <v>1</v>
      </c>
      <c r="K43" s="39">
        <f t="shared" ref="K43" si="28">J43*5</f>
        <v>5</v>
      </c>
      <c r="L43" s="60" t="s">
        <v>217</v>
      </c>
      <c r="M43" s="62">
        <v>0.1</v>
      </c>
      <c r="N43" s="62">
        <f t="shared" ref="N43" si="29">M43*K43</f>
        <v>0.5</v>
      </c>
      <c r="O43" s="38"/>
    </row>
    <row r="44" spans="1:15" x14ac:dyDescent="0.25">
      <c r="A44" s="1"/>
      <c r="B44" s="54">
        <f>ROW(B44) - ROW($B$9)</f>
        <v>35</v>
      </c>
      <c r="C44" s="55" t="s">
        <v>14</v>
      </c>
      <c r="D44" s="36" t="s">
        <v>51</v>
      </c>
      <c r="E44" s="36" t="s">
        <v>93</v>
      </c>
      <c r="F44" s="36" t="s">
        <v>115</v>
      </c>
      <c r="G44" s="66" t="s">
        <v>152</v>
      </c>
      <c r="H44" s="36" t="s">
        <v>162</v>
      </c>
      <c r="I44" s="36" t="s">
        <v>205</v>
      </c>
      <c r="J44" s="36">
        <v>4</v>
      </c>
      <c r="K44" s="37">
        <f>J44*5</f>
        <v>20</v>
      </c>
      <c r="L44" s="60" t="s">
        <v>217</v>
      </c>
      <c r="M44" s="61">
        <v>1.7999999999999999E-2</v>
      </c>
      <c r="N44" s="61">
        <f>M44*K44</f>
        <v>0.36</v>
      </c>
      <c r="O44" s="36"/>
    </row>
    <row r="45" spans="1:15" x14ac:dyDescent="0.25">
      <c r="A45" s="1"/>
      <c r="B45" s="56">
        <f t="shared" si="0"/>
        <v>36</v>
      </c>
      <c r="C45" s="55" t="s">
        <v>14</v>
      </c>
      <c r="D45" s="38" t="s">
        <v>52</v>
      </c>
      <c r="E45" s="38" t="s">
        <v>94</v>
      </c>
      <c r="F45" s="38" t="s">
        <v>115</v>
      </c>
      <c r="G45" s="67" t="s">
        <v>153</v>
      </c>
      <c r="H45" s="38" t="s">
        <v>162</v>
      </c>
      <c r="I45" s="38" t="s">
        <v>206</v>
      </c>
      <c r="J45" s="38">
        <v>1</v>
      </c>
      <c r="K45" s="39">
        <f t="shared" ref="K45" si="30">J45*5</f>
        <v>5</v>
      </c>
      <c r="L45" s="60" t="s">
        <v>217</v>
      </c>
      <c r="M45" s="62">
        <v>0.1</v>
      </c>
      <c r="N45" s="62">
        <f t="shared" ref="N45" si="31">M45*K45</f>
        <v>0.5</v>
      </c>
      <c r="O45" s="38"/>
    </row>
    <row r="46" spans="1:15" x14ac:dyDescent="0.25">
      <c r="A46" s="1"/>
      <c r="B46" s="54">
        <f>ROW(B46) - ROW($B$9)</f>
        <v>37</v>
      </c>
      <c r="C46" s="55" t="s">
        <v>14</v>
      </c>
      <c r="D46" s="36" t="s">
        <v>53</v>
      </c>
      <c r="E46" s="36" t="s">
        <v>95</v>
      </c>
      <c r="F46" s="36" t="s">
        <v>115</v>
      </c>
      <c r="G46" s="66" t="s">
        <v>154</v>
      </c>
      <c r="H46" s="36" t="s">
        <v>162</v>
      </c>
      <c r="I46" s="36" t="s">
        <v>207</v>
      </c>
      <c r="J46" s="36">
        <v>1</v>
      </c>
      <c r="K46" s="37">
        <f>J46*5</f>
        <v>5</v>
      </c>
      <c r="L46" s="60" t="s">
        <v>217</v>
      </c>
      <c r="M46" s="61">
        <v>0.1</v>
      </c>
      <c r="N46" s="61">
        <f>M46*K46</f>
        <v>0.5</v>
      </c>
      <c r="O46" s="36"/>
    </row>
    <row r="47" spans="1:15" x14ac:dyDescent="0.25">
      <c r="A47" s="1"/>
      <c r="B47" s="56">
        <f t="shared" si="0"/>
        <v>38</v>
      </c>
      <c r="C47" s="57" t="s">
        <v>15</v>
      </c>
      <c r="D47" s="38" t="s">
        <v>54</v>
      </c>
      <c r="E47" s="38" t="s">
        <v>227</v>
      </c>
      <c r="F47" s="38" t="s">
        <v>228</v>
      </c>
      <c r="G47" s="38" t="s">
        <v>229</v>
      </c>
      <c r="H47" s="38" t="s">
        <v>174</v>
      </c>
      <c r="I47" s="38" t="s">
        <v>210</v>
      </c>
      <c r="J47" s="38">
        <v>1</v>
      </c>
      <c r="K47" s="39">
        <f t="shared" ref="K47" si="32">J47*5</f>
        <v>5</v>
      </c>
      <c r="L47" s="60" t="s">
        <v>217</v>
      </c>
      <c r="M47" s="62">
        <v>2.97</v>
      </c>
      <c r="N47" s="62">
        <f t="shared" ref="N47" si="33">M47*K47</f>
        <v>14.850000000000001</v>
      </c>
      <c r="O47" s="38"/>
    </row>
    <row r="48" spans="1:15" ht="30" x14ac:dyDescent="0.25">
      <c r="A48" s="1"/>
      <c r="B48" s="54">
        <f>ROW(B48) - ROW($B$9)</f>
        <v>39</v>
      </c>
      <c r="C48" s="55" t="s">
        <v>15</v>
      </c>
      <c r="D48" s="36" t="s">
        <v>55</v>
      </c>
      <c r="E48" s="36" t="s">
        <v>96</v>
      </c>
      <c r="F48" s="36" t="s">
        <v>116</v>
      </c>
      <c r="G48" s="66" t="s">
        <v>155</v>
      </c>
      <c r="H48" s="36" t="s">
        <v>175</v>
      </c>
      <c r="I48" s="36" t="s">
        <v>210</v>
      </c>
      <c r="J48" s="36">
        <v>1</v>
      </c>
      <c r="K48" s="37">
        <f>J48*5</f>
        <v>5</v>
      </c>
      <c r="L48" s="60" t="s">
        <v>222</v>
      </c>
      <c r="M48" s="61"/>
      <c r="N48" s="61" t="s">
        <v>210</v>
      </c>
      <c r="O48" s="36"/>
    </row>
    <row r="49" spans="1:15" ht="30" x14ac:dyDescent="0.25">
      <c r="A49" s="1"/>
      <c r="B49" s="56">
        <f t="shared" si="0"/>
        <v>40</v>
      </c>
      <c r="C49" s="57" t="s">
        <v>15</v>
      </c>
      <c r="D49" s="38" t="s">
        <v>56</v>
      </c>
      <c r="E49" s="38" t="s">
        <v>97</v>
      </c>
      <c r="F49" s="38" t="s">
        <v>117</v>
      </c>
      <c r="G49" s="67" t="s">
        <v>156</v>
      </c>
      <c r="H49" s="38" t="s">
        <v>176</v>
      </c>
      <c r="I49" s="38" t="s">
        <v>210</v>
      </c>
      <c r="J49" s="38">
        <v>1</v>
      </c>
      <c r="K49" s="39">
        <f t="shared" ref="K49" si="34">J49*5</f>
        <v>5</v>
      </c>
      <c r="L49" s="60" t="s">
        <v>222</v>
      </c>
      <c r="M49" s="62"/>
      <c r="N49" s="62" t="s">
        <v>210</v>
      </c>
      <c r="O49" s="38"/>
    </row>
    <row r="50" spans="1:15" x14ac:dyDescent="0.25">
      <c r="A50" s="1"/>
      <c r="B50" s="54">
        <f>ROW(B50) - ROW($B$9)</f>
        <v>41</v>
      </c>
      <c r="C50" s="55" t="s">
        <v>16</v>
      </c>
      <c r="D50" s="36" t="s">
        <v>57</v>
      </c>
      <c r="E50" s="36" t="s">
        <v>98</v>
      </c>
      <c r="F50" s="36" t="s">
        <v>118</v>
      </c>
      <c r="G50" s="66" t="s">
        <v>157</v>
      </c>
      <c r="H50" s="36" t="s">
        <v>177</v>
      </c>
      <c r="I50" s="36" t="s">
        <v>210</v>
      </c>
      <c r="J50" s="36">
        <v>1</v>
      </c>
      <c r="K50" s="37">
        <f>J50*5</f>
        <v>5</v>
      </c>
      <c r="L50" s="60" t="s">
        <v>217</v>
      </c>
      <c r="M50" s="61">
        <v>0.87</v>
      </c>
      <c r="N50" s="61">
        <f>M50*K50</f>
        <v>4.3499999999999996</v>
      </c>
      <c r="O50" s="36"/>
    </row>
    <row r="51" spans="1:15" ht="30.75" thickBot="1" x14ac:dyDescent="0.3">
      <c r="A51" s="1"/>
      <c r="B51" s="56">
        <f t="shared" si="0"/>
        <v>42</v>
      </c>
      <c r="C51" s="57" t="s">
        <v>17</v>
      </c>
      <c r="D51" s="38" t="s">
        <v>58</v>
      </c>
      <c r="E51" s="38" t="s">
        <v>99</v>
      </c>
      <c r="F51" s="38" t="s">
        <v>208</v>
      </c>
      <c r="G51" s="38" t="s">
        <v>119</v>
      </c>
      <c r="H51" s="38" t="s">
        <v>178</v>
      </c>
      <c r="I51" s="36" t="s">
        <v>210</v>
      </c>
      <c r="J51" s="38">
        <v>1</v>
      </c>
      <c r="K51" s="39">
        <f t="shared" ref="K51" si="35">J51*5</f>
        <v>5</v>
      </c>
      <c r="L51" s="60" t="s">
        <v>222</v>
      </c>
      <c r="M51" s="62"/>
      <c r="N51" s="62" t="s">
        <v>210</v>
      </c>
      <c r="O51" s="38"/>
    </row>
    <row r="52" spans="1:15" ht="16.5" thickBot="1" x14ac:dyDescent="0.3">
      <c r="A52" s="1"/>
      <c r="B52" s="31"/>
      <c r="C52" s="48"/>
      <c r="D52" s="32"/>
      <c r="E52" s="33"/>
      <c r="F52" s="34"/>
      <c r="G52" s="35"/>
      <c r="H52" s="35"/>
      <c r="I52" s="35"/>
      <c r="J52" s="35"/>
      <c r="K52" s="35"/>
      <c r="L52" s="35"/>
      <c r="M52" s="35"/>
      <c r="N52" s="64">
        <f>SUM(N10:N51)</f>
        <v>76.320499999999996</v>
      </c>
      <c r="O52" s="41"/>
    </row>
    <row r="53" spans="1:15" ht="16.5" thickBot="1" x14ac:dyDescent="0.3">
      <c r="A53" s="1"/>
      <c r="B53" s="24"/>
      <c r="C53" s="49"/>
      <c r="D53" s="8"/>
      <c r="E53" s="9"/>
      <c r="F53" s="9"/>
      <c r="G53" s="9"/>
      <c r="H53" s="9"/>
      <c r="I53" s="9"/>
      <c r="J53" s="9"/>
      <c r="K53" s="9"/>
      <c r="L53" s="9"/>
      <c r="M53" s="9"/>
      <c r="N53" s="65">
        <f>N52/5</f>
        <v>15.264099999999999</v>
      </c>
      <c r="O53" s="42"/>
    </row>
  </sheetData>
  <mergeCells count="2">
    <mergeCell ref="I1:O1"/>
    <mergeCell ref="O3:O8"/>
  </mergeCells>
  <hyperlinks>
    <hyperlink ref="L10" r:id="rId1"/>
    <hyperlink ref="L12" r:id="rId2"/>
    <hyperlink ref="L13" r:id="rId3"/>
    <hyperlink ref="L14" r:id="rId4"/>
    <hyperlink ref="L15" r:id="rId5"/>
    <hyperlink ref="L16" r:id="rId6"/>
    <hyperlink ref="L18" r:id="rId7"/>
    <hyperlink ref="L19" r:id="rId8"/>
    <hyperlink ref="L23" r:id="rId9"/>
    <hyperlink ref="L28" r:id="rId10"/>
    <hyperlink ref="L30" r:id="rId11"/>
    <hyperlink ref="L31" r:id="rId12"/>
    <hyperlink ref="L32" r:id="rId13"/>
    <hyperlink ref="L33" r:id="rId14"/>
    <hyperlink ref="L35" r:id="rId15"/>
    <hyperlink ref="L36" r:id="rId16"/>
    <hyperlink ref="L37" r:id="rId17"/>
    <hyperlink ref="L38" r:id="rId18"/>
    <hyperlink ref="L39" r:id="rId19"/>
    <hyperlink ref="L40" r:id="rId20"/>
    <hyperlink ref="L41" r:id="rId21"/>
    <hyperlink ref="L42" r:id="rId22"/>
    <hyperlink ref="L43" r:id="rId23"/>
    <hyperlink ref="L44" r:id="rId24"/>
    <hyperlink ref="L45" r:id="rId25"/>
    <hyperlink ref="L46" r:id="rId26"/>
    <hyperlink ref="L50" r:id="rId27"/>
    <hyperlink ref="L25" r:id="rId28"/>
    <hyperlink ref="L47" r:id="rId29"/>
  </hyperlinks>
  <pageMargins left="0.7" right="0.7" top="0.75" bottom="0.75" header="0.3" footer="0.3"/>
  <pageSetup paperSize="9" orientation="portrait" r:id="rId30"/>
  <drawing r:id="rId3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Nymble 3</dc:creator>
  <cp:lastModifiedBy>Iftikhar Ahmed</cp:lastModifiedBy>
  <dcterms:created xsi:type="dcterms:W3CDTF">2019-12-12T10:34:26Z</dcterms:created>
  <dcterms:modified xsi:type="dcterms:W3CDTF">2023-07-04T15:18:56Z</dcterms:modified>
</cp:coreProperties>
</file>