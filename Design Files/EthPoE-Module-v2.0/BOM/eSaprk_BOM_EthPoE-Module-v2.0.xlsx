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EthPoE-Module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51" i="1" l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52" i="1" l="1"/>
  <c r="Q53" i="1" s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<sst xmlns="http://schemas.openxmlformats.org/spreadsheetml/2006/main" count="432" uniqueCount="280">
  <si>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</si>
  <si>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</si>
  <si>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</si>
  <si>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</si>
  <si>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</si>
  <si>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</si>
  <si>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</si>
  <si>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</si>
  <si>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</si>
  <si>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</si>
  <si>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</si>
  <si>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Fuse</t>
  </si>
  <si>
    <t>Ferrite Bead</t>
  </si>
  <si>
    <t>Ethernet Connector</t>
  </si>
  <si>
    <t>Inductor</t>
  </si>
  <si>
    <t>Mosfet</t>
  </si>
  <si>
    <t>Resistor</t>
  </si>
  <si>
    <t>IC</t>
  </si>
  <si>
    <t>TVS Diode</t>
  </si>
  <si>
    <t>Crystal</t>
  </si>
  <si>
    <t>Designator</t>
  </si>
  <si>
    <t>C1, C3, C8, C9, C10, C11, C12, C13, C14, C17</t>
  </si>
  <si>
    <t>C2</t>
  </si>
  <si>
    <t>C4, C24, C25</t>
  </si>
  <si>
    <t>C5</t>
  </si>
  <si>
    <t>C6</t>
  </si>
  <si>
    <t>C7, C15, C20</t>
  </si>
  <si>
    <t>C16</t>
  </si>
  <si>
    <t>C18, C19</t>
  </si>
  <si>
    <t>C21, C22</t>
  </si>
  <si>
    <t>C23</t>
  </si>
  <si>
    <t>D1</t>
  </si>
  <si>
    <t>D2</t>
  </si>
  <si>
    <t>F1</t>
  </si>
  <si>
    <t>FB1, FB2</t>
  </si>
  <si>
    <t>J1</t>
  </si>
  <si>
    <t>J2</t>
  </si>
  <si>
    <t>L1</t>
  </si>
  <si>
    <t>Q1</t>
  </si>
  <si>
    <t>Q2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</si>
  <si>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</si>
  <si>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</si>
  <si>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</si>
  <si>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</si>
  <si>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</si>
  <si>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</si>
  <si>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</si>
  <si>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</si>
  <si>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</si>
  <si>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R10, R11, R12, R14, R23, R25, R29, R30, R31, R34, R35, R36, R37, R38, R39, R41, R42</t>
  </si>
  <si>
    <t>R13</t>
  </si>
  <si>
    <t>R15, R16</t>
  </si>
  <si>
    <t>R17, R33</t>
  </si>
  <si>
    <t>R18, R19, R27, R28</t>
  </si>
  <si>
    <t>R20</t>
  </si>
  <si>
    <t>R21, R22, R24, R26</t>
  </si>
  <si>
    <t>R32</t>
  </si>
  <si>
    <t>R40</t>
  </si>
  <si>
    <t>U1</t>
  </si>
  <si>
    <t>U2</t>
  </si>
  <si>
    <t>U3</t>
  </si>
  <si>
    <t>U4</t>
  </si>
  <si>
    <t>X1</t>
  </si>
  <si>
    <t>Description</t>
  </si>
  <si>
    <t>CAP CER 0.1UF 100V X5R 0402</t>
  </si>
  <si>
    <t>15uF 63V ±20% SMD,D6.3xL5.7mm Aluminum Electrolytic Capacitors - SMD ROHS</t>
  </si>
  <si>
    <t>CAP CER 12PF 100V C0G/NP0 0603</t>
  </si>
  <si>
    <t>CAP TANT 470UF 10% 10V 2917</t>
  </si>
  <si>
    <t>CAP CER 220PF 50V C0G/NPO 0402</t>
  </si>
  <si>
    <t>CAP CER 0.022UF 16V X5R 0402</t>
  </si>
  <si>
    <t>CAP CER 10UF 25V X5R 0603</t>
  </si>
  <si>
    <t>50V 6.8nF X7R ±10% 0603</t>
  </si>
  <si>
    <t>CAP CER 10000PF 100V X7R 0603</t>
  </si>
  <si>
    <t>CAP CER, 4.7 µF, 25 V, 0603</t>
  </si>
  <si>
    <t>93.6V 64.4V 58V SMA(DO-214AC) TVS ROHS</t>
  </si>
  <si>
    <t>SCHOTTKY DIODE SMB 100V 5A</t>
  </si>
  <si>
    <t>6V 1A 100A 1.95A - Resettable Fuses ROHS</t>
  </si>
  <si>
    <t>FERRITE BEAD 600 OHM 1210 1LN</t>
  </si>
  <si>
    <t>PCI Express Mini Card (Mini PCIe)</t>
  </si>
  <si>
    <t>CONN MOD JACK 8P8C R/A SHIELDED</t>
  </si>
  <si>
    <t>33uH 2.3A ±20% SMD,6.6x7.3mm Inductors</t>
  </si>
  <si>
    <t>40V 100mW 100@10mA,1V 200mA 300MHz 300mV@50mA,5mA NPN -55℃~+150℃@(Tj) SOT-723 Bipolar Transistors - BJT ROHS</t>
  </si>
  <si>
    <t>MOSFET P-CH 12V 2.6A SUPERSOT3</t>
  </si>
  <si>
    <t>50mW ±5% -100ppm/℃~+350ppm/℃ 4.7Ω 0201 Chip Resistor - Surface Mount ROHS</t>
  </si>
  <si>
    <t>RES 24.9K OHM 0.5% 1/20W 0201</t>
  </si>
  <si>
    <t>RES 4.7K OHM 1% 1/16W 0402</t>
  </si>
  <si>
    <t>RES 0.03 OHM 1% 1/2W 0805</t>
  </si>
  <si>
    <t>RES 180K OHM 5% 1/20W 0201</t>
  </si>
  <si>
    <t>4.42kΩ 0201 Chip Resistor - Surface Mount ROHS</t>
  </si>
  <si>
    <t>RES SMD 22 OHM 5% 1/3W 0603</t>
  </si>
  <si>
    <t>RES 300K OHM 1% 1/20W 0201</t>
  </si>
  <si>
    <t>RES 57.6K OHM 0.5% 1/20W 0201</t>
  </si>
  <si>
    <t>RES SMD 10K OHM 1% 1/20W 0201</t>
  </si>
  <si>
    <t>RES SMD 1K OHM 1% 1/10W 0603</t>
  </si>
  <si>
    <t>RES  SMD 330R 100 mW 0603</t>
  </si>
  <si>
    <t>RES SMD 0R, 1%, 0.1W, 0603</t>
  </si>
  <si>
    <t>RES SMD 49.9 OHM 1% 1/20W 0201</t>
  </si>
  <si>
    <t>RES SMD 10 OHM 1% 1/10W 0603</t>
  </si>
  <si>
    <t>RES SMD 0603 33 Ohm 1% 1/10W</t>
  </si>
  <si>
    <t>RES SMD 1M OHM 1% 1/10W 0603</t>
  </si>
  <si>
    <t>RES SMD 12.4K OHM 1% 1/10W 0603</t>
  </si>
  <si>
    <t>IC POE CNTRL 1 CHANNEL 8TSSOP</t>
  </si>
  <si>
    <t>Step-down type SOIC-8-EP DC-DC Converters ROHS</t>
  </si>
  <si>
    <t>SPI LQFP-48(7x7) Ethernet ICs ROHS</t>
  </si>
  <si>
    <t>TVS DIODE 5.5VWM 8.5VC SOT23-5</t>
  </si>
  <si>
    <t>SMD3225-4P Crystals ROHS</t>
  </si>
  <si>
    <t>Footprint</t>
  </si>
  <si>
    <t>Cap-0402</t>
  </si>
  <si>
    <t>VMMC0571J150MV</t>
  </si>
  <si>
    <t>Cap-0603</t>
  </si>
  <si>
    <t>Case-E</t>
  </si>
  <si>
    <t>SMA</t>
  </si>
  <si>
    <t>SMB_</t>
  </si>
  <si>
    <t>Fuse-0805</t>
  </si>
  <si>
    <t>IND-1210</t>
  </si>
  <si>
    <t>Mini PCIE Pad</t>
  </si>
  <si>
    <t>RJE73-188-00441</t>
  </si>
  <si>
    <t>SOT-723</t>
  </si>
  <si>
    <t>SOT-23</t>
  </si>
  <si>
    <t>Res-0201</t>
  </si>
  <si>
    <t>Res-0402</t>
  </si>
  <si>
    <t>RES-0805</t>
  </si>
  <si>
    <t>Res-0603</t>
  </si>
  <si>
    <t>8-TSSOP</t>
  </si>
  <si>
    <t>8-SOIC-EP</t>
  </si>
  <si>
    <t>48-LQFP (7x7)_</t>
  </si>
  <si>
    <t>SOT-23-5</t>
  </si>
  <si>
    <t>NX3225GA-25MHZ-STD-CRG-2</t>
  </si>
  <si>
    <t>Manufacturer Part Number</t>
  </si>
  <si>
    <t>GRM155R62A104KE14D</t>
  </si>
  <si>
    <t>GCM1885C2A120JA16D</t>
  </si>
  <si>
    <t>TAJE477K010RNJ</t>
  </si>
  <si>
    <t>CC0402JRNPO9BN221</t>
  </si>
  <si>
    <t>CC0402KRX5R7BB223</t>
  </si>
  <si>
    <t>C1608X5R1E106M080AC</t>
  </si>
  <si>
    <t>0603B682K500NT</t>
  </si>
  <si>
    <t>AC0603KRX7R0BB103</t>
  </si>
  <si>
    <t>C1608X5R1E475KT000E</t>
  </si>
  <si>
    <t>SMAJ58A</t>
  </si>
  <si>
    <t>SS510B</t>
  </si>
  <si>
    <t>JK-SMD0805-100-6</t>
  </si>
  <si>
    <t>FBMH3225HM601NT</t>
  </si>
  <si>
    <t>MDA7050-330M</t>
  </si>
  <si>
    <t>MMBT3904M</t>
  </si>
  <si>
    <t>FDN306P</t>
  </si>
  <si>
    <t>NQ01WMJ047JTEE</t>
  </si>
  <si>
    <t>RC0201DR-0724K9L</t>
  </si>
  <si>
    <t>RC0402FR-074K7L</t>
  </si>
  <si>
    <t>PE0805FRF470R03L</t>
  </si>
  <si>
    <t>RC0201JR-07180KL</t>
  </si>
  <si>
    <t>0201WMF4421TEE</t>
  </si>
  <si>
    <t>CRCW060322R0JNEAHP</t>
  </si>
  <si>
    <t>RC0201FR-07300KL</t>
  </si>
  <si>
    <t>RC0201DR-0757K6L</t>
  </si>
  <si>
    <t>RC0201FR-0710KL</t>
  </si>
  <si>
    <t>RC0603FR-071KL</t>
  </si>
  <si>
    <t>RC0603JR-07330RL</t>
  </si>
  <si>
    <t>RC0603FR-070RL</t>
  </si>
  <si>
    <t>RC0201FR-0749R9L</t>
  </si>
  <si>
    <t>RC0603FR-0710RL</t>
  </si>
  <si>
    <t>RC0603FR-0733RL</t>
  </si>
  <si>
    <t>RC0603FR-071ML</t>
  </si>
  <si>
    <t>RC0603FR-0712K4L</t>
  </si>
  <si>
    <t>TPS2375PW-1</t>
  </si>
  <si>
    <t>TX4138</t>
  </si>
  <si>
    <t>W5500</t>
  </si>
  <si>
    <t>SP0504BAHTG</t>
  </si>
  <si>
    <t>Manufacturer</t>
  </si>
  <si>
    <t>Murata</t>
  </si>
  <si>
    <t>Ymin</t>
  </si>
  <si>
    <t>Kyocera AVX</t>
  </si>
  <si>
    <t>Yageo</t>
  </si>
  <si>
    <t>TDK</t>
  </si>
  <si>
    <t>FH</t>
  </si>
  <si>
    <t>Yangzhou Yangjie Elec Tech</t>
  </si>
  <si>
    <t>MDD</t>
  </si>
  <si>
    <t>Jinrui Electronic Materials Co.</t>
  </si>
  <si>
    <t>Taiyo Yuden</t>
  </si>
  <si>
    <t>Amphenol Commercial</t>
  </si>
  <si>
    <t>KOHERelec</t>
  </si>
  <si>
    <t>TECH PUBLIC</t>
  </si>
  <si>
    <t>ON Semiconductor / Fairchild</t>
  </si>
  <si>
    <t>UNI-ROYAL</t>
  </si>
  <si>
    <t>Vishay Dale</t>
  </si>
  <si>
    <t>Texas Instruments</t>
  </si>
  <si>
    <t>XDS</t>
  </si>
  <si>
    <t>WIZNET</t>
  </si>
  <si>
    <t>Littelfuse</t>
  </si>
  <si>
    <t>NDK</t>
  </si>
  <si>
    <t>LCSC Part Number</t>
  </si>
  <si>
    <t>C162178</t>
  </si>
  <si>
    <t>C487115</t>
  </si>
  <si>
    <t>C7234</t>
  </si>
  <si>
    <t>C107001</t>
  </si>
  <si>
    <t>C2168289</t>
  </si>
  <si>
    <t>C1631</t>
  </si>
  <si>
    <t>C149602</t>
  </si>
  <si>
    <t>C76615</t>
  </si>
  <si>
    <t>C698958</t>
  </si>
  <si>
    <t>C3011128</t>
  </si>
  <si>
    <t>C5307781</t>
  </si>
  <si>
    <t>C268004</t>
  </si>
  <si>
    <t>C2847546</t>
  </si>
  <si>
    <t>C2923360</t>
  </si>
  <si>
    <t>C965309</t>
  </si>
  <si>
    <t>C851690</t>
  </si>
  <si>
    <t>C105871</t>
  </si>
  <si>
    <t>C858599</t>
  </si>
  <si>
    <t>C295837</t>
  </si>
  <si>
    <t>C423515</t>
  </si>
  <si>
    <t>C274871</t>
  </si>
  <si>
    <t>C851763</t>
  </si>
  <si>
    <t>C106225</t>
  </si>
  <si>
    <t>C22548</t>
  </si>
  <si>
    <t>C105879</t>
  </si>
  <si>
    <t>C100044</t>
  </si>
  <si>
    <t>C155744</t>
  </si>
  <si>
    <t>C109318</t>
  </si>
  <si>
    <t>C108661</t>
  </si>
  <si>
    <t>C105578</t>
  </si>
  <si>
    <t>C137798</t>
  </si>
  <si>
    <t>C202190</t>
  </si>
  <si>
    <t>C329267</t>
  </si>
  <si>
    <t>C32843</t>
  </si>
  <si>
    <t>C10675</t>
  </si>
  <si>
    <t>C438901</t>
  </si>
  <si>
    <t>0.1uf</t>
  </si>
  <si>
    <t>15uF</t>
  </si>
  <si>
    <t>12pF</t>
  </si>
  <si>
    <t>470uF</t>
  </si>
  <si>
    <t>220pF</t>
  </si>
  <si>
    <t>22nF</t>
  </si>
  <si>
    <t>10uF</t>
  </si>
  <si>
    <t>6.8nF</t>
  </si>
  <si>
    <t>10nF</t>
  </si>
  <si>
    <t>4.7uF</t>
  </si>
  <si>
    <t>33uH</t>
  </si>
  <si>
    <t>4.7R</t>
  </si>
  <si>
    <t>24.9K</t>
  </si>
  <si>
    <t>4.7K</t>
  </si>
  <si>
    <t>30mR</t>
  </si>
  <si>
    <t>180K</t>
  </si>
  <si>
    <t>4.42k</t>
  </si>
  <si>
    <t>22R</t>
  </si>
  <si>
    <t>300K</t>
  </si>
  <si>
    <t>57.6k</t>
  </si>
  <si>
    <t>10K</t>
  </si>
  <si>
    <t>1K</t>
  </si>
  <si>
    <t>330R</t>
  </si>
  <si>
    <t>0R</t>
  </si>
  <si>
    <t>49.9R</t>
  </si>
  <si>
    <t>10R</t>
  </si>
  <si>
    <t>33R</t>
  </si>
  <si>
    <t>1M</t>
  </si>
  <si>
    <t>12.4K</t>
  </si>
  <si>
    <t>Quantity</t>
  </si>
  <si>
    <t>Bill of Materials for Project [EthPoE-Module-v2.0.]</t>
  </si>
  <si>
    <t>EthPoE-Module-v2.0.</t>
  </si>
  <si>
    <t>EthPoE-Module-v2.0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</si>
  <si>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</si>
  <si>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</si>
  <si>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</si>
  <si>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</si>
  <si>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</si>
  <si>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</si>
  <si>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</si>
  <si>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</si>
  <si>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</si>
  <si>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-</t>
  </si>
  <si>
    <t>Mini PCIe Connector</t>
  </si>
  <si>
    <t>LCSC</t>
  </si>
  <si>
    <t>Custom</t>
  </si>
  <si>
    <t>C154510</t>
  </si>
  <si>
    <t>CC0603GRNPO0BN120</t>
  </si>
  <si>
    <t>CC0402KRX7R7BB223</t>
  </si>
  <si>
    <t>C107017</t>
  </si>
  <si>
    <t>C527051</t>
  </si>
  <si>
    <t>Digikey</t>
  </si>
  <si>
    <t>RC0603FR-0722RL</t>
  </si>
  <si>
    <t>C107701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</si>
</sst>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7" fillId="4" borderId="12" xfId="0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165" fontId="23" fillId="2" borderId="16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Inductors-SMD_KOHERelec-MDA7050-330M_C2847546.html" TargetMode="External"/><Relationship Id="rId18" Type="http://schemas.openxmlformats.org/officeDocument/2006/relationships/hyperlink" Target="https://www.lcsc.com/product-detail/Chip-Resistor-Surface-Mount_YAGEO-RC0402FR-074K7L_C105871.html" TargetMode="External"/><Relationship Id="rId26" Type="http://schemas.openxmlformats.org/officeDocument/2006/relationships/hyperlink" Target="https://www.lcsc.com/product-detail/Chip-Resistor-Surface-Mount_YAGEO-RC0603JR-07330RL_C105879.html" TargetMode="External"/><Relationship Id="rId39" Type="http://schemas.openxmlformats.org/officeDocument/2006/relationships/hyperlink" Target="https://www.digikey.com/en/products/detail/amphenol-cs-commercial-products/RJE73-188-00441/3727123?s=N4IgTCBcDaIEoCkCiB2AzAWgIwA4cYAYCAWYrEAXQF8g" TargetMode="External"/><Relationship Id="rId21" Type="http://schemas.openxmlformats.org/officeDocument/2006/relationships/hyperlink" Target="https://www.lcsc.com/product-detail/Chip-Resistor-Surface-Mount_UNI-ROYAL-Uniroyal-Elec-0201WMF4421TEE_C423515.html" TargetMode="External"/><Relationship Id="rId34" Type="http://schemas.openxmlformats.org/officeDocument/2006/relationships/hyperlink" Target="https://www.lcsc.com/product-detail/Ethernet-ICs_WIZNET-W5500_C32843.html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https://www.lcsc.com/product-detail/Multilayer-Ceramic-Capacitors-MLCC-SMD-SMT_YAGEO-AC0603KRX7R0BB103_C149602.html" TargetMode="External"/><Relationship Id="rId2" Type="http://schemas.openxmlformats.org/officeDocument/2006/relationships/hyperlink" Target="https://www.lcsc.com/product-detail/Aluminum-Electrolytic-Capacitors-SMD_Ymin-VMMC0571J150MV_C487115.html" TargetMode="External"/><Relationship Id="rId16" Type="http://schemas.openxmlformats.org/officeDocument/2006/relationships/hyperlink" Target="https://www.lcsc.com/product-detail/Chip-Resistor-Surface-Mount_UNI-ROYAL-Uniroyal-Elec-NQ01WMJ047JTEE_C965309.html" TargetMode="External"/><Relationship Id="rId20" Type="http://schemas.openxmlformats.org/officeDocument/2006/relationships/hyperlink" Target="https://www.lcsc.com/product-detail/Chip-Resistor-Surface-Mount_YAGEO-RC0201JR-07180KL_C295837.html" TargetMode="External"/><Relationship Id="rId29" Type="http://schemas.openxmlformats.org/officeDocument/2006/relationships/hyperlink" Target="https://www.lcsc.com/product-detail/Chip-Resistor-Surface-Mount_YAGEO-RC0603FR-0710RL_C109318.html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Multilayer-Ceramic-Capacitors-MLCC-SMD-SMT_Murata-Electronics-GRM155R62A104KE14D_C162178.html" TargetMode="External"/><Relationship Id="rId6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11" Type="http://schemas.openxmlformats.org/officeDocument/2006/relationships/hyperlink" Target="https://www.lcsc.com/product-detail/Resettable-Fuses_Jinrui-Electronic-Materials-Co-JK-SMD0805-100-6_C5307781.html" TargetMode="External"/><Relationship Id="rId24" Type="http://schemas.openxmlformats.org/officeDocument/2006/relationships/hyperlink" Target="https://www.lcsc.com/product-detail/Chip-Resistor-Surface-Mount_YAGEO-RC0201FR-0710KL_C106225.html" TargetMode="External"/><Relationship Id="rId32" Type="http://schemas.openxmlformats.org/officeDocument/2006/relationships/hyperlink" Target="https://www.lcsc.com/product-detail/Chip-Resistor-Surface-Mount_YAGEO-RC0603FR-0712K4L_C137798.html" TargetMode="External"/><Relationship Id="rId37" Type="http://schemas.openxmlformats.org/officeDocument/2006/relationships/hyperlink" Target="https://www.lcsc.com/product-detail/Multilayer-Ceramic-Capacitors-MLCC-SMD-SMT_YAGEO-CC0603GRNPO0BN120_C527051.html" TargetMode="External"/><Relationship Id="rId40" Type="http://schemas.openxmlformats.org/officeDocument/2006/relationships/hyperlink" Target="https://www.lcsc.com/product-detail/Chip-Resistor-Surface-Mount_YAGEO-RC0603FR-0722RL_C107701.html" TargetMode="External"/><Relationship Id="rId5" Type="http://schemas.openxmlformats.org/officeDocument/2006/relationships/hyperlink" Target="https://www.lcsc.com/product-detail/Multilayer-Ceramic-Capacitors-MLCC-SMD-SMT_TDK-C1608X5R1E106M080AC_C2168289.html" TargetMode="External"/><Relationship Id="rId15" Type="http://schemas.openxmlformats.org/officeDocument/2006/relationships/hyperlink" Target="https://www.lcsc.com/product-detail/MOSFETs_onsemi-FDN306P_C154510.html" TargetMode="External"/><Relationship Id="rId23" Type="http://schemas.openxmlformats.org/officeDocument/2006/relationships/hyperlink" Target="https://www.lcsc.com/product-detail/Chip-Resistor-Surface-Mount_YAGEO-RC0201DR-0757K6L_C851763.html" TargetMode="External"/><Relationship Id="rId28" Type="http://schemas.openxmlformats.org/officeDocument/2006/relationships/hyperlink" Target="https://www.lcsc.com/product-detail/Chip-Resistor-Surface-Mount_YAGEO-RC0201FR-0749R9L_C155744.html" TargetMode="External"/><Relationship Id="rId36" Type="http://schemas.openxmlformats.org/officeDocument/2006/relationships/hyperlink" Target="https://www.lcsc.com/product-detail/Crystals_NDK-NX3225GA-25MHZ-STD-CRG-2_C438901.html" TargetMode="External"/><Relationship Id="rId10" Type="http://schemas.openxmlformats.org/officeDocument/2006/relationships/hyperlink" Target="https://www.lcsc.com/product-detail/Schottky-Barrier-Diodes-SBD_JUXING-SS510B_C3011128.html" TargetMode="External"/><Relationship Id="rId19" Type="http://schemas.openxmlformats.org/officeDocument/2006/relationships/hyperlink" Target="https://www.lcsc.com/product-detail/Chip-Resistor-Surface-Mount_YAGEO-PE0805FRF470R03L_C858599.html" TargetMode="External"/><Relationship Id="rId31" Type="http://schemas.openxmlformats.org/officeDocument/2006/relationships/hyperlink" Target="https://www.lcsc.com/product-detail/Chip-Resistor-Surface-Mount_YAGEO-RC0603FR-071ML_C105578.html" TargetMode="External"/><Relationship Id="rId4" Type="http://schemas.openxmlformats.org/officeDocument/2006/relationships/hyperlink" Target="https://www.lcsc.com/product-detail/Multilayer-Ceramic-Capacitors-MLCC-SMD-SMT_YAGEO-CC0402JRNPO9BN221_C107001.html" TargetMode="External"/><Relationship Id="rId9" Type="http://schemas.openxmlformats.org/officeDocument/2006/relationships/hyperlink" Target="https://www.lcsc.com/product-detail/TVS_Yangzhou-Yangjie-Elec-Tech-SMAJ58A_C698958.html" TargetMode="External"/><Relationship Id="rId14" Type="http://schemas.openxmlformats.org/officeDocument/2006/relationships/hyperlink" Target="https://www.lcsc.com/product-detail/Bipolar-Transistors-BJT_TECH-PUBLIC-MMBT3904M_C2923360.html" TargetMode="External"/><Relationship Id="rId22" Type="http://schemas.openxmlformats.org/officeDocument/2006/relationships/hyperlink" Target="https://www.lcsc.com/product-detail/Chip-Resistor-Surface-Mount_YAGEO-RC0201FR-07300KL_C274871.html" TargetMode="External"/><Relationship Id="rId27" Type="http://schemas.openxmlformats.org/officeDocument/2006/relationships/hyperlink" Target="https://www.lcsc.com/product-detail/Chip-Resistor-Surface-Mount_YAGEO-RC0603FR-070RL_C100044.html" TargetMode="External"/><Relationship Id="rId30" Type="http://schemas.openxmlformats.org/officeDocument/2006/relationships/hyperlink" Target="https://www.lcsc.com/product-detail/Chip-Resistor-Surface-Mount_YAGEO-RC0603FR-0733RL_C108661.html" TargetMode="External"/><Relationship Id="rId35" Type="http://schemas.openxmlformats.org/officeDocument/2006/relationships/hyperlink" Target="https://www.lcsc.com/product-detail/TVS_Littelfuse-SP0504BAHTG_C10675.html" TargetMode="External"/><Relationship Id="rId8" Type="http://schemas.openxmlformats.org/officeDocument/2006/relationships/hyperlink" Target="https://www.lcsc.com/product-detail/Multilayer-Ceramic-Capacitors-MLCC-SMD-SMT_TDK-C1608X5R1E475KT000E_C76615.html" TargetMode="External"/><Relationship Id="rId3" Type="http://schemas.openxmlformats.org/officeDocument/2006/relationships/hyperlink" Target="https://www.lcsc.com/product-detail/Tantalum-Capacitors_Kyocera-AVX-TAJE477K010RNJ_C7234.html" TargetMode="External"/><Relationship Id="rId12" Type="http://schemas.openxmlformats.org/officeDocument/2006/relationships/hyperlink" Target="https://www.lcsc.com/product-detail/Ferrite-Beads_Taiyo-Yuden-FBMH3225HM601NT_C268004.html" TargetMode="External"/><Relationship Id="rId17" Type="http://schemas.openxmlformats.org/officeDocument/2006/relationships/hyperlink" Target="https://www.lcsc.com/product-detail/Chip-Resistor-Surface-Mount_YAGEO-RC0201DR-0724K9L_C851690.html" TargetMode="External"/><Relationship Id="rId25" Type="http://schemas.openxmlformats.org/officeDocument/2006/relationships/hyperlink" Target="https://www.lcsc.com/product-detail/Chip-Resistor-Surface-Mount_YAGEO-RC0603FR-071KL_C22548.html" TargetMode="External"/><Relationship Id="rId33" Type="http://schemas.openxmlformats.org/officeDocument/2006/relationships/hyperlink" Target="https://www.lcsc.com/product-detail/DC-DC-Converters_XDS-TX4138_C329267.html" TargetMode="External"/><Relationship Id="rId38" Type="http://schemas.openxmlformats.org/officeDocument/2006/relationships/hyperlink" Target="https://www.lcsc.com/product-detail/Multilayer-Ceramic-Capacitors-MLCC-SMD-SMT_YAGEO-CC0402KRX7R7BB223_C10701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53"/>
  <sheetViews>
    <sheetView tabSelected="1" topLeftCell="A28" workbookViewId="0">
      <selection activeCell="H56" sqref="H56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16.7109375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7.7109375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0"/>
      <c r="L1" s="60"/>
      <c r="M1" s="60"/>
      <c r="N1" s="60"/>
      <c r="O1" s="60"/>
      <c r="P1" s="60"/>
      <c r="Q1" s="60"/>
      <c r="R1" s="60"/>
      <c r="S1" s="61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256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257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2"/>
    </row>
    <row r="4" spans="1:19" x14ac:dyDescent="0.25">
      <c r="A4" s="1"/>
      <c r="B4" s="22"/>
      <c r="C4" s="32"/>
      <c r="D4" s="13" t="s">
        <v>2</v>
      </c>
      <c r="E4" s="13"/>
      <c r="F4" s="57" t="s">
        <v>258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3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3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3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3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3"/>
    </row>
    <row r="9" spans="1:19" ht="15.75" thickBot="1" x14ac:dyDescent="0.3">
      <c r="A9" s="1"/>
      <c r="B9" s="30" t="s">
        <v>4</v>
      </c>
      <c r="C9" s="30" t="s">
        <v>8</v>
      </c>
      <c r="D9" s="30" t="s">
        <v>20</v>
      </c>
      <c r="E9" s="30" t="s">
        <v>63</v>
      </c>
      <c r="F9" s="30" t="s">
        <v>106</v>
      </c>
      <c r="G9" s="30" t="s">
        <v>128</v>
      </c>
      <c r="H9" s="30" t="s">
        <v>167</v>
      </c>
      <c r="I9" s="30" t="s">
        <v>259</v>
      </c>
      <c r="J9" s="30" t="s">
        <v>189</v>
      </c>
      <c r="K9" s="70" t="s">
        <v>260</v>
      </c>
      <c r="L9" s="30" t="s">
        <v>255</v>
      </c>
      <c r="M9" s="30" t="s">
        <v>261</v>
      </c>
      <c r="N9" s="30" t="s">
        <v>262</v>
      </c>
      <c r="O9" s="30" t="s">
        <v>263</v>
      </c>
      <c r="P9" s="30" t="s">
        <v>264</v>
      </c>
      <c r="Q9" s="30" t="s">
        <v>265</v>
      </c>
      <c r="R9" s="30" t="s">
        <v>266</v>
      </c>
      <c r="S9" s="30" t="s">
        <v>267</v>
      </c>
    </row>
    <row r="10" spans="1:19" ht="24" x14ac:dyDescent="0.25">
      <c r="A10" s="1"/>
      <c r="B10" s="46">
        <f>ROW(B10) - ROW($B$9)</f>
        <v>1</v>
      </c>
      <c r="C10" s="53" t="s">
        <v>9</v>
      </c>
      <c r="D10" s="37" t="s">
        <v>21</v>
      </c>
      <c r="E10" s="37" t="s">
        <v>64</v>
      </c>
      <c r="F10" s="37" t="s">
        <v>107</v>
      </c>
      <c r="G10" s="37" t="s">
        <v>129</v>
      </c>
      <c r="H10" s="37" t="s">
        <v>168</v>
      </c>
      <c r="I10" s="37" t="s">
        <v>268</v>
      </c>
      <c r="J10" s="37" t="s">
        <v>190</v>
      </c>
      <c r="K10" s="37" t="s">
        <v>226</v>
      </c>
      <c r="L10" s="37">
        <v>10</v>
      </c>
      <c r="M10" s="37">
        <f>L10*5</f>
        <v>50</v>
      </c>
      <c r="N10" s="37">
        <v>100</v>
      </c>
      <c r="O10" s="71" t="s">
        <v>270</v>
      </c>
      <c r="P10" s="38">
        <v>1.0500000000000001E-2</v>
      </c>
      <c r="Q10" s="38">
        <f>P10*N10</f>
        <v>1.05</v>
      </c>
      <c r="R10" s="37"/>
      <c r="S10" s="50"/>
    </row>
    <row r="11" spans="1:19" ht="36" x14ac:dyDescent="0.25">
      <c r="A11" s="1"/>
      <c r="B11" s="47">
        <f t="shared" ref="B11:B51" si="0">ROW(B11) - ROW($B$9)</f>
        <v>2</v>
      </c>
      <c r="C11" s="54" t="s">
        <v>9</v>
      </c>
      <c r="D11" s="51" t="s">
        <v>22</v>
      </c>
      <c r="E11" s="51" t="s">
        <v>65</v>
      </c>
      <c r="F11" s="51" t="s">
        <v>271</v>
      </c>
      <c r="G11" s="51" t="s">
        <v>108</v>
      </c>
      <c r="H11" s="51" t="s">
        <v>169</v>
      </c>
      <c r="I11" s="51"/>
      <c r="J11" s="51" t="s">
        <v>191</v>
      </c>
      <c r="K11" s="51" t="s">
        <v>227</v>
      </c>
      <c r="L11" s="51">
        <v>1</v>
      </c>
      <c r="M11" s="51">
        <f t="shared" ref="M11" si="1">L11*5</f>
        <v>5</v>
      </c>
      <c r="N11" s="51">
        <v>10</v>
      </c>
      <c r="O11" s="71" t="s">
        <v>270</v>
      </c>
      <c r="P11" s="52">
        <v>1.7399999999999999E-2</v>
      </c>
      <c r="Q11" s="52">
        <f t="shared" ref="Q11" si="2">P11*N11</f>
        <v>0.17399999999999999</v>
      </c>
      <c r="R11" s="51"/>
      <c r="S11" s="51"/>
    </row>
    <row r="12" spans="1:19" x14ac:dyDescent="0.25">
      <c r="A12" s="1"/>
      <c r="B12" s="46">
        <f>ROW(B12) - ROW($B$9)</f>
        <v>3</v>
      </c>
      <c r="C12" s="54" t="s">
        <v>9</v>
      </c>
      <c r="D12" s="37" t="s">
        <v>23</v>
      </c>
      <c r="E12" s="37" t="s">
        <v>66</v>
      </c>
      <c r="F12" s="37" t="s">
        <v>109</v>
      </c>
      <c r="G12" s="72" t="s">
        <v>130</v>
      </c>
      <c r="H12" s="37" t="s">
        <v>168</v>
      </c>
      <c r="I12" s="37" t="s">
        <v>273</v>
      </c>
      <c r="J12" s="37" t="s">
        <v>276</v>
      </c>
      <c r="K12" s="37" t="s">
        <v>228</v>
      </c>
      <c r="L12" s="37">
        <v>3</v>
      </c>
      <c r="M12" s="37">
        <f>L12*5</f>
        <v>15</v>
      </c>
      <c r="N12" s="37">
        <v>50</v>
      </c>
      <c r="O12" s="71" t="s">
        <v>270</v>
      </c>
      <c r="P12" s="38">
        <v>1.06E-2</v>
      </c>
      <c r="Q12" s="38">
        <f>P12*N12</f>
        <v>0.53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24</v>
      </c>
      <c r="E13" s="51" t="s">
        <v>67</v>
      </c>
      <c r="F13" s="51" t="s">
        <v>110</v>
      </c>
      <c r="G13" s="51" t="s">
        <v>131</v>
      </c>
      <c r="H13" s="51" t="s">
        <v>170</v>
      </c>
      <c r="I13" s="51"/>
      <c r="J13" s="51" t="s">
        <v>192</v>
      </c>
      <c r="K13" s="51" t="s">
        <v>229</v>
      </c>
      <c r="L13" s="51">
        <v>1</v>
      </c>
      <c r="M13" s="51">
        <f t="shared" ref="M13" si="3">L13*5</f>
        <v>5</v>
      </c>
      <c r="N13" s="51">
        <v>6</v>
      </c>
      <c r="O13" s="71" t="s">
        <v>270</v>
      </c>
      <c r="P13" s="52">
        <v>1.1597999999999999</v>
      </c>
      <c r="Q13" s="52">
        <f t="shared" ref="Q13" si="4">P13*N13</f>
        <v>6.9588000000000001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25</v>
      </c>
      <c r="E14" s="37" t="s">
        <v>68</v>
      </c>
      <c r="F14" s="37" t="s">
        <v>107</v>
      </c>
      <c r="G14" s="37" t="s">
        <v>132</v>
      </c>
      <c r="H14" s="37" t="s">
        <v>171</v>
      </c>
      <c r="I14" s="37"/>
      <c r="J14" s="37" t="s">
        <v>193</v>
      </c>
      <c r="K14" s="37" t="s">
        <v>230</v>
      </c>
      <c r="L14" s="37">
        <v>1</v>
      </c>
      <c r="M14" s="37">
        <f>L14*5</f>
        <v>5</v>
      </c>
      <c r="N14" s="37">
        <v>100</v>
      </c>
      <c r="O14" s="71" t="s">
        <v>270</v>
      </c>
      <c r="P14" s="38">
        <v>2.5000000000000001E-3</v>
      </c>
      <c r="Q14" s="38">
        <f>P14*N14</f>
        <v>0.25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51" t="s">
        <v>26</v>
      </c>
      <c r="E15" s="51" t="s">
        <v>69</v>
      </c>
      <c r="F15" s="51" t="s">
        <v>107</v>
      </c>
      <c r="G15" s="72" t="s">
        <v>133</v>
      </c>
      <c r="H15" s="51" t="s">
        <v>171</v>
      </c>
      <c r="I15" s="51" t="s">
        <v>274</v>
      </c>
      <c r="J15" s="51" t="s">
        <v>275</v>
      </c>
      <c r="K15" s="51" t="s">
        <v>231</v>
      </c>
      <c r="L15" s="51">
        <v>3</v>
      </c>
      <c r="M15" s="51">
        <f t="shared" ref="M15" si="5">L15*5</f>
        <v>15</v>
      </c>
      <c r="N15" s="51">
        <v>100</v>
      </c>
      <c r="O15" s="71" t="s">
        <v>270</v>
      </c>
      <c r="P15" s="52">
        <v>1.9E-3</v>
      </c>
      <c r="Q15" s="52">
        <f t="shared" ref="Q15" si="6">P15*N15</f>
        <v>0.19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9</v>
      </c>
      <c r="D16" s="37" t="s">
        <v>27</v>
      </c>
      <c r="E16" s="37" t="s">
        <v>70</v>
      </c>
      <c r="F16" s="37" t="s">
        <v>109</v>
      </c>
      <c r="G16" s="37" t="s">
        <v>134</v>
      </c>
      <c r="H16" s="37" t="s">
        <v>172</v>
      </c>
      <c r="I16" s="37"/>
      <c r="J16" s="37" t="s">
        <v>194</v>
      </c>
      <c r="K16" s="37" t="s">
        <v>232</v>
      </c>
      <c r="L16" s="37">
        <v>1</v>
      </c>
      <c r="M16" s="37">
        <f>L16*5</f>
        <v>5</v>
      </c>
      <c r="N16" s="37">
        <v>6</v>
      </c>
      <c r="O16" s="71" t="s">
        <v>270</v>
      </c>
      <c r="P16" s="38">
        <v>0.84960000000000002</v>
      </c>
      <c r="Q16" s="38">
        <f>P16*N16</f>
        <v>5.0975999999999999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9</v>
      </c>
      <c r="D17" s="51" t="s">
        <v>28</v>
      </c>
      <c r="E17" s="51" t="s">
        <v>71</v>
      </c>
      <c r="F17" s="51" t="s">
        <v>109</v>
      </c>
      <c r="G17" s="51" t="s">
        <v>135</v>
      </c>
      <c r="H17" s="51" t="s">
        <v>173</v>
      </c>
      <c r="I17" s="51"/>
      <c r="J17" s="51" t="s">
        <v>195</v>
      </c>
      <c r="K17" s="51" t="s">
        <v>233</v>
      </c>
      <c r="L17" s="51">
        <v>2</v>
      </c>
      <c r="M17" s="51">
        <f t="shared" ref="M17" si="7">L17*5</f>
        <v>10</v>
      </c>
      <c r="N17" s="51">
        <v>100</v>
      </c>
      <c r="O17" s="71" t="s">
        <v>270</v>
      </c>
      <c r="P17" s="52">
        <v>2.8E-3</v>
      </c>
      <c r="Q17" s="52">
        <f t="shared" ref="Q17" si="8">P17*N17</f>
        <v>0.27999999999999997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9</v>
      </c>
      <c r="D18" s="37" t="s">
        <v>29</v>
      </c>
      <c r="E18" s="37" t="s">
        <v>72</v>
      </c>
      <c r="F18" s="37" t="s">
        <v>109</v>
      </c>
      <c r="G18" s="37" t="s">
        <v>136</v>
      </c>
      <c r="H18" s="37" t="s">
        <v>171</v>
      </c>
      <c r="I18" s="37"/>
      <c r="J18" s="37" t="s">
        <v>196</v>
      </c>
      <c r="K18" s="37" t="s">
        <v>234</v>
      </c>
      <c r="L18" s="37">
        <v>2</v>
      </c>
      <c r="M18" s="37">
        <f>L18*5</f>
        <v>10</v>
      </c>
      <c r="N18" s="37">
        <v>100</v>
      </c>
      <c r="O18" s="71" t="s">
        <v>270</v>
      </c>
      <c r="P18" s="38">
        <v>6.8999999999999999E-3</v>
      </c>
      <c r="Q18" s="38">
        <f>P18*N18</f>
        <v>0.69</v>
      </c>
      <c r="R18" s="37"/>
      <c r="S18" s="59"/>
    </row>
    <row r="19" spans="1:19" x14ac:dyDescent="0.25">
      <c r="A19" s="1"/>
      <c r="B19" s="47">
        <f t="shared" si="0"/>
        <v>10</v>
      </c>
      <c r="C19" s="53" t="s">
        <v>9</v>
      </c>
      <c r="D19" s="51" t="s">
        <v>30</v>
      </c>
      <c r="E19" s="51" t="s">
        <v>73</v>
      </c>
      <c r="F19" s="51" t="s">
        <v>109</v>
      </c>
      <c r="G19" s="51" t="s">
        <v>137</v>
      </c>
      <c r="H19" s="51" t="s">
        <v>172</v>
      </c>
      <c r="I19" s="51"/>
      <c r="J19" s="51" t="s">
        <v>197</v>
      </c>
      <c r="K19" s="51" t="s">
        <v>235</v>
      </c>
      <c r="L19" s="51">
        <v>1</v>
      </c>
      <c r="M19" s="51">
        <f t="shared" ref="M19" si="9">L19*5</f>
        <v>5</v>
      </c>
      <c r="N19" s="51">
        <v>10</v>
      </c>
      <c r="O19" s="71" t="s">
        <v>270</v>
      </c>
      <c r="P19" s="52">
        <v>4.2299999999999997E-2</v>
      </c>
      <c r="Q19" s="52">
        <f t="shared" ref="Q19" si="10">P19*N19</f>
        <v>0.42299999999999999</v>
      </c>
      <c r="R19" s="51"/>
      <c r="S19" s="59"/>
    </row>
    <row r="20" spans="1:19" ht="24" x14ac:dyDescent="0.25">
      <c r="A20" s="1"/>
      <c r="B20" s="46">
        <f>ROW(B20) - ROW($B$9)</f>
        <v>11</v>
      </c>
      <c r="C20" s="53" t="s">
        <v>10</v>
      </c>
      <c r="D20" s="37" t="s">
        <v>31</v>
      </c>
      <c r="E20" s="37" t="s">
        <v>74</v>
      </c>
      <c r="F20" s="37" t="s">
        <v>111</v>
      </c>
      <c r="G20" s="37" t="s">
        <v>138</v>
      </c>
      <c r="H20" s="37" t="s">
        <v>174</v>
      </c>
      <c r="I20" s="37"/>
      <c r="J20" s="37" t="s">
        <v>198</v>
      </c>
      <c r="K20" s="37" t="s">
        <v>268</v>
      </c>
      <c r="L20" s="37">
        <v>1</v>
      </c>
      <c r="M20" s="37">
        <f>L20*5</f>
        <v>5</v>
      </c>
      <c r="N20" s="37">
        <v>10</v>
      </c>
      <c r="O20" s="71" t="s">
        <v>270</v>
      </c>
      <c r="P20" s="38">
        <v>4.6899999999999997E-2</v>
      </c>
      <c r="Q20" s="38">
        <f>P20*N20</f>
        <v>0.46899999999999997</v>
      </c>
      <c r="R20" s="37"/>
      <c r="S20" s="59"/>
    </row>
    <row r="21" spans="1:19" x14ac:dyDescent="0.25">
      <c r="A21" s="1"/>
      <c r="B21" s="47">
        <f t="shared" si="0"/>
        <v>12</v>
      </c>
      <c r="C21" s="54" t="s">
        <v>10</v>
      </c>
      <c r="D21" s="51" t="s">
        <v>32</v>
      </c>
      <c r="E21" s="51" t="s">
        <v>75</v>
      </c>
      <c r="F21" s="51" t="s">
        <v>112</v>
      </c>
      <c r="G21" s="51" t="s">
        <v>139</v>
      </c>
      <c r="H21" s="51" t="s">
        <v>175</v>
      </c>
      <c r="I21" s="51"/>
      <c r="J21" s="51" t="s">
        <v>199</v>
      </c>
      <c r="K21" s="51" t="s">
        <v>268</v>
      </c>
      <c r="L21" s="51">
        <v>1</v>
      </c>
      <c r="M21" s="51">
        <f t="shared" ref="M21" si="11">L21*5</f>
        <v>5</v>
      </c>
      <c r="N21" s="51">
        <v>10</v>
      </c>
      <c r="O21" s="71" t="s">
        <v>270</v>
      </c>
      <c r="P21" s="52">
        <v>4.5600000000000002E-2</v>
      </c>
      <c r="Q21" s="52">
        <f t="shared" ref="Q21" si="12">P21*N21</f>
        <v>0.45600000000000002</v>
      </c>
      <c r="R21" s="51"/>
      <c r="S21" s="59"/>
    </row>
    <row r="22" spans="1:19" ht="24" x14ac:dyDescent="0.25">
      <c r="A22" s="1"/>
      <c r="B22" s="46">
        <f>ROW(B22) - ROW($B$9)</f>
        <v>13</v>
      </c>
      <c r="C22" s="53" t="s">
        <v>11</v>
      </c>
      <c r="D22" s="37" t="s">
        <v>33</v>
      </c>
      <c r="E22" s="37" t="s">
        <v>76</v>
      </c>
      <c r="F22" s="37" t="s">
        <v>113</v>
      </c>
      <c r="G22" s="37" t="s">
        <v>140</v>
      </c>
      <c r="H22" s="37" t="s">
        <v>176</v>
      </c>
      <c r="I22" s="37"/>
      <c r="J22" s="37" t="s">
        <v>200</v>
      </c>
      <c r="K22" s="37" t="s">
        <v>268</v>
      </c>
      <c r="L22" s="37">
        <v>1</v>
      </c>
      <c r="M22" s="37">
        <f>L22*5</f>
        <v>5</v>
      </c>
      <c r="N22" s="37">
        <v>20</v>
      </c>
      <c r="O22" s="71" t="s">
        <v>270</v>
      </c>
      <c r="P22" s="38">
        <v>6.2E-2</v>
      </c>
      <c r="Q22" s="38">
        <f>P22*N22</f>
        <v>1.24</v>
      </c>
      <c r="R22" s="37"/>
      <c r="S22" s="59"/>
    </row>
    <row r="23" spans="1:19" x14ac:dyDescent="0.25">
      <c r="A23" s="1"/>
      <c r="B23" s="47">
        <f t="shared" si="0"/>
        <v>14</v>
      </c>
      <c r="C23" s="54" t="s">
        <v>12</v>
      </c>
      <c r="D23" s="51" t="s">
        <v>34</v>
      </c>
      <c r="E23" s="51" t="s">
        <v>77</v>
      </c>
      <c r="F23" s="51" t="s">
        <v>114</v>
      </c>
      <c r="G23" s="51" t="s">
        <v>141</v>
      </c>
      <c r="H23" s="51" t="s">
        <v>177</v>
      </c>
      <c r="I23" s="51"/>
      <c r="J23" s="51" t="s">
        <v>201</v>
      </c>
      <c r="K23" s="51" t="s">
        <v>268</v>
      </c>
      <c r="L23" s="51">
        <v>2</v>
      </c>
      <c r="M23" s="51">
        <f t="shared" ref="M23" si="13">L23*5</f>
        <v>10</v>
      </c>
      <c r="N23" s="51">
        <v>15</v>
      </c>
      <c r="O23" s="71" t="s">
        <v>270</v>
      </c>
      <c r="P23" s="52">
        <v>0.18790000000000001</v>
      </c>
      <c r="Q23" s="52">
        <f t="shared" ref="Q23" si="14">P23*N23</f>
        <v>2.8185000000000002</v>
      </c>
      <c r="R23" s="51"/>
      <c r="S23" s="59"/>
    </row>
    <row r="24" spans="1:19" x14ac:dyDescent="0.25">
      <c r="A24" s="1"/>
      <c r="B24" s="46">
        <f>ROW(B24) - ROW($B$9)</f>
        <v>15</v>
      </c>
      <c r="C24" s="53" t="s">
        <v>269</v>
      </c>
      <c r="D24" s="72" t="s">
        <v>35</v>
      </c>
      <c r="E24" s="72" t="s">
        <v>78</v>
      </c>
      <c r="F24" s="73" t="s">
        <v>271</v>
      </c>
      <c r="G24" s="72" t="s">
        <v>115</v>
      </c>
      <c r="H24" s="72" t="s">
        <v>268</v>
      </c>
      <c r="I24" s="72" t="s">
        <v>268</v>
      </c>
      <c r="J24" s="72" t="s">
        <v>268</v>
      </c>
      <c r="K24" s="72" t="s">
        <v>268</v>
      </c>
      <c r="L24" s="72">
        <v>1</v>
      </c>
      <c r="M24" s="72">
        <f>L24*5</f>
        <v>5</v>
      </c>
      <c r="N24" s="72" t="s">
        <v>268</v>
      </c>
      <c r="O24" s="72" t="s">
        <v>268</v>
      </c>
      <c r="P24" s="74" t="s">
        <v>268</v>
      </c>
      <c r="Q24" s="74" t="s">
        <v>268</v>
      </c>
      <c r="R24" s="37"/>
      <c r="S24" s="59"/>
    </row>
    <row r="25" spans="1:19" x14ac:dyDescent="0.25">
      <c r="A25" s="1"/>
      <c r="B25" s="47">
        <f t="shared" si="0"/>
        <v>16</v>
      </c>
      <c r="C25" s="54" t="s">
        <v>13</v>
      </c>
      <c r="D25" s="51" t="s">
        <v>36</v>
      </c>
      <c r="E25" s="51" t="s">
        <v>79</v>
      </c>
      <c r="F25" s="51" t="s">
        <v>271</v>
      </c>
      <c r="G25" s="51" t="s">
        <v>116</v>
      </c>
      <c r="H25" s="51" t="s">
        <v>178</v>
      </c>
      <c r="I25" s="51" t="s">
        <v>268</v>
      </c>
      <c r="J25" s="51" t="s">
        <v>268</v>
      </c>
      <c r="K25" s="51" t="s">
        <v>268</v>
      </c>
      <c r="L25" s="51">
        <v>1</v>
      </c>
      <c r="M25" s="51">
        <f t="shared" ref="M25" si="15">L25*5</f>
        <v>5</v>
      </c>
      <c r="N25" s="51">
        <v>6</v>
      </c>
      <c r="O25" s="71" t="s">
        <v>277</v>
      </c>
      <c r="P25" s="52">
        <v>3.16</v>
      </c>
      <c r="Q25" s="52">
        <f t="shared" ref="Q25" si="16">P25*N25</f>
        <v>18.96</v>
      </c>
      <c r="R25" s="51"/>
      <c r="S25" s="59"/>
    </row>
    <row r="26" spans="1:19" ht="24" x14ac:dyDescent="0.25">
      <c r="A26" s="1"/>
      <c r="B26" s="46">
        <f>ROW(B26) - ROW($B$9)</f>
        <v>17</v>
      </c>
      <c r="C26" s="53" t="s">
        <v>14</v>
      </c>
      <c r="D26" s="37" t="s">
        <v>37</v>
      </c>
      <c r="E26" s="37" t="s">
        <v>80</v>
      </c>
      <c r="F26" s="51" t="s">
        <v>271</v>
      </c>
      <c r="G26" s="37" t="s">
        <v>142</v>
      </c>
      <c r="H26" s="37" t="s">
        <v>179</v>
      </c>
      <c r="I26" s="37"/>
      <c r="J26" s="37" t="s">
        <v>202</v>
      </c>
      <c r="K26" s="37" t="s">
        <v>236</v>
      </c>
      <c r="L26" s="37">
        <v>1</v>
      </c>
      <c r="M26" s="37">
        <f>L26*5</f>
        <v>5</v>
      </c>
      <c r="N26" s="37">
        <v>6</v>
      </c>
      <c r="O26" s="71" t="s">
        <v>270</v>
      </c>
      <c r="P26" s="38">
        <v>0.94820000000000004</v>
      </c>
      <c r="Q26" s="38">
        <f>P26*N26</f>
        <v>5.6892000000000005</v>
      </c>
      <c r="R26" s="37"/>
      <c r="S26" s="59"/>
    </row>
    <row r="27" spans="1:19" ht="48" x14ac:dyDescent="0.25">
      <c r="A27" s="1"/>
      <c r="B27" s="47">
        <f t="shared" si="0"/>
        <v>18</v>
      </c>
      <c r="C27" s="54" t="s">
        <v>15</v>
      </c>
      <c r="D27" s="51" t="s">
        <v>38</v>
      </c>
      <c r="E27" s="51" t="s">
        <v>81</v>
      </c>
      <c r="F27" s="51" t="s">
        <v>117</v>
      </c>
      <c r="G27" s="51" t="s">
        <v>143</v>
      </c>
      <c r="H27" s="51" t="s">
        <v>180</v>
      </c>
      <c r="I27" s="51"/>
      <c r="J27" s="51" t="s">
        <v>203</v>
      </c>
      <c r="K27" s="37" t="s">
        <v>268</v>
      </c>
      <c r="L27" s="51">
        <v>1</v>
      </c>
      <c r="M27" s="51">
        <f t="shared" ref="M27" si="17">L27*5</f>
        <v>5</v>
      </c>
      <c r="N27" s="51">
        <v>20</v>
      </c>
      <c r="O27" s="71" t="s">
        <v>270</v>
      </c>
      <c r="P27" s="52">
        <v>3.3500000000000002E-2</v>
      </c>
      <c r="Q27" s="52">
        <f t="shared" ref="Q27" si="18">P27*N27</f>
        <v>0.67</v>
      </c>
      <c r="R27" s="51"/>
      <c r="S27" s="59"/>
    </row>
    <row r="28" spans="1:19" ht="24" x14ac:dyDescent="0.25">
      <c r="A28" s="1"/>
      <c r="B28" s="46">
        <f>ROW(B28) - ROW($B$9)</f>
        <v>19</v>
      </c>
      <c r="C28" s="54" t="s">
        <v>15</v>
      </c>
      <c r="D28" s="37" t="s">
        <v>39</v>
      </c>
      <c r="E28" s="37" t="s">
        <v>82</v>
      </c>
      <c r="F28" s="37" t="s">
        <v>118</v>
      </c>
      <c r="G28" s="37" t="s">
        <v>144</v>
      </c>
      <c r="H28" s="37" t="s">
        <v>181</v>
      </c>
      <c r="I28" s="37"/>
      <c r="J28" s="37" t="s">
        <v>272</v>
      </c>
      <c r="K28" s="51" t="s">
        <v>268</v>
      </c>
      <c r="L28" s="37">
        <v>1</v>
      </c>
      <c r="M28" s="37">
        <f>L28*5</f>
        <v>5</v>
      </c>
      <c r="N28" s="37">
        <v>6</v>
      </c>
      <c r="O28" s="71" t="s">
        <v>270</v>
      </c>
      <c r="P28" s="38">
        <v>0.3453</v>
      </c>
      <c r="Q28" s="38">
        <f>P28*N28</f>
        <v>2.0718000000000001</v>
      </c>
      <c r="R28" s="37"/>
      <c r="S28" s="59"/>
    </row>
    <row r="29" spans="1:19" ht="36" x14ac:dyDescent="0.25">
      <c r="A29" s="1"/>
      <c r="B29" s="47">
        <f t="shared" si="0"/>
        <v>20</v>
      </c>
      <c r="C29" s="54" t="s">
        <v>16</v>
      </c>
      <c r="D29" s="51" t="s">
        <v>40</v>
      </c>
      <c r="E29" s="51" t="s">
        <v>83</v>
      </c>
      <c r="F29" s="51" t="s">
        <v>119</v>
      </c>
      <c r="G29" s="51" t="s">
        <v>145</v>
      </c>
      <c r="H29" s="51" t="s">
        <v>182</v>
      </c>
      <c r="I29" s="51"/>
      <c r="J29" s="51" t="s">
        <v>204</v>
      </c>
      <c r="K29" s="51" t="s">
        <v>237</v>
      </c>
      <c r="L29" s="51">
        <v>1</v>
      </c>
      <c r="M29" s="51">
        <f t="shared" ref="M29" si="19">L29*5</f>
        <v>5</v>
      </c>
      <c r="N29" s="51">
        <v>100</v>
      </c>
      <c r="O29" s="71" t="s">
        <v>270</v>
      </c>
      <c r="P29" s="52">
        <v>5.9999999999999995E-4</v>
      </c>
      <c r="Q29" s="52">
        <f t="shared" ref="Q29" si="20">P29*N29</f>
        <v>0.06</v>
      </c>
      <c r="R29" s="51"/>
      <c r="S29" s="59"/>
    </row>
    <row r="30" spans="1:19" x14ac:dyDescent="0.25">
      <c r="A30" s="1"/>
      <c r="B30" s="46">
        <f>ROW(B30) - ROW($B$9)</f>
        <v>21</v>
      </c>
      <c r="C30" s="53" t="s">
        <v>16</v>
      </c>
      <c r="D30" s="37" t="s">
        <v>41</v>
      </c>
      <c r="E30" s="37" t="s">
        <v>84</v>
      </c>
      <c r="F30" s="37" t="s">
        <v>119</v>
      </c>
      <c r="G30" s="37" t="s">
        <v>146</v>
      </c>
      <c r="H30" s="37" t="s">
        <v>171</v>
      </c>
      <c r="I30" s="37" t="s">
        <v>268</v>
      </c>
      <c r="J30" s="37" t="s">
        <v>205</v>
      </c>
      <c r="K30" s="37" t="s">
        <v>238</v>
      </c>
      <c r="L30" s="37">
        <v>1</v>
      </c>
      <c r="M30" s="37">
        <f>L30*5</f>
        <v>5</v>
      </c>
      <c r="N30" s="37">
        <v>50</v>
      </c>
      <c r="O30" s="71" t="s">
        <v>270</v>
      </c>
      <c r="P30" s="38">
        <v>5.4999999999999997E-3</v>
      </c>
      <c r="Q30" s="38">
        <f>P30*N30</f>
        <v>0.27499999999999997</v>
      </c>
      <c r="R30" s="37"/>
      <c r="S30" s="59"/>
    </row>
    <row r="31" spans="1:19" x14ac:dyDescent="0.25">
      <c r="A31" s="1"/>
      <c r="B31" s="47">
        <f t="shared" si="0"/>
        <v>22</v>
      </c>
      <c r="C31" s="54" t="s">
        <v>16</v>
      </c>
      <c r="D31" s="51" t="s">
        <v>42</v>
      </c>
      <c r="E31" s="51" t="s">
        <v>85</v>
      </c>
      <c r="F31" s="51" t="s">
        <v>120</v>
      </c>
      <c r="G31" s="51" t="s">
        <v>147</v>
      </c>
      <c r="H31" s="51" t="s">
        <v>171</v>
      </c>
      <c r="I31" s="51" t="s">
        <v>268</v>
      </c>
      <c r="J31" s="51" t="s">
        <v>206</v>
      </c>
      <c r="K31" s="51" t="s">
        <v>239</v>
      </c>
      <c r="L31" s="51">
        <v>1</v>
      </c>
      <c r="M31" s="51">
        <f t="shared" ref="M31" si="21">L31*5</f>
        <v>5</v>
      </c>
      <c r="N31" s="51">
        <v>100</v>
      </c>
      <c r="O31" s="71" t="s">
        <v>270</v>
      </c>
      <c r="P31" s="52">
        <v>6.9999999999999999E-4</v>
      </c>
      <c r="Q31" s="52">
        <f t="shared" ref="Q31" si="22">P31*N31</f>
        <v>6.9999999999999993E-2</v>
      </c>
      <c r="R31" s="51"/>
      <c r="S31" s="59"/>
    </row>
    <row r="32" spans="1:19" x14ac:dyDescent="0.25">
      <c r="A32" s="1"/>
      <c r="B32" s="46">
        <f>ROW(B32) - ROW($B$9)</f>
        <v>23</v>
      </c>
      <c r="C32" s="53" t="s">
        <v>16</v>
      </c>
      <c r="D32" s="37" t="s">
        <v>43</v>
      </c>
      <c r="E32" s="37" t="s">
        <v>86</v>
      </c>
      <c r="F32" s="37" t="s">
        <v>121</v>
      </c>
      <c r="G32" s="37" t="s">
        <v>148</v>
      </c>
      <c r="H32" s="37" t="s">
        <v>171</v>
      </c>
      <c r="I32" s="37" t="s">
        <v>268</v>
      </c>
      <c r="J32" s="37" t="s">
        <v>207</v>
      </c>
      <c r="K32" s="37" t="s">
        <v>240</v>
      </c>
      <c r="L32" s="37">
        <v>1</v>
      </c>
      <c r="M32" s="37">
        <f>L32*5</f>
        <v>5</v>
      </c>
      <c r="N32" s="37">
        <v>10</v>
      </c>
      <c r="O32" s="71" t="s">
        <v>270</v>
      </c>
      <c r="P32" s="38">
        <v>7.4800000000000005E-2</v>
      </c>
      <c r="Q32" s="38">
        <f>P32*N32</f>
        <v>0.748</v>
      </c>
      <c r="R32" s="37"/>
      <c r="S32" s="59"/>
    </row>
    <row r="33" spans="1:19" x14ac:dyDescent="0.25">
      <c r="A33" s="1"/>
      <c r="B33" s="47">
        <f t="shared" si="0"/>
        <v>24</v>
      </c>
      <c r="C33" s="54" t="s">
        <v>16</v>
      </c>
      <c r="D33" s="51" t="s">
        <v>44</v>
      </c>
      <c r="E33" s="51" t="s">
        <v>87</v>
      </c>
      <c r="F33" s="51" t="s">
        <v>119</v>
      </c>
      <c r="G33" s="51" t="s">
        <v>149</v>
      </c>
      <c r="H33" s="51" t="s">
        <v>171</v>
      </c>
      <c r="I33" s="51" t="s">
        <v>268</v>
      </c>
      <c r="J33" s="51" t="s">
        <v>208</v>
      </c>
      <c r="K33" s="51" t="s">
        <v>241</v>
      </c>
      <c r="L33" s="51">
        <v>1</v>
      </c>
      <c r="M33" s="51">
        <f t="shared" ref="M33" si="23">L33*5</f>
        <v>5</v>
      </c>
      <c r="N33" s="51">
        <v>100</v>
      </c>
      <c r="O33" s="71" t="s">
        <v>270</v>
      </c>
      <c r="P33" s="52">
        <v>6.9999999999999999E-4</v>
      </c>
      <c r="Q33" s="52">
        <f t="shared" ref="Q33" si="24">P33*N33</f>
        <v>6.9999999999999993E-2</v>
      </c>
      <c r="R33" s="51"/>
      <c r="S33" s="59"/>
    </row>
    <row r="34" spans="1:19" ht="24" x14ac:dyDescent="0.25">
      <c r="A34" s="1"/>
      <c r="B34" s="46">
        <f>ROW(B34) - ROW($B$9)</f>
        <v>25</v>
      </c>
      <c r="C34" s="53" t="s">
        <v>16</v>
      </c>
      <c r="D34" s="37" t="s">
        <v>45</v>
      </c>
      <c r="E34" s="37" t="s">
        <v>88</v>
      </c>
      <c r="F34" s="37" t="s">
        <v>119</v>
      </c>
      <c r="G34" s="37" t="s">
        <v>150</v>
      </c>
      <c r="H34" s="37" t="s">
        <v>182</v>
      </c>
      <c r="I34" s="37" t="s">
        <v>268</v>
      </c>
      <c r="J34" s="37" t="s">
        <v>209</v>
      </c>
      <c r="K34" s="37" t="s">
        <v>242</v>
      </c>
      <c r="L34" s="37">
        <v>1</v>
      </c>
      <c r="M34" s="37">
        <f>L34*5</f>
        <v>5</v>
      </c>
      <c r="N34" s="37">
        <v>100</v>
      </c>
      <c r="O34" s="71" t="s">
        <v>270</v>
      </c>
      <c r="P34" s="38">
        <v>1E-3</v>
      </c>
      <c r="Q34" s="38">
        <f>P34*N34</f>
        <v>0.1</v>
      </c>
      <c r="R34" s="37"/>
      <c r="S34" s="59"/>
    </row>
    <row r="35" spans="1:19" x14ac:dyDescent="0.25">
      <c r="A35" s="1"/>
      <c r="B35" s="47">
        <f t="shared" si="0"/>
        <v>26</v>
      </c>
      <c r="C35" s="53" t="s">
        <v>16</v>
      </c>
      <c r="D35" s="51" t="s">
        <v>46</v>
      </c>
      <c r="E35" s="51" t="s">
        <v>89</v>
      </c>
      <c r="F35" s="51" t="s">
        <v>122</v>
      </c>
      <c r="G35" s="72" t="s">
        <v>151</v>
      </c>
      <c r="H35" s="51" t="s">
        <v>183</v>
      </c>
      <c r="I35" s="51" t="s">
        <v>278</v>
      </c>
      <c r="J35" s="51" t="s">
        <v>279</v>
      </c>
      <c r="K35" s="51" t="s">
        <v>243</v>
      </c>
      <c r="L35" s="51">
        <v>1</v>
      </c>
      <c r="M35" s="51">
        <f t="shared" ref="M35" si="25">L35*5</f>
        <v>5</v>
      </c>
      <c r="N35" s="51">
        <v>100</v>
      </c>
      <c r="O35" s="71" t="s">
        <v>270</v>
      </c>
      <c r="P35" s="52">
        <v>1.1999999999999999E-3</v>
      </c>
      <c r="Q35" s="52">
        <f t="shared" ref="Q35" si="26">P35*N35</f>
        <v>0.12</v>
      </c>
      <c r="R35" s="51"/>
      <c r="S35" s="59"/>
    </row>
    <row r="36" spans="1:19" x14ac:dyDescent="0.25">
      <c r="A36" s="1"/>
      <c r="B36" s="46">
        <f>ROW(B36) - ROW($B$9)</f>
        <v>27</v>
      </c>
      <c r="C36" s="53" t="s">
        <v>16</v>
      </c>
      <c r="D36" s="37" t="s">
        <v>47</v>
      </c>
      <c r="E36" s="37" t="s">
        <v>90</v>
      </c>
      <c r="F36" s="37" t="s">
        <v>119</v>
      </c>
      <c r="G36" s="37" t="s">
        <v>152</v>
      </c>
      <c r="H36" s="37" t="s">
        <v>171</v>
      </c>
      <c r="I36" s="37" t="s">
        <v>268</v>
      </c>
      <c r="J36" s="37" t="s">
        <v>210</v>
      </c>
      <c r="K36" s="37" t="s">
        <v>244</v>
      </c>
      <c r="L36" s="37">
        <v>1</v>
      </c>
      <c r="M36" s="37">
        <f>L36*5</f>
        <v>5</v>
      </c>
      <c r="N36" s="37">
        <v>100</v>
      </c>
      <c r="O36" s="71" t="s">
        <v>270</v>
      </c>
      <c r="P36" s="38">
        <v>8.9999999999999998E-4</v>
      </c>
      <c r="Q36" s="38">
        <f>P36*N36</f>
        <v>0.09</v>
      </c>
      <c r="R36" s="37"/>
      <c r="S36" s="59"/>
    </row>
    <row r="37" spans="1:19" x14ac:dyDescent="0.25">
      <c r="A37" s="1"/>
      <c r="B37" s="47">
        <f t="shared" si="0"/>
        <v>28</v>
      </c>
      <c r="C37" s="54" t="s">
        <v>16</v>
      </c>
      <c r="D37" s="51" t="s">
        <v>48</v>
      </c>
      <c r="E37" s="51" t="s">
        <v>91</v>
      </c>
      <c r="F37" s="51" t="s">
        <v>119</v>
      </c>
      <c r="G37" s="51" t="s">
        <v>153</v>
      </c>
      <c r="H37" s="51" t="s">
        <v>171</v>
      </c>
      <c r="I37" s="51" t="s">
        <v>268</v>
      </c>
      <c r="J37" s="51" t="s">
        <v>211</v>
      </c>
      <c r="K37" s="51" t="s">
        <v>245</v>
      </c>
      <c r="L37" s="51">
        <v>1</v>
      </c>
      <c r="M37" s="51">
        <f t="shared" ref="M37" si="27">L37*5</f>
        <v>5</v>
      </c>
      <c r="N37" s="51">
        <v>50</v>
      </c>
      <c r="O37" s="71" t="s">
        <v>270</v>
      </c>
      <c r="P37" s="52">
        <v>5.4999999999999997E-3</v>
      </c>
      <c r="Q37" s="52">
        <f t="shared" ref="Q37" si="28">P37*N37</f>
        <v>0.27499999999999997</v>
      </c>
      <c r="R37" s="51"/>
      <c r="S37" s="59"/>
    </row>
    <row r="38" spans="1:19" ht="36" x14ac:dyDescent="0.25">
      <c r="A38" s="1"/>
      <c r="B38" s="46">
        <f>ROW(B38) - ROW($B$9)</f>
        <v>29</v>
      </c>
      <c r="C38" s="53" t="s">
        <v>16</v>
      </c>
      <c r="D38" s="37" t="s">
        <v>49</v>
      </c>
      <c r="E38" s="37" t="s">
        <v>92</v>
      </c>
      <c r="F38" s="37" t="s">
        <v>119</v>
      </c>
      <c r="G38" s="37" t="s">
        <v>154</v>
      </c>
      <c r="H38" s="37" t="s">
        <v>171</v>
      </c>
      <c r="I38" s="37" t="s">
        <v>268</v>
      </c>
      <c r="J38" s="37" t="s">
        <v>212</v>
      </c>
      <c r="K38" s="37" t="s">
        <v>246</v>
      </c>
      <c r="L38" s="37">
        <v>17</v>
      </c>
      <c r="M38" s="37">
        <f>L38*5</f>
        <v>85</v>
      </c>
      <c r="N38" s="37">
        <v>100</v>
      </c>
      <c r="O38" s="71" t="s">
        <v>270</v>
      </c>
      <c r="P38" s="38">
        <v>8.9999999999999998E-4</v>
      </c>
      <c r="Q38" s="38">
        <f>P38*N38</f>
        <v>0.09</v>
      </c>
      <c r="R38" s="37"/>
      <c r="S38" s="59"/>
    </row>
    <row r="39" spans="1:19" x14ac:dyDescent="0.25">
      <c r="A39" s="1"/>
      <c r="B39" s="47">
        <f t="shared" si="0"/>
        <v>30</v>
      </c>
      <c r="C39" s="54" t="s">
        <v>16</v>
      </c>
      <c r="D39" s="51" t="s">
        <v>50</v>
      </c>
      <c r="E39" s="51" t="s">
        <v>93</v>
      </c>
      <c r="F39" s="51" t="s">
        <v>122</v>
      </c>
      <c r="G39" s="51" t="s">
        <v>155</v>
      </c>
      <c r="H39" s="51" t="s">
        <v>171</v>
      </c>
      <c r="I39" s="51" t="s">
        <v>268</v>
      </c>
      <c r="J39" s="51" t="s">
        <v>213</v>
      </c>
      <c r="K39" s="51" t="s">
        <v>247</v>
      </c>
      <c r="L39" s="51">
        <v>1</v>
      </c>
      <c r="M39" s="51">
        <f t="shared" ref="M39" si="29">L39*5</f>
        <v>5</v>
      </c>
      <c r="N39" s="51">
        <v>100</v>
      </c>
      <c r="O39" s="71" t="s">
        <v>270</v>
      </c>
      <c r="P39" s="52">
        <v>1E-3</v>
      </c>
      <c r="Q39" s="52">
        <f t="shared" ref="Q39" si="30">P39*N39</f>
        <v>0.1</v>
      </c>
      <c r="R39" s="51"/>
      <c r="S39" s="59"/>
    </row>
    <row r="40" spans="1:19" x14ac:dyDescent="0.25">
      <c r="A40" s="1"/>
      <c r="B40" s="46">
        <f>ROW(B40) - ROW($B$9)</f>
        <v>31</v>
      </c>
      <c r="C40" s="53" t="s">
        <v>16</v>
      </c>
      <c r="D40" s="37" t="s">
        <v>51</v>
      </c>
      <c r="E40" s="37" t="s">
        <v>94</v>
      </c>
      <c r="F40" s="37" t="s">
        <v>122</v>
      </c>
      <c r="G40" s="37" t="s">
        <v>156</v>
      </c>
      <c r="H40" s="37" t="s">
        <v>171</v>
      </c>
      <c r="I40" s="37" t="s">
        <v>268</v>
      </c>
      <c r="J40" s="37" t="s">
        <v>214</v>
      </c>
      <c r="K40" s="37" t="s">
        <v>248</v>
      </c>
      <c r="L40" s="37">
        <v>2</v>
      </c>
      <c r="M40" s="37">
        <f>L40*5</f>
        <v>10</v>
      </c>
      <c r="N40" s="37">
        <v>100</v>
      </c>
      <c r="O40" s="71" t="s">
        <v>270</v>
      </c>
      <c r="P40" s="38">
        <v>1.1000000000000001E-3</v>
      </c>
      <c r="Q40" s="38">
        <f>P40*N40</f>
        <v>0.11</v>
      </c>
      <c r="R40" s="37"/>
      <c r="S40" s="59"/>
    </row>
    <row r="41" spans="1:19" x14ac:dyDescent="0.25">
      <c r="A41" s="1"/>
      <c r="B41" s="47">
        <f t="shared" si="0"/>
        <v>32</v>
      </c>
      <c r="C41" s="54" t="s">
        <v>16</v>
      </c>
      <c r="D41" s="51" t="s">
        <v>52</v>
      </c>
      <c r="E41" s="51" t="s">
        <v>95</v>
      </c>
      <c r="F41" s="51" t="s">
        <v>122</v>
      </c>
      <c r="G41" s="51" t="s">
        <v>157</v>
      </c>
      <c r="H41" s="51" t="s">
        <v>171</v>
      </c>
      <c r="I41" s="51" t="s">
        <v>268</v>
      </c>
      <c r="J41" s="51" t="s">
        <v>215</v>
      </c>
      <c r="K41" s="51" t="s">
        <v>249</v>
      </c>
      <c r="L41" s="51">
        <v>2</v>
      </c>
      <c r="M41" s="51">
        <f t="shared" ref="M41" si="31">L41*5</f>
        <v>10</v>
      </c>
      <c r="N41" s="51">
        <v>100</v>
      </c>
      <c r="O41" s="71" t="s">
        <v>270</v>
      </c>
      <c r="P41" s="52">
        <v>1.2999999999999999E-3</v>
      </c>
      <c r="Q41" s="52">
        <f t="shared" ref="Q41" si="32">P41*N41</f>
        <v>0.13</v>
      </c>
      <c r="R41" s="51"/>
      <c r="S41" s="59"/>
    </row>
    <row r="42" spans="1:19" x14ac:dyDescent="0.25">
      <c r="A42" s="1"/>
      <c r="B42" s="46">
        <f>ROW(B42) - ROW($B$9)</f>
        <v>33</v>
      </c>
      <c r="C42" s="53" t="s">
        <v>16</v>
      </c>
      <c r="D42" s="37" t="s">
        <v>53</v>
      </c>
      <c r="E42" s="37" t="s">
        <v>96</v>
      </c>
      <c r="F42" s="37" t="s">
        <v>119</v>
      </c>
      <c r="G42" s="37" t="s">
        <v>158</v>
      </c>
      <c r="H42" s="37" t="s">
        <v>171</v>
      </c>
      <c r="I42" s="37" t="s">
        <v>268</v>
      </c>
      <c r="J42" s="37" t="s">
        <v>216</v>
      </c>
      <c r="K42" s="37" t="s">
        <v>250</v>
      </c>
      <c r="L42" s="37">
        <v>4</v>
      </c>
      <c r="M42" s="37">
        <f>L42*5</f>
        <v>20</v>
      </c>
      <c r="N42" s="37">
        <v>100</v>
      </c>
      <c r="O42" s="71" t="s">
        <v>270</v>
      </c>
      <c r="P42" s="38">
        <v>1E-3</v>
      </c>
      <c r="Q42" s="38">
        <f>P42*N42</f>
        <v>0.1</v>
      </c>
      <c r="R42" s="37"/>
      <c r="S42" s="59"/>
    </row>
    <row r="43" spans="1:19" x14ac:dyDescent="0.25">
      <c r="A43" s="1"/>
      <c r="B43" s="47">
        <f t="shared" si="0"/>
        <v>34</v>
      </c>
      <c r="C43" s="54" t="s">
        <v>16</v>
      </c>
      <c r="D43" s="51" t="s">
        <v>54</v>
      </c>
      <c r="E43" s="51" t="s">
        <v>97</v>
      </c>
      <c r="F43" s="51" t="s">
        <v>122</v>
      </c>
      <c r="G43" s="51" t="s">
        <v>159</v>
      </c>
      <c r="H43" s="51" t="s">
        <v>171</v>
      </c>
      <c r="I43" s="51" t="s">
        <v>268</v>
      </c>
      <c r="J43" s="51" t="s">
        <v>217</v>
      </c>
      <c r="K43" s="51" t="s">
        <v>251</v>
      </c>
      <c r="L43" s="51">
        <v>1</v>
      </c>
      <c r="M43" s="51">
        <f t="shared" ref="M43" si="33">L43*5</f>
        <v>5</v>
      </c>
      <c r="N43" s="51">
        <v>100</v>
      </c>
      <c r="O43" s="71" t="s">
        <v>270</v>
      </c>
      <c r="P43" s="52">
        <v>2.7000000000000001E-3</v>
      </c>
      <c r="Q43" s="52">
        <f t="shared" ref="Q43" si="34">P43*N43</f>
        <v>0.27</v>
      </c>
      <c r="R43" s="51"/>
      <c r="S43" s="59"/>
    </row>
    <row r="44" spans="1:19" x14ac:dyDescent="0.25">
      <c r="A44" s="1"/>
      <c r="B44" s="46">
        <f>ROW(B44) - ROW($B$9)</f>
        <v>35</v>
      </c>
      <c r="C44" s="53" t="s">
        <v>16</v>
      </c>
      <c r="D44" s="37" t="s">
        <v>55</v>
      </c>
      <c r="E44" s="37" t="s">
        <v>98</v>
      </c>
      <c r="F44" s="37" t="s">
        <v>122</v>
      </c>
      <c r="G44" s="37" t="s">
        <v>160</v>
      </c>
      <c r="H44" s="37" t="s">
        <v>171</v>
      </c>
      <c r="I44" s="37" t="s">
        <v>268</v>
      </c>
      <c r="J44" s="37" t="s">
        <v>218</v>
      </c>
      <c r="K44" s="37" t="s">
        <v>252</v>
      </c>
      <c r="L44" s="37">
        <v>4</v>
      </c>
      <c r="M44" s="37">
        <f>L44*5</f>
        <v>20</v>
      </c>
      <c r="N44" s="37">
        <v>100</v>
      </c>
      <c r="O44" s="71" t="s">
        <v>270</v>
      </c>
      <c r="P44" s="38">
        <v>1.1999999999999999E-3</v>
      </c>
      <c r="Q44" s="38">
        <f>P44*N44</f>
        <v>0.12</v>
      </c>
      <c r="R44" s="37"/>
      <c r="S44" s="59"/>
    </row>
    <row r="45" spans="1:19" x14ac:dyDescent="0.25">
      <c r="A45" s="1"/>
      <c r="B45" s="47">
        <f t="shared" si="0"/>
        <v>36</v>
      </c>
      <c r="C45" s="53" t="s">
        <v>16</v>
      </c>
      <c r="D45" s="51" t="s">
        <v>56</v>
      </c>
      <c r="E45" s="51" t="s">
        <v>99</v>
      </c>
      <c r="F45" s="51" t="s">
        <v>122</v>
      </c>
      <c r="G45" s="51" t="s">
        <v>161</v>
      </c>
      <c r="H45" s="51" t="s">
        <v>171</v>
      </c>
      <c r="I45" s="51" t="s">
        <v>268</v>
      </c>
      <c r="J45" s="51" t="s">
        <v>219</v>
      </c>
      <c r="K45" s="51" t="s">
        <v>253</v>
      </c>
      <c r="L45" s="51">
        <v>1</v>
      </c>
      <c r="M45" s="51">
        <f t="shared" ref="M45" si="35">L45*5</f>
        <v>5</v>
      </c>
      <c r="N45" s="51">
        <v>100</v>
      </c>
      <c r="O45" s="71" t="s">
        <v>270</v>
      </c>
      <c r="P45" s="52">
        <v>1.2999999999999999E-3</v>
      </c>
      <c r="Q45" s="52">
        <f t="shared" ref="Q45" si="36">P45*N45</f>
        <v>0.13</v>
      </c>
      <c r="R45" s="51"/>
      <c r="S45" s="59"/>
    </row>
    <row r="46" spans="1:19" x14ac:dyDescent="0.25">
      <c r="A46" s="1"/>
      <c r="B46" s="46">
        <f>ROW(B46) - ROW($B$9)</f>
        <v>37</v>
      </c>
      <c r="C46" s="53" t="s">
        <v>16</v>
      </c>
      <c r="D46" s="37" t="s">
        <v>57</v>
      </c>
      <c r="E46" s="37" t="s">
        <v>100</v>
      </c>
      <c r="F46" s="37" t="s">
        <v>122</v>
      </c>
      <c r="G46" s="37" t="s">
        <v>162</v>
      </c>
      <c r="H46" s="37" t="s">
        <v>171</v>
      </c>
      <c r="I46" s="37" t="s">
        <v>268</v>
      </c>
      <c r="J46" s="37" t="s">
        <v>220</v>
      </c>
      <c r="K46" s="37" t="s">
        <v>254</v>
      </c>
      <c r="L46" s="37">
        <v>1</v>
      </c>
      <c r="M46" s="37">
        <f>L46*5</f>
        <v>5</v>
      </c>
      <c r="N46" s="37">
        <v>100</v>
      </c>
      <c r="O46" s="71" t="s">
        <v>270</v>
      </c>
      <c r="P46" s="38">
        <v>1.2999999999999999E-3</v>
      </c>
      <c r="Q46" s="38">
        <f>P46*N46</f>
        <v>0.13</v>
      </c>
      <c r="R46" s="37"/>
      <c r="S46" s="59"/>
    </row>
    <row r="47" spans="1:19" x14ac:dyDescent="0.25">
      <c r="A47" s="1"/>
      <c r="B47" s="47">
        <f t="shared" si="0"/>
        <v>38</v>
      </c>
      <c r="C47" s="54" t="s">
        <v>17</v>
      </c>
      <c r="D47" s="51" t="s">
        <v>58</v>
      </c>
      <c r="E47" s="51" t="s">
        <v>101</v>
      </c>
      <c r="F47" s="51" t="s">
        <v>123</v>
      </c>
      <c r="G47" s="51" t="s">
        <v>163</v>
      </c>
      <c r="H47" s="51" t="s">
        <v>184</v>
      </c>
      <c r="I47" s="51" t="s">
        <v>268</v>
      </c>
      <c r="J47" s="51" t="s">
        <v>221</v>
      </c>
      <c r="K47" s="51" t="s">
        <v>268</v>
      </c>
      <c r="L47" s="51">
        <v>1</v>
      </c>
      <c r="M47" s="51">
        <f t="shared" ref="M47" si="37">L47*5</f>
        <v>5</v>
      </c>
      <c r="N47" s="51"/>
      <c r="O47" s="37" t="s">
        <v>270</v>
      </c>
      <c r="P47" s="52"/>
      <c r="Q47" s="52">
        <f t="shared" ref="Q47" si="38">P47*N47</f>
        <v>0</v>
      </c>
      <c r="R47" s="51"/>
      <c r="S47" s="59"/>
    </row>
    <row r="48" spans="1:19" ht="24" x14ac:dyDescent="0.25">
      <c r="A48" s="1"/>
      <c r="B48" s="46">
        <f>ROW(B48) - ROW($B$9)</f>
        <v>39</v>
      </c>
      <c r="C48" s="53" t="s">
        <v>17</v>
      </c>
      <c r="D48" s="37" t="s">
        <v>59</v>
      </c>
      <c r="E48" s="37" t="s">
        <v>102</v>
      </c>
      <c r="F48" s="37" t="s">
        <v>124</v>
      </c>
      <c r="G48" s="37" t="s">
        <v>164</v>
      </c>
      <c r="H48" s="37" t="s">
        <v>185</v>
      </c>
      <c r="I48" s="37"/>
      <c r="J48" s="37" t="s">
        <v>222</v>
      </c>
      <c r="K48" s="37" t="s">
        <v>268</v>
      </c>
      <c r="L48" s="37">
        <v>1</v>
      </c>
      <c r="M48" s="37">
        <f>L48*5</f>
        <v>5</v>
      </c>
      <c r="N48" s="37">
        <v>6</v>
      </c>
      <c r="O48" s="71" t="s">
        <v>270</v>
      </c>
      <c r="P48" s="38">
        <v>0.64910000000000001</v>
      </c>
      <c r="Q48" s="38">
        <f>P48*N48</f>
        <v>3.8946000000000001</v>
      </c>
      <c r="R48" s="37"/>
      <c r="S48" s="59"/>
    </row>
    <row r="49" spans="1:19" x14ac:dyDescent="0.25">
      <c r="A49" s="1"/>
      <c r="B49" s="47">
        <f t="shared" si="0"/>
        <v>40</v>
      </c>
      <c r="C49" s="54" t="s">
        <v>17</v>
      </c>
      <c r="D49" s="51" t="s">
        <v>60</v>
      </c>
      <c r="E49" s="51" t="s">
        <v>103</v>
      </c>
      <c r="F49" s="51" t="s">
        <v>125</v>
      </c>
      <c r="G49" s="51" t="s">
        <v>165</v>
      </c>
      <c r="H49" s="51" t="s">
        <v>186</v>
      </c>
      <c r="I49" s="51"/>
      <c r="J49" s="51" t="s">
        <v>223</v>
      </c>
      <c r="K49" s="51" t="s">
        <v>268</v>
      </c>
      <c r="L49" s="51">
        <v>1</v>
      </c>
      <c r="M49" s="51">
        <f t="shared" ref="M49" si="39">L49*5</f>
        <v>5</v>
      </c>
      <c r="N49" s="51">
        <v>6</v>
      </c>
      <c r="O49" s="71" t="s">
        <v>270</v>
      </c>
      <c r="P49" s="52">
        <v>2.6839</v>
      </c>
      <c r="Q49" s="52">
        <f t="shared" ref="Q49" si="40">P49*N49</f>
        <v>16.103400000000001</v>
      </c>
      <c r="R49" s="51"/>
      <c r="S49" s="59"/>
    </row>
    <row r="50" spans="1:19" x14ac:dyDescent="0.25">
      <c r="A50" s="1"/>
      <c r="B50" s="46">
        <f>ROW(B50) - ROW($B$9)</f>
        <v>41</v>
      </c>
      <c r="C50" s="53" t="s">
        <v>18</v>
      </c>
      <c r="D50" s="37" t="s">
        <v>61</v>
      </c>
      <c r="E50" s="37" t="s">
        <v>104</v>
      </c>
      <c r="F50" s="37" t="s">
        <v>126</v>
      </c>
      <c r="G50" s="37" t="s">
        <v>166</v>
      </c>
      <c r="H50" s="37" t="s">
        <v>187</v>
      </c>
      <c r="I50" s="37"/>
      <c r="J50" s="37" t="s">
        <v>224</v>
      </c>
      <c r="K50" s="37" t="s">
        <v>268</v>
      </c>
      <c r="L50" s="37">
        <v>1</v>
      </c>
      <c r="M50" s="37">
        <f>L50*5</f>
        <v>5</v>
      </c>
      <c r="N50" s="37">
        <v>6</v>
      </c>
      <c r="O50" s="71" t="s">
        <v>270</v>
      </c>
      <c r="P50" s="38">
        <v>0.56479999999999997</v>
      </c>
      <c r="Q50" s="38">
        <f>P50*N50</f>
        <v>3.3887999999999998</v>
      </c>
      <c r="R50" s="37"/>
      <c r="S50" s="59"/>
    </row>
    <row r="51" spans="1:19" ht="15.75" thickBot="1" x14ac:dyDescent="0.3">
      <c r="A51" s="1"/>
      <c r="B51" s="47">
        <f t="shared" si="0"/>
        <v>42</v>
      </c>
      <c r="C51" s="54" t="s">
        <v>19</v>
      </c>
      <c r="D51" s="51" t="s">
        <v>62</v>
      </c>
      <c r="E51" s="51" t="s">
        <v>105</v>
      </c>
      <c r="F51" s="51" t="s">
        <v>271</v>
      </c>
      <c r="G51" s="51" t="s">
        <v>127</v>
      </c>
      <c r="H51" s="51" t="s">
        <v>188</v>
      </c>
      <c r="I51" s="51"/>
      <c r="J51" s="51" t="s">
        <v>225</v>
      </c>
      <c r="K51" s="37" t="s">
        <v>268</v>
      </c>
      <c r="L51" s="51">
        <v>1</v>
      </c>
      <c r="M51" s="51">
        <f t="shared" ref="M51" si="41">L51*5</f>
        <v>5</v>
      </c>
      <c r="N51" s="51">
        <v>6</v>
      </c>
      <c r="O51" s="71" t="s">
        <v>270</v>
      </c>
      <c r="P51" s="52">
        <v>0.25240000000000001</v>
      </c>
      <c r="Q51" s="52">
        <f t="shared" ref="Q51" si="42">P51*N51</f>
        <v>1.5144000000000002</v>
      </c>
      <c r="R51" s="51"/>
      <c r="S51" s="39"/>
    </row>
    <row r="52" spans="1:19" ht="19.5" thickBot="1" x14ac:dyDescent="0.3">
      <c r="A52" s="1"/>
      <c r="B52" s="40"/>
      <c r="C52" s="41"/>
      <c r="D52" s="42"/>
      <c r="E52" s="43"/>
      <c r="F52" s="44"/>
      <c r="G52" s="45"/>
      <c r="H52" s="44"/>
      <c r="I52" s="45"/>
      <c r="J52" s="44"/>
      <c r="K52" s="45"/>
      <c r="L52" s="45"/>
      <c r="M52" s="45"/>
      <c r="N52" s="68" t="s">
        <v>5</v>
      </c>
      <c r="O52" s="69"/>
      <c r="P52" s="69"/>
      <c r="Q52" s="48">
        <f>SUM(Q10:Q51)</f>
        <v>75.907100000000014</v>
      </c>
      <c r="R52" s="64"/>
      <c r="S52" s="65"/>
    </row>
    <row r="53" spans="1:19" ht="19.5" thickBot="1" x14ac:dyDescent="0.3">
      <c r="A53" s="1"/>
      <c r="B53" s="25"/>
      <c r="C53" s="36"/>
      <c r="D53" s="9"/>
      <c r="E53" s="10"/>
      <c r="F53" s="10"/>
      <c r="G53" s="10"/>
      <c r="H53" s="10"/>
      <c r="I53" s="10"/>
      <c r="J53" s="10"/>
      <c r="K53" s="10"/>
      <c r="L53" s="10"/>
      <c r="M53" s="10"/>
      <c r="N53" s="68" t="s">
        <v>6</v>
      </c>
      <c r="O53" s="69"/>
      <c r="P53" s="69"/>
      <c r="Q53" s="49">
        <f>Q52/5</f>
        <v>15.181420000000003</v>
      </c>
      <c r="R53" s="66"/>
      <c r="S53" s="67"/>
    </row>
  </sheetData>
  <mergeCells count="5">
    <mergeCell ref="K1:S1"/>
    <mergeCell ref="S3:S8"/>
    <mergeCell ref="R52:S53"/>
    <mergeCell ref="N52:P52"/>
    <mergeCell ref="N53:P53"/>
  </mergeCells>
  <hyperlinks>
    <hyperlink ref="O10" r:id="rId1"/>
    <hyperlink ref="O11" r:id="rId2"/>
    <hyperlink ref="O13" r:id="rId3"/>
    <hyperlink ref="O14" r:id="rId4"/>
    <hyperlink ref="O16" r:id="rId5"/>
    <hyperlink ref="O17" r:id="rId6"/>
    <hyperlink ref="O18" r:id="rId7"/>
    <hyperlink ref="O19" r:id="rId8"/>
    <hyperlink ref="O20" r:id="rId9"/>
    <hyperlink ref="O21" r:id="rId10"/>
    <hyperlink ref="O22" r:id="rId11"/>
    <hyperlink ref="O23" r:id="rId12"/>
    <hyperlink ref="O26" r:id="rId13"/>
    <hyperlink ref="O27" r:id="rId14"/>
    <hyperlink ref="O28" r:id="rId15"/>
    <hyperlink ref="O29" r:id="rId16"/>
    <hyperlink ref="O30" r:id="rId17"/>
    <hyperlink ref="O31" r:id="rId18"/>
    <hyperlink ref="O32" r:id="rId19"/>
    <hyperlink ref="O33" r:id="rId20"/>
    <hyperlink ref="O34" r:id="rId21"/>
    <hyperlink ref="O36" r:id="rId22"/>
    <hyperlink ref="O37" r:id="rId23"/>
    <hyperlink ref="O38" r:id="rId24"/>
    <hyperlink ref="O39" r:id="rId25"/>
    <hyperlink ref="O40" r:id="rId26"/>
    <hyperlink ref="O41" r:id="rId27"/>
    <hyperlink ref="O42" r:id="rId28"/>
    <hyperlink ref="O43" r:id="rId29"/>
    <hyperlink ref="O44" r:id="rId30"/>
    <hyperlink ref="O45" r:id="rId31"/>
    <hyperlink ref="O46" r:id="rId32"/>
    <hyperlink ref="O48" r:id="rId33"/>
    <hyperlink ref="O49" r:id="rId34"/>
    <hyperlink ref="O50" r:id="rId35"/>
    <hyperlink ref="O51" r:id="rId36"/>
    <hyperlink ref="O12" r:id="rId37"/>
    <hyperlink ref="O15" r:id="rId38"/>
    <hyperlink ref="O25" r:id="rId39"/>
    <hyperlink ref="O35" r:id="rId40"/>
  </hyperlinks>
  <pageMargins left="0.7" right="0.7" top="0.75" bottom="0.75" header="0.3" footer="0.3"/>
  <pageSetup paperSize="9" orientation="portrait" r:id="rId41"/>
  <drawing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2023-06-21T16:37:37Z</dcterms:modified>
</cp:coreProperties>
</file>