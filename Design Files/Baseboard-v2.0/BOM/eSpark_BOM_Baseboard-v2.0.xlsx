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89" i="1" l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0" i="1"/>
  <c r="Q91" i="1" s="1"/>
  <c r="M11" i="1"/>
  <c r="M10" i="1"/>
  <c r="B11" i="1"/>
  <c r="B10" i="1"/>
</calcChain>
</file>

<file path=xl/sharedStrings.xml><?xml version="1.0" encoding="utf-8"?>
<sst xmlns="http://schemas.openxmlformats.org/spreadsheetml/2006/main" count="823" uniqueCount="488">
  <si>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</si>
  <si>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</si>
  <si>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</si>
  <si>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</si>
  <si>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</si>
  <si>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</si>
  <si>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</si>
  <si>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</si>
  <si>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</si>
  <si>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</si>
  <si>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</si>
  <si>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</si>
  <si>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</si>
  <si>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</si>
  <si>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</si>
  <si>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Wire To Board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</si>
  <si>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</si>
  <si>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</si>
  <si>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</si>
  <si>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</si>
  <si>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</si>
  <si>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</si>
  <si>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</si>
  <si>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</si>
  <si>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</si>
  <si>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</si>
  <si>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</si>
  <si>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</si>
  <si>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</si>
  <si>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</si>
  <si>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</si>
  <si>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</si>
  <si>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</si>
  <si>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</si>
  <si>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</si>
  <si>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</si>
  <si>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</si>
  <si>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</si>
  <si>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</si>
  <si>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</si>
  <si>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</si>
  <si>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</si>
  <si>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</si>
  <si>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</si>
  <si>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</si>
  <si>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</si>
  <si>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</si>
  <si>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</si>
  <si>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</si>
  <si>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</si>
  <si>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</si>
  <si>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</si>
  <si>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</si>
  <si>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</si>
  <si>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</si>
  <si>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</si>
  <si>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</si>
  <si>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</si>
  <si>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</si>
  <si>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</si>
  <si>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</si>
  <si>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</si>
  <si>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</si>
  <si>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</si>
  <si>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</si>
  <si>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</si>
  <si>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P1, P2, P3, P4, P5, P6, P7, P8, P9, P10</t>
  </si>
  <si>
    <t>Q1</t>
  </si>
  <si>
    <t>R1, R2</t>
  </si>
  <si>
    <t>R3</t>
  </si>
  <si>
    <t>R4</t>
  </si>
  <si>
    <t>R5, R7, R10, R13, R34, R47, R48, R49, R50, R51, R52, R53, R54, R55, R56, R57, R58, R59, R60, R61, R62, R93, R94, R95, R96</t>
  </si>
  <si>
    <t>R6, R8, R79, R80, R81, R85, R86</t>
  </si>
  <si>
    <t>R9</t>
  </si>
  <si>
    <t>R11, R29</t>
  </si>
  <si>
    <t>R12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</si>
  <si>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</si>
  <si>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</si>
  <si>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</si>
  <si>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</si>
  <si>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</si>
  <si>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</si>
  <si>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</si>
  <si>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</si>
  <si>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</si>
  <si>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</si>
  <si>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</si>
  <si>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</si>
  <si>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</si>
  <si>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</si>
  <si>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</si>
  <si>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</si>
  <si>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</si>
  <si>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</si>
  <si>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</si>
  <si>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</si>
  <si>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</si>
  <si>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</si>
  <si>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</si>
  <si>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</si>
  <si>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</si>
  <si>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</si>
  <si>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</si>
  <si>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</si>
  <si>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</si>
  <si>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</si>
  <si>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</si>
  <si>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</si>
  <si>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</si>
  <si>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</si>
  <si>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</si>
  <si>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</si>
  <si>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ALUM 220UF 20% 50V SMD</t>
  </si>
  <si>
    <t>CAP ALUM 10uF 25V SMD</t>
  </si>
  <si>
    <t>47uF 6.3V 5Ω@100kHz ±10% CASE-A-3216 Tantalum Capacitors ROHS</t>
  </si>
  <si>
    <t>330uF 16V ±20% SMD,D6.3xL7.7mm Aluminum Electrolytic Capacitors - SMD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</si>
  <si>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</si>
  <si>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</si>
  <si>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</si>
  <si>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</si>
  <si>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</si>
  <si>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</si>
  <si>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</si>
  <si>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</si>
  <si>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</si>
  <si>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</si>
  <si>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</si>
  <si>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</si>
  <si>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</si>
  <si>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</si>
  <si>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</si>
  <si>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</si>
  <si>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</si>
  <si>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</si>
  <si>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</si>
  <si>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</si>
  <si>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CONN HEADER SMD R/A 11POS 1.25MM</t>
  </si>
  <si>
    <t>1x6P SH 1 1mm 6 SMD,P=1mm Wire To Board / Wire To Wire Connector ROHS</t>
  </si>
  <si>
    <t>CONN U.FL RCPT STR 50 OHM SMD</t>
  </si>
  <si>
    <t>0.8mm mPCI-E Surface Mount 52 SMD,P=0.8mm Card Edge Connectors ROHS</t>
  </si>
  <si>
    <t>5V SPDT (1 Form C) 6 DIP,11x15.5mm Power Relays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</si>
  <si>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</si>
  <si>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</si>
  <si>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</si>
  <si>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</si>
  <si>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</si>
  <si>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</si>
  <si>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</si>
  <si>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</si>
  <si>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</si>
  <si>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</si>
  <si>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</si>
  <si>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</si>
  <si>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</si>
  <si>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</si>
  <si>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</si>
  <si>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</si>
  <si>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</si>
  <si>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</si>
  <si>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</si>
  <si>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</si>
  <si>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</si>
  <si>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</si>
  <si>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</si>
  <si>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</si>
  <si>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</si>
  <si>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</si>
  <si>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</si>
  <si>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</si>
  <si>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</si>
  <si>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</si>
  <si>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</si>
  <si>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</si>
  <si>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</si>
  <si>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</si>
  <si>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</si>
  <si>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</si>
  <si>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</si>
  <si>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</si>
  <si>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</si>
  <si>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</si>
  <si>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</si>
  <si>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</si>
  <si>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</si>
  <si>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</si>
  <si>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3.579545MHz 20pF ±20ppm ±30ppm HC-49S Crystals ROHS</t>
  </si>
  <si>
    <t>Footprint</t>
  </si>
  <si>
    <t>ANT*</t>
  </si>
  <si>
    <t>Cap-0603</t>
  </si>
  <si>
    <t>Cap-0402</t>
  </si>
  <si>
    <t>RVT1H680M0607</t>
  </si>
  <si>
    <t>Case-A</t>
  </si>
  <si>
    <t>GVT1C331M0607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</si>
  <si>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</si>
  <si>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</si>
  <si>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</si>
  <si>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</si>
  <si>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</si>
  <si>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</si>
  <si>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</si>
  <si>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</si>
  <si>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</si>
  <si>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</si>
  <si>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</si>
  <si>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</si>
  <si>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</si>
  <si>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53261-1171</t>
  </si>
  <si>
    <t>U.FL-R-SMT-1(80)</t>
  </si>
  <si>
    <t>91304-99-052R2</t>
  </si>
  <si>
    <t>BS4-5S-C20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</si>
  <si>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</si>
  <si>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</si>
  <si>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</si>
  <si>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</si>
  <si>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</si>
  <si>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</si>
  <si>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</si>
  <si>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</si>
  <si>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</si>
  <si>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</si>
  <si>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</si>
  <si>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</si>
  <si>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</si>
  <si>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</si>
  <si>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</si>
  <si>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</si>
  <si>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</si>
  <si>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</si>
  <si>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</si>
  <si>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</si>
  <si>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</si>
  <si>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</si>
  <si>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</si>
  <si>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</si>
  <si>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</si>
  <si>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X49SD3579545MSD2SC-1</t>
  </si>
  <si>
    <t>Manufacturer Part Number</t>
  </si>
  <si>
    <t>CC0603JRNPO9BN472</t>
  </si>
  <si>
    <t>GRM155R62A104KE14D</t>
  </si>
  <si>
    <t>CC0402KRX7R9BB103</t>
  </si>
  <si>
    <t>UCD1H221MNL1GS</t>
  </si>
  <si>
    <t>RVT1E100M0405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</si>
  <si>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</si>
  <si>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</si>
  <si>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</si>
  <si>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</si>
  <si>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</si>
  <si>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</si>
  <si>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</si>
  <si>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</si>
  <si>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</si>
  <si>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</si>
  <si>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</si>
  <si>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</si>
  <si>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</si>
  <si>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</si>
  <si>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</si>
  <si>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</si>
  <si>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</si>
  <si>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</si>
  <si>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</si>
  <si>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</si>
  <si>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</si>
  <si>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</si>
  <si>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</si>
  <si>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</si>
  <si>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</si>
  <si>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</si>
  <si>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</si>
  <si>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</si>
  <si>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</si>
  <si>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</si>
  <si>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</si>
  <si>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</si>
  <si>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</si>
  <si>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</si>
  <si>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</si>
  <si>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</si>
  <si>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</si>
  <si>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</si>
  <si>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</si>
  <si>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</si>
  <si>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</si>
  <si>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</si>
  <si>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</si>
  <si>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</si>
  <si>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</si>
  <si>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</si>
  <si>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</si>
  <si>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</si>
  <si>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</si>
  <si>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</si>
  <si>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</si>
  <si>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</si>
  <si>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</si>
  <si>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</si>
  <si>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</si>
  <si>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</si>
  <si>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</si>
  <si>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</si>
  <si>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</si>
  <si>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</si>
  <si>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</si>
  <si>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</si>
  <si>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</si>
  <si>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Nichicon</t>
  </si>
  <si>
    <t>CEC</t>
  </si>
  <si>
    <t>Honor Elec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</si>
  <si>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</si>
  <si>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</si>
  <si>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</si>
  <si>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</si>
  <si>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</si>
  <si>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</si>
  <si>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</si>
  <si>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</si>
  <si>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</si>
  <si>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</si>
  <si>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</si>
  <si>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</si>
  <si>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</si>
  <si>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</si>
  <si>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</si>
  <si>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</si>
  <si>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Molex</t>
  </si>
  <si>
    <t>BOOMELE</t>
  </si>
  <si>
    <t>Hirose</t>
  </si>
  <si>
    <t>UMAX</t>
  </si>
  <si>
    <t>NBC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</si>
  <si>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</si>
  <si>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</si>
  <si>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</si>
  <si>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</si>
  <si>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</si>
  <si>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</si>
  <si>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</si>
  <si>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</si>
  <si>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</si>
  <si>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</si>
  <si>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</si>
  <si>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</si>
  <si>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</si>
  <si>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</si>
  <si>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</si>
  <si>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</si>
  <si>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</si>
  <si>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</si>
  <si>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</si>
  <si>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</si>
  <si>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</si>
  <si>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</si>
  <si>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</si>
  <si>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C116211</t>
  </si>
  <si>
    <t>C970655</t>
  </si>
  <si>
    <t>C129570</t>
  </si>
  <si>
    <t>C2980164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</si>
  <si>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</si>
  <si>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</si>
  <si>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</si>
  <si>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</si>
  <si>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</si>
  <si>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</si>
  <si>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</si>
  <si>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</si>
  <si>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</si>
  <si>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</si>
  <si>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</si>
  <si>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</si>
  <si>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</si>
  <si>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</si>
  <si>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</si>
  <si>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</si>
  <si>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</si>
  <si>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</si>
  <si>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C585957</t>
  </si>
  <si>
    <t>C404126</t>
  </si>
  <si>
    <t>C396938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</si>
  <si>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</si>
  <si>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</si>
  <si>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</si>
  <si>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</si>
  <si>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</si>
  <si>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</si>
  <si>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</si>
  <si>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</si>
  <si>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</si>
  <si>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</si>
  <si>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</si>
  <si>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</si>
  <si>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</si>
  <si>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</si>
  <si>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</si>
  <si>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</si>
  <si>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</si>
  <si>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</si>
  <si>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</si>
  <si>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</si>
  <si>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</si>
  <si>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</si>
  <si>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</si>
  <si>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</si>
  <si>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</si>
  <si>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</si>
  <si>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</si>
  <si>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</si>
  <si>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</si>
  <si>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</si>
  <si>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</si>
  <si>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</si>
  <si>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</si>
  <si>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</si>
  <si>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C2195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</si>
  <si>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</si>
  <si>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</si>
  <si>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</si>
  <si>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</si>
  <si>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</si>
  <si>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</si>
  <si>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</si>
  <si>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</si>
  <si>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</si>
  <si>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</si>
  <si>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</si>
  <si>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</si>
  <si>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</si>
  <si>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</si>
  <si>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</si>
  <si>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</si>
  <si>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</si>
  <si>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</si>
  <si>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</si>
  <si>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</si>
  <si>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</si>
  <si>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</si>
  <si>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</si>
  <si>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</si>
  <si>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</si>
  <si>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</si>
  <si>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</si>
  <si>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</si>
  <si>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</si>
  <si>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</si>
  <si>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</si>
  <si>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</si>
  <si>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</si>
  <si>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</si>
  <si>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</si>
  <si>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</si>
  <si>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</si>
  <si>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</si>
  <si>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</si>
  <si>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</si>
  <si>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</si>
  <si>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</si>
  <si>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</si>
  <si>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</si>
  <si>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</si>
  <si>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</si>
  <si>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</si>
  <si>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</si>
  <si>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</si>
  <si>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UFL Connector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</si>
  <si>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</si>
  <si>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</si>
  <si>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</si>
  <si>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</si>
  <si>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</si>
  <si>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</si>
  <si>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</si>
  <si>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C88374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</si>
  <si>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</si>
  <si>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</si>
  <si>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</si>
  <si>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</si>
  <si>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</si>
  <si>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</si>
  <si>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</si>
  <si>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</si>
  <si>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</si>
  <si>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</si>
  <si>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</si>
  <si>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</si>
  <si>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</si>
  <si>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</si>
  <si>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</si>
  <si>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R63, R64, R65, R66, R67, R82, R83, R84, R88, R89</t>
  </si>
  <si>
    <t>chipsmall</t>
  </si>
  <si>
    <t>Quote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</si>
</sst>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Wire-To-Board-Wire-To-Wire-Connector_MOLEX-532611171_C585957.html" TargetMode="External"/><Relationship Id="rId21" Type="http://schemas.openxmlformats.org/officeDocument/2006/relationships/hyperlink" Target="https://www.lcsc.com/product-detail/Resettable-Fuses_RUILON-Shenzhen-Ruilongyuan-Elec-SMD0805P020TF_C20976.html" TargetMode="External"/><Relationship Id="rId42" Type="http://schemas.openxmlformats.org/officeDocument/2006/relationships/hyperlink" Target="https://www.lcsc.com/product-detail/Chip-Resistor-Surface-Mount_YAGEO-RC0402FR-074K7L_C105871.html" TargetMode="External"/><Relationship Id="rId47" Type="http://schemas.openxmlformats.org/officeDocument/2006/relationships/hyperlink" Target="https://www.lcsc.com/product-detail/Chip-Resistor-Surface-Mount_YAGEO-RT0603BRD0768KL_C705793.html" TargetMode="External"/><Relationship Id="rId63" Type="http://schemas.openxmlformats.org/officeDocument/2006/relationships/hyperlink" Target="https://www.lcsc.com/product-detail/Digital-Isolators_Analog-Devices-ADUM1201ARZ-RL7_C9669.html" TargetMode="External"/><Relationship Id="rId68" Type="http://schemas.openxmlformats.org/officeDocument/2006/relationships/hyperlink" Target="https://www.lcsc.com/product-detail/Multilayer-Ceramic-Capacitors-MLCC-SMD-SMT_Murata-Electronics-GRM155R61H105KE05D_C1518208.html" TargetMode="External"/><Relationship Id="rId16" Type="http://schemas.openxmlformats.org/officeDocument/2006/relationships/hyperlink" Target="https://www.lcsc.com/product-detail/Zener-Diodes_Jiangsu-Changjing-Electronics-Technology-Co-Ltd-BZT52C5V6S_C22612.html" TargetMode="External"/><Relationship Id="rId11" Type="http://schemas.openxmlformats.org/officeDocument/2006/relationships/hyperlink" Target="https://www.lcsc.com/product-detail/Multilayer-Ceramic-Capacitors-MLCC-SMD-SMT_Samsung-Electro-Mechanics-CL05A106MP5NUNC_C315248.html" TargetMode="External"/><Relationship Id="rId24" Type="http://schemas.openxmlformats.org/officeDocument/2006/relationships/hyperlink" Target="https://www.lcsc.com/product-detail/USB-Connectors_Korean-Hroparts-Elec-TYPE-C-31-M-12_C165948.html" TargetMode="External"/><Relationship Id="rId32" Type="http://schemas.openxmlformats.org/officeDocument/2006/relationships/hyperlink" Target="https://www.lcsc.com/product-detail/Inductors-SMD_Sunlord-SDCL1608C2N0STDF_C370234.html" TargetMode="External"/><Relationship Id="rId37" Type="http://schemas.openxmlformats.org/officeDocument/2006/relationships/hyperlink" Target="https://www.lcsc.com/product-detail/Chip-Resistor-Surface-Mount_YAGEO-AF0402JR-071ML_C144054.html" TargetMode="External"/><Relationship Id="rId40" Type="http://schemas.openxmlformats.org/officeDocument/2006/relationships/hyperlink" Target="https://www.lcsc.com/product-detail/Chip-Resistor-Surface-Mount_YAGEO-RC0201JR-07100KL_C106230.html" TargetMode="External"/><Relationship Id="rId45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DC-DC-Converters_Texas-Instruments-TPS5450DDAR_C114425.html" TargetMode="External"/><Relationship Id="rId58" Type="http://schemas.openxmlformats.org/officeDocument/2006/relationships/hyperlink" Target="https://www.lcsc.com/product-detail/Telecommunication-Interface-ICs_Microchip-Tech-MT8870DN1_C1522106.html" TargetMode="External"/><Relationship Id="rId66" Type="http://schemas.openxmlformats.org/officeDocument/2006/relationships/hyperlink" Target="https://www.lcsc.com/product-detail/Crystals_Yangxing-Tech-X49SD3579545MSD2SC-1_C2195.html" TargetMode="External"/><Relationship Id="rId74" Type="http://schemas.openxmlformats.org/officeDocument/2006/relationships/hyperlink" Target="https://www.lcsc.com/product-detail/Chip-Resistor-Surface-Mount_UNI-ROYAL-Uniroyal-Elec-0402WGJ0220TCE_C25152.html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lcsc.com/product-detail/Aluminum-Electrolytic-Capacitors-SMD_Nichicon-UCD1H221MNL1GS_C116211.html" TargetMode="External"/><Relationship Id="rId61" Type="http://schemas.openxmlformats.org/officeDocument/2006/relationships/hyperlink" Target="https://www.lcsc.com/product-detail/RS232-ICs_Texas-Instruments-MAX3232IDR_C18261.html" TargetMode="External"/><Relationship Id="rId19" Type="http://schemas.openxmlformats.org/officeDocument/2006/relationships/hyperlink" Target="https://www.lcsc.com/product-detail/Resettable-Fuses_Littelfuse-1206L300SLTHYR_C207041.html" TargetMode="External"/><Relationship Id="rId14" Type="http://schemas.openxmlformats.org/officeDocument/2006/relationships/hyperlink" Target="https://www.lcsc.com/product-detail/TVS_Slkor-SLKORMICRO-Elec-SMBJ36CA_C556189.html" TargetMode="External"/><Relationship Id="rId22" Type="http://schemas.openxmlformats.org/officeDocument/2006/relationships/hyperlink" Target="https://www.lcsc.com/product-detail/Ferrite-Beads_Murata-Electronics-BLM31PG121SN1L_C85841.html" TargetMode="External"/><Relationship Id="rId27" Type="http://schemas.openxmlformats.org/officeDocument/2006/relationships/hyperlink" Target="https://www.lcsc.com/product-detail/Wire-To-Board-Wire-To-Wire-Connector_BOOMELE-Boom-Precision-Elec-C145963_C145963.html" TargetMode="External"/><Relationship Id="rId30" Type="http://schemas.openxmlformats.org/officeDocument/2006/relationships/hyperlink" Target="https://www.lcsc.com/product-detail/Power-Relays_NBC-BS4-5S-C20_C396938.html" TargetMode="External"/><Relationship Id="rId35" Type="http://schemas.openxmlformats.org/officeDocument/2006/relationships/hyperlink" Target="https://www.lcsc.com/product-detail/Bipolar-Transistors-BJT_onsemi-MMBT4403LT1G_C78864.html" TargetMode="External"/><Relationship Id="rId43" Type="http://schemas.openxmlformats.org/officeDocument/2006/relationships/hyperlink" Target="https://www.lcsc.com/product-detail/Chip-Resistor-Surface-Mount_YAGEO-RC0402FR-07499RL_C137970.html" TargetMode="External"/><Relationship Id="rId48" Type="http://schemas.openxmlformats.org/officeDocument/2006/relationships/hyperlink" Target="https://www.lcsc.com/product-detail/Chip-Resistor-Surface-Mount_YAGEO-RC0402FR-070RL_C106231.html" TargetMode="External"/><Relationship Id="rId56" Type="http://schemas.openxmlformats.org/officeDocument/2006/relationships/hyperlink" Target="https://www.lcsc.com/product-detail/Linear-Voltage-Regulators-LDO_Microchip-Tech-MIC29302WU-TR_C11149.html" TargetMode="External"/><Relationship Id="rId64" Type="http://schemas.openxmlformats.org/officeDocument/2006/relationships/hyperlink" Target="https://www.lcsc.com/product-detail/Digital-Isolators_Analog-Devices-ADuM1200ARZ-RL7_C15219.html" TargetMode="External"/><Relationship Id="rId69" Type="http://schemas.openxmlformats.org/officeDocument/2006/relationships/hyperlink" Target="https://www.lcsc.com/product-detail/Schottky-Barrier-Diodes-SBD_Jiangsu-Changjing-Electronics-Technology-Co-Ltd-ST20100L_C2693410.html" TargetMode="External"/><Relationship Id="rId77" Type="http://schemas.openxmlformats.org/officeDocument/2006/relationships/hyperlink" Target="https://www.chipsmall.com/Products/HMC221BETR_12364157.html" TargetMode="External"/><Relationship Id="rId8" Type="http://schemas.openxmlformats.org/officeDocument/2006/relationships/hyperlink" Target="https://www.lcsc.com/product-detail/Aluminum-Electrolytic-Capacitors-SMD_Honor-Elec-GVT1C331M0607_C2980164.html" TargetMode="External"/><Relationship Id="rId51" Type="http://schemas.openxmlformats.org/officeDocument/2006/relationships/hyperlink" Target="https://www.lcsc.com/product-detail/Chip-Resistor-Surface-Mount_YAGEO-RC0603FR-07680RL_C112310.html" TargetMode="External"/><Relationship Id="rId72" Type="http://schemas.openxmlformats.org/officeDocument/2006/relationships/hyperlink" Target="https://www.lcsc.com/product-detail/Chip-Resistor-Surface-Mount_YAGEO-RC0201FR-071KL_C138165.html" TargetMode="External"/><Relationship Id="rId3" Type="http://schemas.openxmlformats.org/officeDocument/2006/relationships/hyperlink" Target="https://www.lcsc.com/product-detail/Multilayer-Ceramic-Capacitors-MLCC-SMD-SMT_YAGEO-CC0402KRX7R9BB103_C60133.html" TargetMode="External"/><Relationship Id="rId12" Type="http://schemas.openxmlformats.org/officeDocument/2006/relationships/hyperlink" Target="https://www.lcsc.com/product-detail/Multilayer-Ceramic-Capacitors-MLCC-SMD-SMT_YAGEO-CC0603JRNPO9BN331_C62784.html" TargetMode="External"/><Relationship Id="rId17" Type="http://schemas.openxmlformats.org/officeDocument/2006/relationships/hyperlink" Target="https://www.lcsc.com/product-detail/Zener-Diodes_Diodes-Incorporated-BZX84C3V3TS-7-F_C5124989.html" TargetMode="External"/><Relationship Id="rId25" Type="http://schemas.openxmlformats.org/officeDocument/2006/relationships/hyperlink" Target="https://www.lcsc.com/product-detail/Screw-terminal_DIBO-DB128L-5-08-2P-BK-S_C430601.html" TargetMode="External"/><Relationship Id="rId33" Type="http://schemas.openxmlformats.org/officeDocument/2006/relationships/hyperlink" Target="https://www.lcsc.com/product-detail/Light-Emitting-Diodes-LED_Everlight-Elec-16-213-GHC-YR1S1-3T_C74338.html" TargetMode="External"/><Relationship Id="rId38" Type="http://schemas.openxmlformats.org/officeDocument/2006/relationships/hyperlink" Target="https://www.lcsc.com/product-detail/Chip-Resistor-Surface-Mount_YAGEO-RC0201FR-0710KL_C106225.html" TargetMode="External"/><Relationship Id="rId46" Type="http://schemas.openxmlformats.org/officeDocument/2006/relationships/hyperlink" Target="https://www.lcsc.com/product-detail/Chip-Resistor-Surface-Mount_YAGEO-RC0402JR-07150KL_C137919.html" TargetMode="External"/><Relationship Id="rId59" Type="http://schemas.openxmlformats.org/officeDocument/2006/relationships/hyperlink" Target="https://www.lcsc.com/product-detail/I-O-Expanders_Microchip-Tech-MCP23017T-E-SS_C558584.html" TargetMode="External"/><Relationship Id="rId67" Type="http://schemas.openxmlformats.org/officeDocument/2006/relationships/hyperlink" Target="https://www.lcsc.com/product-detail/Tactile-Switches_TE-Connectivity-1825027-8_C266196.html" TargetMode="External"/><Relationship Id="rId20" Type="http://schemas.openxmlformats.org/officeDocument/2006/relationships/hyperlink" Target="https://www.lcsc.com/product-detail/Resettable-Fuses_PTTC-Polytronics-Tech-SHV2920P500-30-AA_C495350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Power-Distribution-Switches_Texas-Instruments-TPS2116DRLR_C3235557.html" TargetMode="External"/><Relationship Id="rId62" Type="http://schemas.openxmlformats.org/officeDocument/2006/relationships/hyperlink" Target="https://www.lcsc.com/product-detail/RS-485-RS-422-ICs_HGSEMI-SP3485EIM-TR_C519086.html" TargetMode="External"/><Relationship Id="rId70" Type="http://schemas.openxmlformats.org/officeDocument/2006/relationships/hyperlink" Target="https://www.lcsc.com/product-detail/ESD-Protection-Devices_Brightking-UDD32C03L01_C78439.html" TargetMode="External"/><Relationship Id="rId75" Type="http://schemas.openxmlformats.org/officeDocument/2006/relationships/hyperlink" Target="https://www.chipsmall.com/Products/ESP32-S3R8_33393977.html" TargetMode="External"/><Relationship Id="rId1" Type="http://schemas.openxmlformats.org/officeDocument/2006/relationships/hyperlink" Target="https://www.lcsc.com/product-detail/Multilayer-Ceramic-Capacitors-MLCC-SMD-SMT_YAGEO-CC0603JRNPO9BN472_C576818.html" TargetMode="External"/><Relationship Id="rId6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Switching-Diode_onsemi-1N4148WT_C232841.html" TargetMode="External"/><Relationship Id="rId23" Type="http://schemas.openxmlformats.org/officeDocument/2006/relationships/hyperlink" Target="https://www.lcsc.com/product-detail/Screw-terminal_DIBO-DB128L-5-08-3P-BK-S_C430602.html" TargetMode="External"/><Relationship Id="rId28" Type="http://schemas.openxmlformats.org/officeDocument/2006/relationships/hyperlink" Target="https://www.lcsc.com/product-detail/RF-Connectors-Coaxial-Connectors_HRS-Hirose-U-FL-R-SMT-1-80_C88374.html" TargetMode="External"/><Relationship Id="rId36" Type="http://schemas.openxmlformats.org/officeDocument/2006/relationships/hyperlink" Target="https://www.lcsc.com/product-detail/Varistors_TDK-B72210S0300K101_C125513.html" TargetMode="External"/><Relationship Id="rId49" Type="http://schemas.openxmlformats.org/officeDocument/2006/relationships/hyperlink" Target="https://www.lcsc.com/product-detail/Chip-Resistor-Surface-Mount_YAGEO-RC0603FR-07120RL_C114640.html" TargetMode="External"/><Relationship Id="rId57" Type="http://schemas.openxmlformats.org/officeDocument/2006/relationships/hyperlink" Target="https://www.lcsc.com/product-detail/NOR-FLASH_Winbond-Elec-W25Q64JVSSIQ_C179171.html" TargetMode="External"/><Relationship Id="rId10" Type="http://schemas.openxmlformats.org/officeDocument/2006/relationships/hyperlink" Target="https://www.lcsc.com/product-detail/Multilayer-Ceramic-Capacitors-MLCC-SMD-SMT_YAGEO-CC0402JRNPO9BN220_C106203.html" TargetMode="External"/><Relationship Id="rId31" Type="http://schemas.openxmlformats.org/officeDocument/2006/relationships/hyperlink" Target="https://www.lcsc.com/product-detail/Power-Inductors_PROD-Tech-PSPMAA1040-100M-ANP_C2983105.html" TargetMode="External"/><Relationship Id="rId44" Type="http://schemas.openxmlformats.org/officeDocument/2006/relationships/hyperlink" Target="https://www.lcsc.com/product-detail/Chip-Resistor-Surface-Mount_YAGEO-RC0402FR-0756KL_C114756.html" TargetMode="External"/><Relationship Id="rId52" Type="http://schemas.openxmlformats.org/officeDocument/2006/relationships/hyperlink" Target="https://www.lcsc.com/product-detail/Chip-Resistor-Surface-Mount_YAGEO-RC0402FR-073K3L_C137992.html" TargetMode="External"/><Relationship Id="rId60" Type="http://schemas.openxmlformats.org/officeDocument/2006/relationships/hyperlink" Target="https://www.lcsc.com/product-detail/Darlington-Transistor-Arrays_Mixic-ULN2003A_C181730.html" TargetMode="External"/><Relationship Id="rId65" Type="http://schemas.openxmlformats.org/officeDocument/2006/relationships/hyperlink" Target="https://www.lcsc.com/product-detail/Crystals_Yangxing-Tech-X322540MPB4SI_C9010.html" TargetMode="External"/><Relationship Id="rId73" Type="http://schemas.openxmlformats.org/officeDocument/2006/relationships/hyperlink" Target="https://www.lcsc.com/product-detail/Chip-Resistor-Surface-Mount_FH-Guangdong-Fenghua-Advanced-Tech-RC-01W471JT_C304545.html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Aluminum-Electrolytic-Capacitors-SMD_ROQANG-RVT1H680M0607_C5221836.html" TargetMode="External"/><Relationship Id="rId9" Type="http://schemas.openxmlformats.org/officeDocument/2006/relationships/hyperlink" Target="https://www.lcsc.com/product-detail/Tantalum-Capacitors_Kyocera-AVX-TAJB107M010RNJ_C7196.html" TargetMode="External"/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TVS_MSKSEMI-SMBJ26CA_C5331111.html" TargetMode="External"/><Relationship Id="rId39" Type="http://schemas.openxmlformats.org/officeDocument/2006/relationships/hyperlink" Target="https://www.lcsc.com/product-detail/Chip-Resistor-Surface-Mount_UNI-ROYAL-Uniroyal-Elec-0603WAF3241T5E_C22994.html" TargetMode="External"/><Relationship Id="rId34" Type="http://schemas.openxmlformats.org/officeDocument/2006/relationships/hyperlink" Target="https://www.lcsc.com/product-detail/Light-Emitting-Diodes-LED_Everlight-Elec-19-21-R7C-AK1L2BY-3T_C1322287.html" TargetMode="External"/><Relationship Id="rId50" Type="http://schemas.openxmlformats.org/officeDocument/2006/relationships/hyperlink" Target="https://www.lcsc.com/product-detail/Chip-Resistor-Surface-Mount_PANASONIC-ERA2AEB680X_C445573.html" TargetMode="External"/><Relationship Id="rId55" Type="http://schemas.openxmlformats.org/officeDocument/2006/relationships/hyperlink" Target="https://www.lcsc.com/product-detail/Linear-Voltage-Regulators-LDO_HGSEMI-LM1084S-3-3-TR_C259972.html" TargetMode="External"/><Relationship Id="rId76" Type="http://schemas.openxmlformats.org/officeDocument/2006/relationships/hyperlink" Target="https://www.chipsmall.com/Products/ATECC608B-SSHDA-B_30785657.html" TargetMode="External"/><Relationship Id="rId7" Type="http://schemas.openxmlformats.org/officeDocument/2006/relationships/hyperlink" Target="https://www.lcsc.com/product-detail/Tantalum-Capacitors_CEC-Shenzhen-Zhenhua-XinYun-Elec-CA45-A-6-3V-47uF-K_C129570.html" TargetMode="External"/><Relationship Id="rId71" Type="http://schemas.openxmlformats.org/officeDocument/2006/relationships/hyperlink" Target="https://www.lcsc.com/product-detail/Chip-span-style-background-color-ff0-Resistor-span-Surface-Mount_YAGEO-RT0402BRE075K1L_C853340.html" TargetMode="External"/><Relationship Id="rId2" Type="http://schemas.openxmlformats.org/officeDocument/2006/relationships/hyperlink" Target="https://www.lcsc.com/product-detail/Multilayer-Ceramic-Capacitors-MLCC-SMD-SMT_Murata-Electronics-GRM155R62A104KE14D_C162178.html" TargetMode="External"/><Relationship Id="rId29" Type="http://schemas.openxmlformats.org/officeDocument/2006/relationships/hyperlink" Target="https://www.lcsc.com/product-detail/Card-Edge-Connectors_UMAX-91304-99-052R2_C4041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1"/>
  <sheetViews>
    <sheetView tabSelected="1" topLeftCell="A37" workbookViewId="0">
      <selection activeCell="G97" sqref="G9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464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465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7" t="s">
        <v>465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107</v>
      </c>
      <c r="F9" s="30" t="s">
        <v>186</v>
      </c>
      <c r="G9" s="30" t="s">
        <v>236</v>
      </c>
      <c r="H9" s="30" t="s">
        <v>301</v>
      </c>
      <c r="I9" s="30" t="s">
        <v>451</v>
      </c>
      <c r="J9" s="30" t="s">
        <v>347</v>
      </c>
      <c r="K9" s="30" t="s">
        <v>459</v>
      </c>
      <c r="L9" s="30" t="s">
        <v>450</v>
      </c>
      <c r="M9" s="30" t="s">
        <v>458</v>
      </c>
      <c r="N9" s="30" t="s">
        <v>452</v>
      </c>
      <c r="O9" s="30" t="s">
        <v>453</v>
      </c>
      <c r="P9" s="30" t="s">
        <v>454</v>
      </c>
      <c r="Q9" s="30" t="s">
        <v>455</v>
      </c>
      <c r="R9" s="30" t="s">
        <v>456</v>
      </c>
      <c r="S9" s="30" t="s">
        <v>457</v>
      </c>
    </row>
    <row r="10" spans="1:19" x14ac:dyDescent="0.25">
      <c r="A10" s="1"/>
      <c r="B10" s="46">
        <f>ROW(B10) - ROW($B$9)</f>
        <v>1</v>
      </c>
      <c r="C10" s="53" t="s">
        <v>412</v>
      </c>
      <c r="D10" s="62" t="s">
        <v>28</v>
      </c>
      <c r="E10" s="62" t="s">
        <v>460</v>
      </c>
      <c r="F10" s="62" t="s">
        <v>187</v>
      </c>
      <c r="G10" s="62" t="s">
        <v>412</v>
      </c>
      <c r="H10" s="66" t="s">
        <v>460</v>
      </c>
      <c r="I10" s="66" t="s">
        <v>460</v>
      </c>
      <c r="J10" s="66" t="s">
        <v>460</v>
      </c>
      <c r="K10" s="62" t="s">
        <v>460</v>
      </c>
      <c r="L10" s="62">
        <v>1</v>
      </c>
      <c r="M10" s="62">
        <f>L10*5</f>
        <v>5</v>
      </c>
      <c r="N10" s="62" t="s">
        <v>460</v>
      </c>
      <c r="O10" s="62" t="s">
        <v>460</v>
      </c>
      <c r="P10" s="66" t="s">
        <v>460</v>
      </c>
      <c r="Q10" s="66" t="s">
        <v>460</v>
      </c>
      <c r="R10" s="63" t="s">
        <v>472</v>
      </c>
      <c r="S10" s="50"/>
    </row>
    <row r="11" spans="1:19" x14ac:dyDescent="0.25">
      <c r="A11" s="1"/>
      <c r="B11" s="47">
        <f t="shared" ref="B11:B88" si="0">ROW(B11) - ROW($B$9)</f>
        <v>2</v>
      </c>
      <c r="C11" s="54" t="s">
        <v>9</v>
      </c>
      <c r="D11" s="51" t="s">
        <v>29</v>
      </c>
      <c r="E11" s="51" t="s">
        <v>108</v>
      </c>
      <c r="F11" s="51" t="s">
        <v>188</v>
      </c>
      <c r="G11" s="51" t="s">
        <v>237</v>
      </c>
      <c r="H11" s="51" t="s">
        <v>302</v>
      </c>
      <c r="I11" s="51" t="s">
        <v>460</v>
      </c>
      <c r="J11" s="51" t="s">
        <v>348</v>
      </c>
      <c r="K11" s="51" t="s">
        <v>413</v>
      </c>
      <c r="L11" s="51">
        <v>1</v>
      </c>
      <c r="M11" s="51">
        <f t="shared" ref="M11" si="1">L11*5</f>
        <v>5</v>
      </c>
      <c r="N11" s="51">
        <v>20</v>
      </c>
      <c r="O11" s="60" t="s">
        <v>467</v>
      </c>
      <c r="P11" s="52">
        <v>2.01E-2</v>
      </c>
      <c r="Q11" s="52">
        <f t="shared" ref="Q11" si="2">P11*N11</f>
        <v>0.40200000000000002</v>
      </c>
      <c r="R11" s="51"/>
      <c r="S11" s="51"/>
    </row>
    <row r="12" spans="1:19" ht="48" x14ac:dyDescent="0.25">
      <c r="A12" s="1"/>
      <c r="B12" s="46">
        <f>ROW(B12) - ROW($B$9)</f>
        <v>3</v>
      </c>
      <c r="C12" s="53" t="s">
        <v>9</v>
      </c>
      <c r="D12" s="37" t="s">
        <v>30</v>
      </c>
      <c r="E12" s="37" t="s">
        <v>109</v>
      </c>
      <c r="F12" s="37" t="s">
        <v>189</v>
      </c>
      <c r="G12" s="37" t="s">
        <v>238</v>
      </c>
      <c r="H12" s="37" t="s">
        <v>303</v>
      </c>
      <c r="I12" s="37" t="s">
        <v>460</v>
      </c>
      <c r="J12" s="37" t="s">
        <v>349</v>
      </c>
      <c r="K12" s="37" t="s">
        <v>414</v>
      </c>
      <c r="L12" s="37">
        <v>25</v>
      </c>
      <c r="M12" s="37">
        <f>L12*5</f>
        <v>125</v>
      </c>
      <c r="N12" s="37">
        <v>150</v>
      </c>
      <c r="O12" s="60" t="s">
        <v>467</v>
      </c>
      <c r="P12" s="38">
        <v>1.0500000000000001E-2</v>
      </c>
      <c r="Q12" s="38">
        <f>P12*N12</f>
        <v>1.5750000000000002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31</v>
      </c>
      <c r="E13" s="51" t="s">
        <v>110</v>
      </c>
      <c r="F13" s="51" t="s">
        <v>189</v>
      </c>
      <c r="G13" s="51" t="s">
        <v>239</v>
      </c>
      <c r="H13" s="51" t="s">
        <v>302</v>
      </c>
      <c r="I13" s="51" t="s">
        <v>460</v>
      </c>
      <c r="J13" s="51" t="s">
        <v>350</v>
      </c>
      <c r="K13" s="51" t="s">
        <v>415</v>
      </c>
      <c r="L13" s="51">
        <v>3</v>
      </c>
      <c r="M13" s="51">
        <f t="shared" ref="M13" si="3">L13*5</f>
        <v>15</v>
      </c>
      <c r="N13" s="51">
        <v>100</v>
      </c>
      <c r="O13" s="60" t="s">
        <v>467</v>
      </c>
      <c r="P13" s="52">
        <v>8.9999999999999998E-4</v>
      </c>
      <c r="Q13" s="52">
        <f t="shared" ref="Q13" si="4">P13*N13</f>
        <v>0.09</v>
      </c>
      <c r="R13" s="51"/>
      <c r="S13" s="59"/>
    </row>
    <row r="14" spans="1:19" ht="24" x14ac:dyDescent="0.25">
      <c r="A14" s="1"/>
      <c r="B14" s="46">
        <f>ROW(B14) - ROW($B$9)</f>
        <v>5</v>
      </c>
      <c r="C14" s="53" t="s">
        <v>9</v>
      </c>
      <c r="D14" s="37" t="s">
        <v>32</v>
      </c>
      <c r="E14" s="37" t="s">
        <v>111</v>
      </c>
      <c r="F14" s="37" t="s">
        <v>466</v>
      </c>
      <c r="G14" s="37" t="s">
        <v>190</v>
      </c>
      <c r="H14" s="37" t="s">
        <v>304</v>
      </c>
      <c r="I14" s="37" t="s">
        <v>460</v>
      </c>
      <c r="J14" s="37" t="s">
        <v>351</v>
      </c>
      <c r="K14" s="37" t="s">
        <v>416</v>
      </c>
      <c r="L14" s="37">
        <v>3</v>
      </c>
      <c r="M14" s="37">
        <f>L14*5</f>
        <v>15</v>
      </c>
      <c r="N14" s="37">
        <v>20</v>
      </c>
      <c r="O14" s="60" t="s">
        <v>467</v>
      </c>
      <c r="P14" s="38">
        <v>4.9099999999999998E-2</v>
      </c>
      <c r="Q14" s="38">
        <f>P14*N14</f>
        <v>0.98199999999999998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33</v>
      </c>
      <c r="E15" s="51" t="s">
        <v>112</v>
      </c>
      <c r="F15" s="51" t="s">
        <v>466</v>
      </c>
      <c r="G15" s="51" t="s">
        <v>240</v>
      </c>
      <c r="H15" s="51" t="s">
        <v>305</v>
      </c>
      <c r="I15" s="51" t="s">
        <v>460</v>
      </c>
      <c r="J15" s="51" t="s">
        <v>352</v>
      </c>
      <c r="K15" s="51" t="s">
        <v>417</v>
      </c>
      <c r="L15" s="51">
        <v>2</v>
      </c>
      <c r="M15" s="51">
        <f t="shared" ref="M15" si="5">L15*5</f>
        <v>10</v>
      </c>
      <c r="N15" s="51">
        <v>15</v>
      </c>
      <c r="O15" s="60" t="s">
        <v>467</v>
      </c>
      <c r="P15" s="52">
        <v>0.29670000000000002</v>
      </c>
      <c r="Q15" s="52">
        <f t="shared" ref="Q15" si="6">P15*N15</f>
        <v>4.4504999999999999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34</v>
      </c>
      <c r="E16" s="37" t="s">
        <v>113</v>
      </c>
      <c r="F16" s="37" t="s">
        <v>466</v>
      </c>
      <c r="G16" s="37" t="s">
        <v>241</v>
      </c>
      <c r="H16" s="37" t="s">
        <v>304</v>
      </c>
      <c r="I16" s="37" t="s">
        <v>460</v>
      </c>
      <c r="J16" s="37" t="s">
        <v>353</v>
      </c>
      <c r="K16" s="37" t="s">
        <v>418</v>
      </c>
      <c r="L16" s="37">
        <v>1</v>
      </c>
      <c r="M16" s="37">
        <f>L16*5</f>
        <v>5</v>
      </c>
      <c r="N16" s="37">
        <v>20</v>
      </c>
      <c r="O16" s="60" t="s">
        <v>467</v>
      </c>
      <c r="P16" s="38">
        <v>2.7099999999999999E-2</v>
      </c>
      <c r="Q16" s="38">
        <f>P16*N16</f>
        <v>0.54200000000000004</v>
      </c>
      <c r="R16" s="37"/>
      <c r="S16" s="59"/>
    </row>
    <row r="17" spans="1:19" ht="24" x14ac:dyDescent="0.25">
      <c r="A17" s="1"/>
      <c r="B17" s="47">
        <f t="shared" si="0"/>
        <v>8</v>
      </c>
      <c r="C17" s="54" t="s">
        <v>9</v>
      </c>
      <c r="D17" s="51" t="s">
        <v>35</v>
      </c>
      <c r="E17" s="51" t="s">
        <v>114</v>
      </c>
      <c r="F17" s="51" t="s">
        <v>191</v>
      </c>
      <c r="G17" s="51" t="s">
        <v>242</v>
      </c>
      <c r="H17" s="51" t="s">
        <v>306</v>
      </c>
      <c r="I17" s="51" t="s">
        <v>460</v>
      </c>
      <c r="J17" s="51" t="s">
        <v>354</v>
      </c>
      <c r="K17" s="51" t="s">
        <v>419</v>
      </c>
      <c r="L17" s="51">
        <v>1</v>
      </c>
      <c r="M17" s="51">
        <f t="shared" ref="M17" si="7">L17*5</f>
        <v>5</v>
      </c>
      <c r="N17" s="51">
        <v>10</v>
      </c>
      <c r="O17" s="60" t="s">
        <v>467</v>
      </c>
      <c r="P17" s="52">
        <v>6.3E-2</v>
      </c>
      <c r="Q17" s="52">
        <f t="shared" ref="Q17" si="8">P17*N17</f>
        <v>0.63</v>
      </c>
      <c r="R17" s="51"/>
      <c r="S17" s="59"/>
    </row>
    <row r="18" spans="1:19" ht="36" x14ac:dyDescent="0.25">
      <c r="A18" s="1"/>
      <c r="B18" s="46">
        <f>ROW(B18) - ROW($B$9)</f>
        <v>9</v>
      </c>
      <c r="C18" s="53" t="s">
        <v>9</v>
      </c>
      <c r="D18" s="37" t="s">
        <v>36</v>
      </c>
      <c r="E18" s="37" t="s">
        <v>115</v>
      </c>
      <c r="F18" s="37" t="s">
        <v>466</v>
      </c>
      <c r="G18" s="37" t="s">
        <v>192</v>
      </c>
      <c r="H18" s="37" t="s">
        <v>307</v>
      </c>
      <c r="I18" s="37" t="s">
        <v>460</v>
      </c>
      <c r="J18" s="37" t="s">
        <v>355</v>
      </c>
      <c r="K18" s="37" t="s">
        <v>420</v>
      </c>
      <c r="L18" s="37">
        <v>1</v>
      </c>
      <c r="M18" s="37">
        <f>L18*5</f>
        <v>5</v>
      </c>
      <c r="N18" s="37">
        <v>10</v>
      </c>
      <c r="O18" s="60" t="s">
        <v>467</v>
      </c>
      <c r="P18" s="38">
        <v>6.7199999999999996E-2</v>
      </c>
      <c r="Q18" s="38">
        <f>P18*N18</f>
        <v>0.67199999999999993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9</v>
      </c>
      <c r="D19" s="51" t="s">
        <v>37</v>
      </c>
      <c r="E19" s="51" t="s">
        <v>116</v>
      </c>
      <c r="F19" s="51" t="s">
        <v>193</v>
      </c>
      <c r="G19" s="51" t="s">
        <v>243</v>
      </c>
      <c r="H19" s="51" t="s">
        <v>308</v>
      </c>
      <c r="I19" s="51" t="s">
        <v>460</v>
      </c>
      <c r="J19" s="51" t="s">
        <v>356</v>
      </c>
      <c r="K19" s="51" t="s">
        <v>421</v>
      </c>
      <c r="L19" s="51">
        <v>1</v>
      </c>
      <c r="M19" s="51">
        <f t="shared" ref="M19" si="9">L19*5</f>
        <v>5</v>
      </c>
      <c r="N19" s="51">
        <v>10</v>
      </c>
      <c r="O19" s="60" t="s">
        <v>467</v>
      </c>
      <c r="P19" s="52">
        <v>0.26129999999999998</v>
      </c>
      <c r="Q19" s="52">
        <f t="shared" ref="Q19" si="10">P19*N19</f>
        <v>2.6129999999999995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9</v>
      </c>
      <c r="D20" s="37" t="s">
        <v>38</v>
      </c>
      <c r="E20" s="37" t="s">
        <v>117</v>
      </c>
      <c r="F20" s="37" t="s">
        <v>189</v>
      </c>
      <c r="G20" s="62" t="s">
        <v>244</v>
      </c>
      <c r="H20" s="37" t="s">
        <v>309</v>
      </c>
      <c r="I20" s="37" t="s">
        <v>474</v>
      </c>
      <c r="J20" s="37" t="s">
        <v>473</v>
      </c>
      <c r="K20" s="37" t="s">
        <v>422</v>
      </c>
      <c r="L20" s="37">
        <v>4</v>
      </c>
      <c r="M20" s="37">
        <f>L20*5</f>
        <v>20</v>
      </c>
      <c r="N20" s="37">
        <v>30</v>
      </c>
      <c r="O20" s="60" t="s">
        <v>467</v>
      </c>
      <c r="P20" s="38">
        <v>4.2000000000000003E-2</v>
      </c>
      <c r="Q20" s="38">
        <f>P20*N20</f>
        <v>1.26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51" t="s">
        <v>39</v>
      </c>
      <c r="E21" s="51" t="s">
        <v>118</v>
      </c>
      <c r="F21" s="51" t="s">
        <v>189</v>
      </c>
      <c r="G21" s="51" t="s">
        <v>245</v>
      </c>
      <c r="H21" s="51" t="s">
        <v>310</v>
      </c>
      <c r="I21" s="51" t="s">
        <v>460</v>
      </c>
      <c r="J21" s="51" t="s">
        <v>357</v>
      </c>
      <c r="K21" s="51" t="s">
        <v>418</v>
      </c>
      <c r="L21" s="51">
        <v>2</v>
      </c>
      <c r="M21" s="51">
        <f t="shared" ref="M21" si="11">L21*5</f>
        <v>10</v>
      </c>
      <c r="N21" s="51">
        <v>50</v>
      </c>
      <c r="O21" s="60" t="s">
        <v>467</v>
      </c>
      <c r="P21" s="52">
        <v>1.0800000000000001E-2</v>
      </c>
      <c r="Q21" s="52">
        <f t="shared" ref="Q21" si="12">P21*N21</f>
        <v>0.54</v>
      </c>
      <c r="R21" s="51"/>
      <c r="S21" s="59"/>
    </row>
    <row r="22" spans="1:19" x14ac:dyDescent="0.25">
      <c r="A22" s="1"/>
      <c r="B22" s="46">
        <f>ROW(B22) - ROW($B$9)</f>
        <v>13</v>
      </c>
      <c r="C22" s="53" t="s">
        <v>9</v>
      </c>
      <c r="D22" s="37" t="s">
        <v>40</v>
      </c>
      <c r="E22" s="37" t="s">
        <v>119</v>
      </c>
      <c r="F22" s="37" t="s">
        <v>189</v>
      </c>
      <c r="G22" s="37" t="s">
        <v>246</v>
      </c>
      <c r="H22" s="37" t="s">
        <v>302</v>
      </c>
      <c r="I22" s="37" t="s">
        <v>460</v>
      </c>
      <c r="J22" s="37" t="s">
        <v>358</v>
      </c>
      <c r="K22" s="37" t="s">
        <v>423</v>
      </c>
      <c r="L22" s="37">
        <v>2</v>
      </c>
      <c r="M22" s="37">
        <f>L22*5</f>
        <v>10</v>
      </c>
      <c r="N22" s="37">
        <v>100</v>
      </c>
      <c r="O22" s="60" t="s">
        <v>467</v>
      </c>
      <c r="P22" s="38">
        <v>1E-3</v>
      </c>
      <c r="Q22" s="38">
        <f>P22*N22</f>
        <v>0.1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51" t="s">
        <v>41</v>
      </c>
      <c r="E23" s="51" t="s">
        <v>120</v>
      </c>
      <c r="F23" s="51" t="s">
        <v>188</v>
      </c>
      <c r="G23" s="51" t="s">
        <v>247</v>
      </c>
      <c r="H23" s="51" t="s">
        <v>302</v>
      </c>
      <c r="I23" s="51" t="s">
        <v>460</v>
      </c>
      <c r="J23" s="51" t="s">
        <v>359</v>
      </c>
      <c r="K23" s="51" t="s">
        <v>424</v>
      </c>
      <c r="L23" s="51">
        <v>3</v>
      </c>
      <c r="M23" s="51">
        <f t="shared" ref="M23" si="13">L23*5</f>
        <v>15</v>
      </c>
      <c r="N23" s="51">
        <v>100</v>
      </c>
      <c r="O23" s="60" t="s">
        <v>467</v>
      </c>
      <c r="P23" s="52">
        <v>3.8999999999999998E-3</v>
      </c>
      <c r="Q23" s="52">
        <f t="shared" ref="Q23" si="14">P23*N23</f>
        <v>0.38999999999999996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10</v>
      </c>
      <c r="D24" s="37" t="s">
        <v>42</v>
      </c>
      <c r="E24" s="37" t="s">
        <v>121</v>
      </c>
      <c r="F24" s="37" t="s">
        <v>194</v>
      </c>
      <c r="G24" s="37" t="s">
        <v>248</v>
      </c>
      <c r="H24" s="37" t="s">
        <v>311</v>
      </c>
      <c r="I24" s="37" t="s">
        <v>460</v>
      </c>
      <c r="J24" s="37" t="s">
        <v>360</v>
      </c>
      <c r="K24" s="37" t="s">
        <v>460</v>
      </c>
      <c r="L24" s="37">
        <v>1</v>
      </c>
      <c r="M24" s="37">
        <f>L24*5</f>
        <v>5</v>
      </c>
      <c r="N24" s="37">
        <v>10</v>
      </c>
      <c r="O24" s="60" t="s">
        <v>467</v>
      </c>
      <c r="P24" s="38">
        <v>5.5599999999999997E-2</v>
      </c>
      <c r="Q24" s="38">
        <f>P24*N24</f>
        <v>0.55599999999999994</v>
      </c>
      <c r="R24" s="37"/>
      <c r="S24" s="59"/>
    </row>
    <row r="25" spans="1:19" ht="24" x14ac:dyDescent="0.25">
      <c r="A25" s="1"/>
      <c r="B25" s="47">
        <f t="shared" si="0"/>
        <v>16</v>
      </c>
      <c r="C25" s="54" t="s">
        <v>10</v>
      </c>
      <c r="D25" s="51" t="s">
        <v>43</v>
      </c>
      <c r="E25" s="51" t="s">
        <v>122</v>
      </c>
      <c r="F25" s="51" t="s">
        <v>195</v>
      </c>
      <c r="G25" s="51" t="s">
        <v>249</v>
      </c>
      <c r="H25" s="51" t="s">
        <v>312</v>
      </c>
      <c r="I25" s="51" t="s">
        <v>460</v>
      </c>
      <c r="J25" s="51" t="s">
        <v>361</v>
      </c>
      <c r="K25" s="51" t="s">
        <v>460</v>
      </c>
      <c r="L25" s="51">
        <v>1</v>
      </c>
      <c r="M25" s="51">
        <f t="shared" ref="M25" si="15">L25*5</f>
        <v>5</v>
      </c>
      <c r="N25" s="51">
        <v>10</v>
      </c>
      <c r="O25" s="60" t="s">
        <v>467</v>
      </c>
      <c r="P25" s="52">
        <v>4.4600000000000001E-2</v>
      </c>
      <c r="Q25" s="52">
        <f t="shared" ref="Q25" si="16">P25*N25</f>
        <v>0.44600000000000001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10</v>
      </c>
      <c r="D26" s="37" t="s">
        <v>44</v>
      </c>
      <c r="E26" s="37" t="s">
        <v>123</v>
      </c>
      <c r="F26" s="37" t="s">
        <v>196</v>
      </c>
      <c r="G26" s="37" t="s">
        <v>250</v>
      </c>
      <c r="H26" s="37" t="s">
        <v>313</v>
      </c>
      <c r="I26" s="37" t="s">
        <v>460</v>
      </c>
      <c r="J26" s="37" t="s">
        <v>362</v>
      </c>
      <c r="K26" s="37" t="s">
        <v>460</v>
      </c>
      <c r="L26" s="37">
        <v>1</v>
      </c>
      <c r="M26" s="37">
        <f>L26*5</f>
        <v>5</v>
      </c>
      <c r="N26" s="37">
        <v>6</v>
      </c>
      <c r="O26" s="60" t="s">
        <v>467</v>
      </c>
      <c r="P26" s="38">
        <v>0.46939999999999998</v>
      </c>
      <c r="Q26" s="38">
        <f>P26*N26</f>
        <v>2.8163999999999998</v>
      </c>
      <c r="R26" s="37"/>
      <c r="S26" s="59"/>
    </row>
    <row r="27" spans="1:19" ht="24" x14ac:dyDescent="0.25">
      <c r="A27" s="1"/>
      <c r="B27" s="47">
        <f t="shared" si="0"/>
        <v>18</v>
      </c>
      <c r="C27" s="53" t="s">
        <v>10</v>
      </c>
      <c r="D27" s="51" t="s">
        <v>45</v>
      </c>
      <c r="E27" s="51" t="s">
        <v>124</v>
      </c>
      <c r="F27" s="51" t="s">
        <v>198</v>
      </c>
      <c r="G27" s="51" t="s">
        <v>475</v>
      </c>
      <c r="H27" s="51" t="s">
        <v>314</v>
      </c>
      <c r="I27" s="51" t="s">
        <v>460</v>
      </c>
      <c r="J27" s="51" t="s">
        <v>476</v>
      </c>
      <c r="K27" s="51" t="s">
        <v>460</v>
      </c>
      <c r="L27" s="51">
        <v>1</v>
      </c>
      <c r="M27" s="51">
        <f t="shared" ref="M27" si="17">L27*5</f>
        <v>5</v>
      </c>
      <c r="N27" s="51">
        <v>10</v>
      </c>
      <c r="O27" s="60" t="s">
        <v>467</v>
      </c>
      <c r="P27" s="52">
        <v>3.56E-2</v>
      </c>
      <c r="Q27" s="52">
        <f t="shared" ref="Q27" si="18">P27*N27</f>
        <v>0.35599999999999998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10</v>
      </c>
      <c r="D28" s="37" t="s">
        <v>46</v>
      </c>
      <c r="E28" s="37" t="s">
        <v>125</v>
      </c>
      <c r="F28" s="37" t="s">
        <v>197</v>
      </c>
      <c r="G28" s="37" t="s">
        <v>251</v>
      </c>
      <c r="H28" s="37" t="s">
        <v>315</v>
      </c>
      <c r="I28" s="37" t="s">
        <v>460</v>
      </c>
      <c r="J28" s="37" t="s">
        <v>363</v>
      </c>
      <c r="K28" s="37" t="s">
        <v>460</v>
      </c>
      <c r="L28" s="37">
        <v>3</v>
      </c>
      <c r="M28" s="37">
        <f>L28*5</f>
        <v>15</v>
      </c>
      <c r="N28" s="37">
        <v>20</v>
      </c>
      <c r="O28" s="60" t="s">
        <v>467</v>
      </c>
      <c r="P28" s="38">
        <v>2.46E-2</v>
      </c>
      <c r="Q28" s="38">
        <f>P28*N28</f>
        <v>0.49199999999999999</v>
      </c>
      <c r="R28" s="37"/>
      <c r="S28" s="59"/>
    </row>
    <row r="29" spans="1:19" ht="36" x14ac:dyDescent="0.25">
      <c r="A29" s="1"/>
      <c r="B29" s="47">
        <f t="shared" si="0"/>
        <v>20</v>
      </c>
      <c r="C29" s="54" t="s">
        <v>10</v>
      </c>
      <c r="D29" s="51" t="s">
        <v>47</v>
      </c>
      <c r="E29" s="51" t="s">
        <v>126</v>
      </c>
      <c r="F29" s="51" t="s">
        <v>198</v>
      </c>
      <c r="G29" s="51" t="s">
        <v>252</v>
      </c>
      <c r="H29" s="51" t="s">
        <v>316</v>
      </c>
      <c r="I29" s="51" t="s">
        <v>460</v>
      </c>
      <c r="J29" s="51" t="s">
        <v>364</v>
      </c>
      <c r="K29" s="51" t="s">
        <v>460</v>
      </c>
      <c r="L29" s="51">
        <v>2</v>
      </c>
      <c r="M29" s="51">
        <f t="shared" ref="M29" si="19">L29*5</f>
        <v>10</v>
      </c>
      <c r="N29" s="51">
        <v>20</v>
      </c>
      <c r="O29" s="60" t="s">
        <v>467</v>
      </c>
      <c r="P29" s="52">
        <v>2.3400000000000001E-2</v>
      </c>
      <c r="Q29" s="52">
        <f t="shared" ref="Q29" si="20">P29*N29</f>
        <v>0.46800000000000003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10</v>
      </c>
      <c r="D30" s="37" t="s">
        <v>48</v>
      </c>
      <c r="E30" s="37" t="s">
        <v>127</v>
      </c>
      <c r="F30" s="37" t="s">
        <v>199</v>
      </c>
      <c r="G30" s="37" t="s">
        <v>253</v>
      </c>
      <c r="H30" s="37" t="s">
        <v>317</v>
      </c>
      <c r="I30" s="37" t="s">
        <v>460</v>
      </c>
      <c r="J30" s="37" t="s">
        <v>365</v>
      </c>
      <c r="K30" s="37" t="s">
        <v>460</v>
      </c>
      <c r="L30" s="37">
        <v>4</v>
      </c>
      <c r="M30" s="37">
        <f>L30*5</f>
        <v>20</v>
      </c>
      <c r="N30" s="37">
        <v>25</v>
      </c>
      <c r="O30" s="60" t="s">
        <v>467</v>
      </c>
      <c r="P30" s="38">
        <v>0.1351</v>
      </c>
      <c r="Q30" s="38">
        <f>P30*N30</f>
        <v>3.3774999999999999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10</v>
      </c>
      <c r="D31" s="51" t="s">
        <v>49</v>
      </c>
      <c r="E31" s="51" t="s">
        <v>128</v>
      </c>
      <c r="F31" s="51" t="s">
        <v>195</v>
      </c>
      <c r="G31" s="51" t="s">
        <v>254</v>
      </c>
      <c r="H31" s="51" t="s">
        <v>318</v>
      </c>
      <c r="I31" s="51" t="s">
        <v>460</v>
      </c>
      <c r="J31" s="51" t="s">
        <v>366</v>
      </c>
      <c r="K31" s="51" t="s">
        <v>460</v>
      </c>
      <c r="L31" s="51">
        <v>4</v>
      </c>
      <c r="M31" s="51">
        <f t="shared" ref="M31" si="21">L31*5</f>
        <v>20</v>
      </c>
      <c r="N31" s="51">
        <v>30</v>
      </c>
      <c r="O31" s="60" t="s">
        <v>467</v>
      </c>
      <c r="P31" s="52">
        <v>4.7500000000000001E-2</v>
      </c>
      <c r="Q31" s="52">
        <f t="shared" ref="Q31" si="22">P31*N31</f>
        <v>1.425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11</v>
      </c>
      <c r="D32" s="37" t="s">
        <v>50</v>
      </c>
      <c r="E32" s="37" t="s">
        <v>129</v>
      </c>
      <c r="F32" s="37" t="s">
        <v>200</v>
      </c>
      <c r="G32" s="37" t="s">
        <v>255</v>
      </c>
      <c r="H32" s="37" t="s">
        <v>319</v>
      </c>
      <c r="I32" s="37" t="s">
        <v>460</v>
      </c>
      <c r="J32" s="37" t="s">
        <v>367</v>
      </c>
      <c r="K32" s="37" t="s">
        <v>460</v>
      </c>
      <c r="L32" s="37">
        <v>1</v>
      </c>
      <c r="M32" s="37">
        <f>L32*5</f>
        <v>5</v>
      </c>
      <c r="N32" s="37">
        <v>10</v>
      </c>
      <c r="O32" s="60" t="s">
        <v>467</v>
      </c>
      <c r="P32" s="38">
        <v>0.2286</v>
      </c>
      <c r="Q32" s="38">
        <f>P32*N32</f>
        <v>2.286</v>
      </c>
      <c r="R32" s="37"/>
      <c r="S32" s="59"/>
    </row>
    <row r="33" spans="1:19" ht="24" x14ac:dyDescent="0.25">
      <c r="A33" s="1"/>
      <c r="B33" s="47">
        <f t="shared" si="0"/>
        <v>24</v>
      </c>
      <c r="C33" s="54" t="s">
        <v>11</v>
      </c>
      <c r="D33" s="51" t="s">
        <v>51</v>
      </c>
      <c r="E33" s="51" t="s">
        <v>130</v>
      </c>
      <c r="F33" s="51" t="s">
        <v>201</v>
      </c>
      <c r="G33" s="51" t="s">
        <v>256</v>
      </c>
      <c r="H33" s="51" t="s">
        <v>320</v>
      </c>
      <c r="I33" s="51" t="s">
        <v>460</v>
      </c>
      <c r="J33" s="51" t="s">
        <v>368</v>
      </c>
      <c r="K33" s="51" t="s">
        <v>460</v>
      </c>
      <c r="L33" s="51">
        <v>1</v>
      </c>
      <c r="M33" s="51">
        <f t="shared" ref="M33" si="23">L33*5</f>
        <v>5</v>
      </c>
      <c r="N33" s="51">
        <v>6</v>
      </c>
      <c r="O33" s="60" t="s">
        <v>467</v>
      </c>
      <c r="P33" s="52">
        <v>1.1482000000000001</v>
      </c>
      <c r="Q33" s="52">
        <f t="shared" ref="Q33" si="24">P33*N33</f>
        <v>6.8892000000000007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11</v>
      </c>
      <c r="D34" s="37" t="s">
        <v>52</v>
      </c>
      <c r="E34" s="37" t="s">
        <v>131</v>
      </c>
      <c r="F34" s="37" t="s">
        <v>202</v>
      </c>
      <c r="G34" s="37" t="s">
        <v>257</v>
      </c>
      <c r="H34" s="37" t="s">
        <v>321</v>
      </c>
      <c r="I34" s="37" t="s">
        <v>460</v>
      </c>
      <c r="J34" s="37" t="s">
        <v>369</v>
      </c>
      <c r="K34" s="37" t="s">
        <v>460</v>
      </c>
      <c r="L34" s="37">
        <v>4</v>
      </c>
      <c r="M34" s="37">
        <f>L34*5</f>
        <v>20</v>
      </c>
      <c r="N34" s="37">
        <v>30</v>
      </c>
      <c r="O34" s="60" t="s">
        <v>467</v>
      </c>
      <c r="P34" s="38">
        <v>5.6099999999999997E-2</v>
      </c>
      <c r="Q34" s="38">
        <f>P34*N34</f>
        <v>1.6829999999999998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12</v>
      </c>
      <c r="D35" s="51" t="s">
        <v>53</v>
      </c>
      <c r="E35" s="51" t="s">
        <v>132</v>
      </c>
      <c r="F35" s="51" t="s">
        <v>203</v>
      </c>
      <c r="G35" s="51" t="s">
        <v>258</v>
      </c>
      <c r="H35" s="51" t="s">
        <v>303</v>
      </c>
      <c r="I35" s="61" t="s">
        <v>468</v>
      </c>
      <c r="J35" s="51" t="s">
        <v>370</v>
      </c>
      <c r="K35" s="51" t="s">
        <v>425</v>
      </c>
      <c r="L35" s="51">
        <v>1</v>
      </c>
      <c r="M35" s="51">
        <f t="shared" ref="M35" si="25">L35*5</f>
        <v>5</v>
      </c>
      <c r="N35" s="51">
        <v>10</v>
      </c>
      <c r="O35" s="60" t="s">
        <v>467</v>
      </c>
      <c r="P35" s="52">
        <v>8.8300000000000003E-2</v>
      </c>
      <c r="Q35" s="52">
        <f t="shared" ref="Q35" si="26">P35*N35</f>
        <v>0.88300000000000001</v>
      </c>
      <c r="R35" s="51"/>
      <c r="S35" s="59"/>
    </row>
    <row r="36" spans="1:19" ht="48" x14ac:dyDescent="0.25">
      <c r="A36" s="1"/>
      <c r="B36" s="46">
        <f>ROW(B36) - ROW($B$9)</f>
        <v>27</v>
      </c>
      <c r="C36" s="53" t="s">
        <v>13</v>
      </c>
      <c r="D36" s="37" t="s">
        <v>54</v>
      </c>
      <c r="E36" s="37" t="s">
        <v>133</v>
      </c>
      <c r="F36" s="51" t="s">
        <v>466</v>
      </c>
      <c r="G36" s="37" t="s">
        <v>204</v>
      </c>
      <c r="H36" s="37" t="s">
        <v>322</v>
      </c>
      <c r="I36" s="37" t="s">
        <v>460</v>
      </c>
      <c r="J36" s="37" t="s">
        <v>371</v>
      </c>
      <c r="K36" s="37" t="s">
        <v>460</v>
      </c>
      <c r="L36" s="37">
        <v>8</v>
      </c>
      <c r="M36" s="37">
        <f>L36*5</f>
        <v>40</v>
      </c>
      <c r="N36" s="37">
        <v>45</v>
      </c>
      <c r="O36" s="60" t="s">
        <v>467</v>
      </c>
      <c r="P36" s="38">
        <v>0.2316</v>
      </c>
      <c r="Q36" s="38">
        <f>P36*N36</f>
        <v>10.422000000000001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14</v>
      </c>
      <c r="D37" s="51" t="s">
        <v>55</v>
      </c>
      <c r="E37" s="51" t="s">
        <v>134</v>
      </c>
      <c r="F37" s="51" t="s">
        <v>466</v>
      </c>
      <c r="G37" s="51" t="s">
        <v>259</v>
      </c>
      <c r="H37" s="51" t="s">
        <v>323</v>
      </c>
      <c r="I37" s="51" t="s">
        <v>460</v>
      </c>
      <c r="J37" s="51" t="s">
        <v>372</v>
      </c>
      <c r="K37" s="51" t="s">
        <v>460</v>
      </c>
      <c r="L37" s="51">
        <v>1</v>
      </c>
      <c r="M37" s="51">
        <f t="shared" ref="M37" si="27">L37*5</f>
        <v>5</v>
      </c>
      <c r="N37" s="51">
        <v>10</v>
      </c>
      <c r="O37" s="60" t="s">
        <v>467</v>
      </c>
      <c r="P37" s="52">
        <v>0.21590000000000001</v>
      </c>
      <c r="Q37" s="52">
        <f t="shared" ref="Q37" si="28">P37*N37</f>
        <v>2.1590000000000003</v>
      </c>
      <c r="R37" s="51"/>
      <c r="S37" s="59"/>
    </row>
    <row r="38" spans="1:19" ht="48" x14ac:dyDescent="0.25">
      <c r="A38" s="1"/>
      <c r="B38" s="46">
        <f>ROW(B38) - ROW($B$9)</f>
        <v>29</v>
      </c>
      <c r="C38" s="53" t="s">
        <v>13</v>
      </c>
      <c r="D38" s="37" t="s">
        <v>56</v>
      </c>
      <c r="E38" s="37" t="s">
        <v>135</v>
      </c>
      <c r="F38" s="51" t="s">
        <v>466</v>
      </c>
      <c r="G38" s="37" t="s">
        <v>205</v>
      </c>
      <c r="H38" s="37" t="s">
        <v>322</v>
      </c>
      <c r="I38" s="37" t="s">
        <v>460</v>
      </c>
      <c r="J38" s="37" t="s">
        <v>373</v>
      </c>
      <c r="K38" s="37" t="s">
        <v>460</v>
      </c>
      <c r="L38" s="37">
        <v>4</v>
      </c>
      <c r="M38" s="37">
        <f>L38*5</f>
        <v>20</v>
      </c>
      <c r="N38" s="37">
        <v>25</v>
      </c>
      <c r="O38" s="60" t="s">
        <v>467</v>
      </c>
      <c r="P38" s="38">
        <v>0.17299999999999999</v>
      </c>
      <c r="Q38" s="38">
        <f>P38*N38</f>
        <v>4.3249999999999993</v>
      </c>
      <c r="R38" s="37"/>
      <c r="S38" s="59"/>
    </row>
    <row r="39" spans="1:19" ht="25.5" x14ac:dyDescent="0.25">
      <c r="A39" s="1"/>
      <c r="B39" s="47">
        <f t="shared" si="0"/>
        <v>30</v>
      </c>
      <c r="C39" s="54" t="s">
        <v>15</v>
      </c>
      <c r="D39" s="51" t="s">
        <v>57</v>
      </c>
      <c r="E39" s="51" t="s">
        <v>136</v>
      </c>
      <c r="F39" s="51" t="s">
        <v>466</v>
      </c>
      <c r="G39" s="51" t="s">
        <v>206</v>
      </c>
      <c r="H39" s="51" t="s">
        <v>324</v>
      </c>
      <c r="I39" s="51" t="s">
        <v>460</v>
      </c>
      <c r="J39" s="51" t="s">
        <v>374</v>
      </c>
      <c r="K39" s="51" t="s">
        <v>460</v>
      </c>
      <c r="L39" s="51">
        <v>1</v>
      </c>
      <c r="M39" s="51">
        <f t="shared" ref="M39" si="29">L39*5</f>
        <v>5</v>
      </c>
      <c r="N39" s="51">
        <v>6</v>
      </c>
      <c r="O39" s="60" t="s">
        <v>467</v>
      </c>
      <c r="P39" s="52">
        <v>0.36749999999999999</v>
      </c>
      <c r="Q39" s="52">
        <f t="shared" ref="Q39" si="30">P39*N39</f>
        <v>2.2050000000000001</v>
      </c>
      <c r="R39" s="51"/>
      <c r="S39" s="59"/>
    </row>
    <row r="40" spans="1:19" ht="24" x14ac:dyDescent="0.25">
      <c r="A40" s="1"/>
      <c r="B40" s="46">
        <f>ROW(B40) - ROW($B$9)</f>
        <v>31</v>
      </c>
      <c r="C40" s="53" t="s">
        <v>16</v>
      </c>
      <c r="D40" s="37" t="s">
        <v>58</v>
      </c>
      <c r="E40" s="37" t="s">
        <v>137</v>
      </c>
      <c r="F40" s="51" t="s">
        <v>466</v>
      </c>
      <c r="G40" s="37" t="s">
        <v>260</v>
      </c>
      <c r="H40" s="37" t="s">
        <v>325</v>
      </c>
      <c r="I40" s="37" t="s">
        <v>460</v>
      </c>
      <c r="J40" s="37" t="s">
        <v>260</v>
      </c>
      <c r="K40" s="37" t="s">
        <v>460</v>
      </c>
      <c r="L40" s="37">
        <v>1</v>
      </c>
      <c r="M40" s="37">
        <f>L40*5</f>
        <v>5</v>
      </c>
      <c r="N40" s="37">
        <v>12</v>
      </c>
      <c r="O40" s="60" t="s">
        <v>467</v>
      </c>
      <c r="P40" s="38">
        <v>7.0400000000000004E-2</v>
      </c>
      <c r="Q40" s="38">
        <f>P40*N40</f>
        <v>0.8448</v>
      </c>
      <c r="R40" s="37"/>
      <c r="S40" s="59"/>
    </row>
    <row r="41" spans="1:19" x14ac:dyDescent="0.25">
      <c r="A41" s="1"/>
      <c r="B41" s="47">
        <f t="shared" si="0"/>
        <v>32</v>
      </c>
      <c r="C41" s="54" t="s">
        <v>461</v>
      </c>
      <c r="D41" s="51" t="s">
        <v>59</v>
      </c>
      <c r="E41" s="51" t="s">
        <v>138</v>
      </c>
      <c r="F41" s="51" t="s">
        <v>466</v>
      </c>
      <c r="G41" s="51" t="s">
        <v>207</v>
      </c>
      <c r="H41" s="51" t="s">
        <v>326</v>
      </c>
      <c r="I41" s="51" t="s">
        <v>460</v>
      </c>
      <c r="J41" s="51" t="s">
        <v>469</v>
      </c>
      <c r="K41" s="51" t="s">
        <v>460</v>
      </c>
      <c r="L41" s="51">
        <v>1</v>
      </c>
      <c r="M41" s="51">
        <f t="shared" ref="M41" si="31">L41*5</f>
        <v>5</v>
      </c>
      <c r="N41" s="51">
        <v>10</v>
      </c>
      <c r="O41" s="60" t="s">
        <v>467</v>
      </c>
      <c r="P41" s="52">
        <v>7.9600000000000004E-2</v>
      </c>
      <c r="Q41" s="52">
        <f t="shared" ref="Q41" si="32">P41*N41</f>
        <v>0.79600000000000004</v>
      </c>
      <c r="R41" s="51"/>
      <c r="S41" s="59"/>
    </row>
    <row r="42" spans="1:19" ht="36" x14ac:dyDescent="0.25">
      <c r="A42" s="1"/>
      <c r="B42" s="46">
        <f>ROW(B42) - ROW($B$9)</f>
        <v>33</v>
      </c>
      <c r="C42" s="53" t="s">
        <v>17</v>
      </c>
      <c r="D42" s="37" t="s">
        <v>60</v>
      </c>
      <c r="E42" s="37" t="s">
        <v>139</v>
      </c>
      <c r="F42" s="51" t="s">
        <v>466</v>
      </c>
      <c r="G42" s="37" t="s">
        <v>208</v>
      </c>
      <c r="H42" s="37" t="s">
        <v>327</v>
      </c>
      <c r="I42" s="37" t="s">
        <v>460</v>
      </c>
      <c r="J42" s="37" t="s">
        <v>375</v>
      </c>
      <c r="K42" s="37" t="s">
        <v>460</v>
      </c>
      <c r="L42" s="37">
        <v>2</v>
      </c>
      <c r="M42" s="37">
        <f>L42*5</f>
        <v>10</v>
      </c>
      <c r="N42" s="37">
        <v>11</v>
      </c>
      <c r="O42" s="60" t="s">
        <v>467</v>
      </c>
      <c r="P42" s="38">
        <v>0.81459999999999999</v>
      </c>
      <c r="Q42" s="38">
        <f>P42*N42</f>
        <v>8.9605999999999995</v>
      </c>
      <c r="R42" s="37"/>
      <c r="S42" s="59"/>
    </row>
    <row r="43" spans="1:19" ht="24" x14ac:dyDescent="0.25">
      <c r="A43" s="1"/>
      <c r="B43" s="47">
        <f t="shared" si="0"/>
        <v>34</v>
      </c>
      <c r="C43" s="54" t="s">
        <v>18</v>
      </c>
      <c r="D43" s="51" t="s">
        <v>61</v>
      </c>
      <c r="E43" s="51" t="s">
        <v>140</v>
      </c>
      <c r="F43" s="51" t="s">
        <v>466</v>
      </c>
      <c r="G43" s="51" t="s">
        <v>209</v>
      </c>
      <c r="H43" s="51" t="s">
        <v>328</v>
      </c>
      <c r="I43" s="51" t="s">
        <v>460</v>
      </c>
      <c r="J43" s="51" t="s">
        <v>376</v>
      </c>
      <c r="K43" s="51" t="s">
        <v>460</v>
      </c>
      <c r="L43" s="51">
        <v>3</v>
      </c>
      <c r="M43" s="51">
        <f t="shared" ref="M43" si="33">L43*5</f>
        <v>15</v>
      </c>
      <c r="N43" s="51">
        <v>16</v>
      </c>
      <c r="O43" s="60" t="s">
        <v>467</v>
      </c>
      <c r="P43" s="52">
        <v>0.32619999999999999</v>
      </c>
      <c r="Q43" s="52">
        <f t="shared" ref="Q43" si="34">P43*N43</f>
        <v>5.2191999999999998</v>
      </c>
      <c r="R43" s="51"/>
      <c r="S43" s="59"/>
    </row>
    <row r="44" spans="1:19" ht="24" x14ac:dyDescent="0.25">
      <c r="A44" s="1"/>
      <c r="B44" s="46">
        <f>ROW(B44) - ROW($B$9)</f>
        <v>35</v>
      </c>
      <c r="C44" s="53" t="s">
        <v>19</v>
      </c>
      <c r="D44" s="37" t="s">
        <v>62</v>
      </c>
      <c r="E44" s="37" t="s">
        <v>141</v>
      </c>
      <c r="F44" s="51" t="s">
        <v>466</v>
      </c>
      <c r="G44" s="37" t="s">
        <v>210</v>
      </c>
      <c r="H44" s="37" t="s">
        <v>329</v>
      </c>
      <c r="I44" s="37" t="s">
        <v>460</v>
      </c>
      <c r="J44" s="37" t="s">
        <v>377</v>
      </c>
      <c r="K44" s="37" t="s">
        <v>426</v>
      </c>
      <c r="L44" s="37">
        <v>1</v>
      </c>
      <c r="M44" s="37">
        <f>L44*5</f>
        <v>5</v>
      </c>
      <c r="N44" s="37">
        <v>10</v>
      </c>
      <c r="O44" s="60" t="s">
        <v>467</v>
      </c>
      <c r="P44" s="38">
        <v>0.2137</v>
      </c>
      <c r="Q44" s="38">
        <f>P44*N44</f>
        <v>2.137</v>
      </c>
      <c r="R44" s="37"/>
      <c r="S44" s="59"/>
    </row>
    <row r="45" spans="1:19" x14ac:dyDescent="0.25">
      <c r="A45" s="1"/>
      <c r="B45" s="47">
        <f t="shared" si="0"/>
        <v>36</v>
      </c>
      <c r="C45" s="53" t="s">
        <v>19</v>
      </c>
      <c r="D45" s="51" t="s">
        <v>63</v>
      </c>
      <c r="E45" s="51" t="s">
        <v>142</v>
      </c>
      <c r="F45" s="51" t="s">
        <v>211</v>
      </c>
      <c r="G45" s="51" t="s">
        <v>261</v>
      </c>
      <c r="H45" s="51" t="s">
        <v>330</v>
      </c>
      <c r="I45" s="51" t="s">
        <v>460</v>
      </c>
      <c r="J45" s="51" t="s">
        <v>378</v>
      </c>
      <c r="K45" s="51" t="s">
        <v>427</v>
      </c>
      <c r="L45" s="51">
        <v>1</v>
      </c>
      <c r="M45" s="51">
        <f t="shared" ref="M45" si="35">L45*5</f>
        <v>5</v>
      </c>
      <c r="N45" s="51">
        <v>50</v>
      </c>
      <c r="O45" s="60" t="s">
        <v>467</v>
      </c>
      <c r="P45" s="52">
        <v>8.3000000000000001E-3</v>
      </c>
      <c r="Q45" s="52">
        <f t="shared" ref="Q45" si="36">P45*N45</f>
        <v>0.41499999999999998</v>
      </c>
      <c r="R45" s="51"/>
      <c r="S45" s="59"/>
    </row>
    <row r="46" spans="1:19" ht="24" x14ac:dyDescent="0.25">
      <c r="A46" s="1"/>
      <c r="B46" s="46">
        <f>ROW(B46) - ROW($B$9)</f>
        <v>37</v>
      </c>
      <c r="C46" s="53" t="s">
        <v>20</v>
      </c>
      <c r="D46" s="37" t="s">
        <v>64</v>
      </c>
      <c r="E46" s="37" t="s">
        <v>143</v>
      </c>
      <c r="F46" s="37" t="s">
        <v>212</v>
      </c>
      <c r="G46" s="37" t="s">
        <v>262</v>
      </c>
      <c r="H46" s="37" t="s">
        <v>331</v>
      </c>
      <c r="I46" s="37" t="s">
        <v>460</v>
      </c>
      <c r="J46" s="37" t="s">
        <v>379</v>
      </c>
      <c r="K46" s="37" t="s">
        <v>460</v>
      </c>
      <c r="L46" s="37">
        <v>2</v>
      </c>
      <c r="M46" s="37">
        <f>L46*5</f>
        <v>10</v>
      </c>
      <c r="N46" s="37">
        <v>20</v>
      </c>
      <c r="O46" s="60" t="s">
        <v>467</v>
      </c>
      <c r="P46" s="38">
        <v>5.7599999999999998E-2</v>
      </c>
      <c r="Q46" s="38">
        <f>P46*N46</f>
        <v>1.1519999999999999</v>
      </c>
      <c r="R46" s="37"/>
      <c r="S46" s="59"/>
    </row>
    <row r="47" spans="1:19" ht="24" x14ac:dyDescent="0.25">
      <c r="A47" s="1"/>
      <c r="B47" s="47">
        <f t="shared" si="0"/>
        <v>38</v>
      </c>
      <c r="C47" s="54" t="s">
        <v>20</v>
      </c>
      <c r="D47" s="51" t="s">
        <v>65</v>
      </c>
      <c r="E47" s="51" t="s">
        <v>144</v>
      </c>
      <c r="F47" s="51" t="s">
        <v>213</v>
      </c>
      <c r="G47" s="51" t="s">
        <v>263</v>
      </c>
      <c r="H47" s="51" t="s">
        <v>331</v>
      </c>
      <c r="I47" s="61" t="s">
        <v>468</v>
      </c>
      <c r="J47" s="51" t="s">
        <v>380</v>
      </c>
      <c r="K47" s="51" t="s">
        <v>460</v>
      </c>
      <c r="L47" s="51">
        <v>1</v>
      </c>
      <c r="M47" s="51">
        <f t="shared" ref="M47" si="37">L47*5</f>
        <v>5</v>
      </c>
      <c r="N47" s="51">
        <v>10</v>
      </c>
      <c r="O47" s="60" t="s">
        <v>467</v>
      </c>
      <c r="P47" s="52">
        <v>5.1499999999999997E-2</v>
      </c>
      <c r="Q47" s="52">
        <f t="shared" ref="Q47" si="38">P47*N47</f>
        <v>0.51500000000000001</v>
      </c>
      <c r="R47" s="51"/>
      <c r="S47" s="59"/>
    </row>
    <row r="48" spans="1:19" x14ac:dyDescent="0.25">
      <c r="A48" s="1"/>
      <c r="B48" s="46">
        <f>ROW(B48) - ROW($B$9)</f>
        <v>39</v>
      </c>
      <c r="C48" s="53" t="s">
        <v>462</v>
      </c>
      <c r="D48" s="62" t="s">
        <v>66</v>
      </c>
      <c r="E48" s="62" t="s">
        <v>145</v>
      </c>
      <c r="F48" s="62" t="s">
        <v>466</v>
      </c>
      <c r="G48" s="62" t="s">
        <v>214</v>
      </c>
      <c r="H48" s="62" t="s">
        <v>460</v>
      </c>
      <c r="I48" s="62" t="s">
        <v>460</v>
      </c>
      <c r="J48" s="62" t="s">
        <v>460</v>
      </c>
      <c r="K48" s="62" t="s">
        <v>460</v>
      </c>
      <c r="L48" s="62">
        <v>10</v>
      </c>
      <c r="M48" s="62">
        <f>L48*5</f>
        <v>50</v>
      </c>
      <c r="N48" s="62" t="s">
        <v>460</v>
      </c>
      <c r="O48" s="62" t="s">
        <v>460</v>
      </c>
      <c r="P48" s="62" t="s">
        <v>460</v>
      </c>
      <c r="Q48" s="62" t="s">
        <v>460</v>
      </c>
      <c r="R48" s="63" t="s">
        <v>472</v>
      </c>
      <c r="S48" s="59"/>
    </row>
    <row r="49" spans="1:19" x14ac:dyDescent="0.25">
      <c r="A49" s="1"/>
      <c r="B49" s="47">
        <f t="shared" si="0"/>
        <v>40</v>
      </c>
      <c r="C49" s="54" t="s">
        <v>463</v>
      </c>
      <c r="D49" s="51" t="s">
        <v>67</v>
      </c>
      <c r="E49" s="51" t="s">
        <v>146</v>
      </c>
      <c r="F49" s="51" t="s">
        <v>215</v>
      </c>
      <c r="G49" s="51" t="s">
        <v>264</v>
      </c>
      <c r="H49" s="51" t="s">
        <v>332</v>
      </c>
      <c r="I49" s="51"/>
      <c r="J49" s="51" t="s">
        <v>381</v>
      </c>
      <c r="K49" s="51" t="s">
        <v>460</v>
      </c>
      <c r="L49" s="51">
        <v>1</v>
      </c>
      <c r="M49" s="51">
        <f t="shared" ref="M49" si="39">L49*5</f>
        <v>5</v>
      </c>
      <c r="N49" s="51">
        <v>20</v>
      </c>
      <c r="O49" s="60" t="s">
        <v>467</v>
      </c>
      <c r="P49" s="52">
        <v>2.1000000000000001E-2</v>
      </c>
      <c r="Q49" s="52">
        <f t="shared" ref="Q49" si="40">P49*N49</f>
        <v>0.42000000000000004</v>
      </c>
      <c r="R49" s="51"/>
      <c r="S49" s="59"/>
    </row>
    <row r="50" spans="1:19" x14ac:dyDescent="0.25">
      <c r="A50" s="1"/>
      <c r="B50" s="46">
        <f>ROW(B50) - ROW($B$9)</f>
        <v>41</v>
      </c>
      <c r="C50" s="53" t="s">
        <v>21</v>
      </c>
      <c r="D50" s="37" t="s">
        <v>68</v>
      </c>
      <c r="E50" s="37" t="s">
        <v>147</v>
      </c>
      <c r="F50" s="37" t="s">
        <v>216</v>
      </c>
      <c r="G50" s="62" t="s">
        <v>265</v>
      </c>
      <c r="H50" s="37" t="s">
        <v>333</v>
      </c>
      <c r="I50" s="37" t="s">
        <v>477</v>
      </c>
      <c r="J50" s="37" t="s">
        <v>478</v>
      </c>
      <c r="K50" s="37" t="s">
        <v>428</v>
      </c>
      <c r="L50" s="37">
        <v>2</v>
      </c>
      <c r="M50" s="37">
        <f>L50*5</f>
        <v>10</v>
      </c>
      <c r="N50" s="37">
        <v>20</v>
      </c>
      <c r="O50" s="60" t="s">
        <v>467</v>
      </c>
      <c r="P50" s="38">
        <v>2.1700000000000001E-2</v>
      </c>
      <c r="Q50" s="38">
        <f>P50*N50</f>
        <v>0.434</v>
      </c>
      <c r="R50" s="37"/>
      <c r="S50" s="59"/>
    </row>
    <row r="51" spans="1:19" x14ac:dyDescent="0.25">
      <c r="A51" s="1"/>
      <c r="B51" s="47">
        <f t="shared" si="0"/>
        <v>42</v>
      </c>
      <c r="C51" s="54" t="s">
        <v>22</v>
      </c>
      <c r="D51" s="51" t="s">
        <v>69</v>
      </c>
      <c r="E51" s="51" t="s">
        <v>148</v>
      </c>
      <c r="F51" s="51" t="s">
        <v>466</v>
      </c>
      <c r="G51" s="51" t="s">
        <v>217</v>
      </c>
      <c r="H51" s="51" t="s">
        <v>334</v>
      </c>
      <c r="I51" s="51"/>
      <c r="J51" s="51" t="s">
        <v>382</v>
      </c>
      <c r="K51" s="51" t="s">
        <v>460</v>
      </c>
      <c r="L51" s="51">
        <v>1</v>
      </c>
      <c r="M51" s="51">
        <f t="shared" ref="M51" si="41">L51*5</f>
        <v>5</v>
      </c>
      <c r="N51" s="51">
        <v>10</v>
      </c>
      <c r="O51" s="60" t="s">
        <v>467</v>
      </c>
      <c r="P51" s="52">
        <v>0.18260000000000001</v>
      </c>
      <c r="Q51" s="52">
        <f t="shared" ref="Q51" si="42">P51*N51</f>
        <v>1.8260000000000001</v>
      </c>
      <c r="R51" s="51"/>
      <c r="S51" s="59"/>
    </row>
    <row r="52" spans="1:19" x14ac:dyDescent="0.25">
      <c r="A52" s="1"/>
      <c r="B52" s="46">
        <f>ROW(B52) - ROW($B$9)</f>
        <v>43</v>
      </c>
      <c r="C52" s="53" t="s">
        <v>21</v>
      </c>
      <c r="D52" s="37" t="s">
        <v>70</v>
      </c>
      <c r="E52" s="37" t="s">
        <v>149</v>
      </c>
      <c r="F52" s="37" t="s">
        <v>216</v>
      </c>
      <c r="G52" s="37" t="s">
        <v>266</v>
      </c>
      <c r="H52" s="37" t="s">
        <v>302</v>
      </c>
      <c r="I52" s="37"/>
      <c r="J52" s="37" t="s">
        <v>383</v>
      </c>
      <c r="K52" s="37" t="s">
        <v>429</v>
      </c>
      <c r="L52" s="37">
        <v>1</v>
      </c>
      <c r="M52" s="37">
        <f>L52*5</f>
        <v>5</v>
      </c>
      <c r="N52" s="37">
        <v>100</v>
      </c>
      <c r="O52" s="60" t="s">
        <v>467</v>
      </c>
      <c r="P52" s="38">
        <v>2.5999999999999999E-3</v>
      </c>
      <c r="Q52" s="38">
        <f>P52*N52</f>
        <v>0.26</v>
      </c>
      <c r="R52" s="37"/>
      <c r="S52" s="59"/>
    </row>
    <row r="53" spans="1:19" ht="48" x14ac:dyDescent="0.25">
      <c r="A53" s="1"/>
      <c r="B53" s="47">
        <f t="shared" si="0"/>
        <v>44</v>
      </c>
      <c r="C53" s="54" t="s">
        <v>21</v>
      </c>
      <c r="D53" s="51" t="s">
        <v>71</v>
      </c>
      <c r="E53" s="51" t="s">
        <v>150</v>
      </c>
      <c r="F53" s="51" t="s">
        <v>218</v>
      </c>
      <c r="G53" s="51" t="s">
        <v>267</v>
      </c>
      <c r="H53" s="51" t="s">
        <v>302</v>
      </c>
      <c r="I53" s="51"/>
      <c r="J53" s="51" t="s">
        <v>384</v>
      </c>
      <c r="K53" s="51" t="s">
        <v>430</v>
      </c>
      <c r="L53" s="51">
        <v>25</v>
      </c>
      <c r="M53" s="51">
        <f t="shared" ref="M53" si="43">L53*5</f>
        <v>125</v>
      </c>
      <c r="N53" s="51">
        <v>200</v>
      </c>
      <c r="O53" s="60" t="s">
        <v>467</v>
      </c>
      <c r="P53" s="52">
        <v>8.9999999999999998E-4</v>
      </c>
      <c r="Q53" s="52">
        <f t="shared" ref="Q53" si="44">P53*N53</f>
        <v>0.18</v>
      </c>
      <c r="R53" s="51"/>
      <c r="S53" s="59"/>
    </row>
    <row r="54" spans="1:19" x14ac:dyDescent="0.25">
      <c r="A54" s="1"/>
      <c r="B54" s="46">
        <f>ROW(B54) - ROW($B$9)</f>
        <v>45</v>
      </c>
      <c r="C54" s="54" t="s">
        <v>21</v>
      </c>
      <c r="D54" s="37" t="s">
        <v>72</v>
      </c>
      <c r="E54" s="37" t="s">
        <v>151</v>
      </c>
      <c r="F54" s="37" t="s">
        <v>218</v>
      </c>
      <c r="G54" s="62" t="s">
        <v>268</v>
      </c>
      <c r="H54" s="37" t="s">
        <v>302</v>
      </c>
      <c r="I54" s="37" t="s">
        <v>479</v>
      </c>
      <c r="J54" s="37" t="s">
        <v>480</v>
      </c>
      <c r="K54" s="37" t="s">
        <v>431</v>
      </c>
      <c r="L54" s="37">
        <v>7</v>
      </c>
      <c r="M54" s="37">
        <f>L54*5</f>
        <v>35</v>
      </c>
      <c r="N54" s="37">
        <v>100</v>
      </c>
      <c r="O54" s="60" t="s">
        <v>467</v>
      </c>
      <c r="P54" s="38">
        <v>8.9999999999999998E-4</v>
      </c>
      <c r="Q54" s="38">
        <f>P54*N54</f>
        <v>0.09</v>
      </c>
      <c r="R54" s="37"/>
      <c r="S54" s="59"/>
    </row>
    <row r="55" spans="1:19" ht="36" x14ac:dyDescent="0.25">
      <c r="A55" s="1"/>
      <c r="B55" s="47">
        <f t="shared" si="0"/>
        <v>46</v>
      </c>
      <c r="C55" s="54" t="s">
        <v>21</v>
      </c>
      <c r="D55" s="51" t="s">
        <v>73</v>
      </c>
      <c r="E55" s="51" t="s">
        <v>152</v>
      </c>
      <c r="F55" s="51" t="s">
        <v>219</v>
      </c>
      <c r="G55" s="51" t="s">
        <v>269</v>
      </c>
      <c r="H55" s="51" t="s">
        <v>335</v>
      </c>
      <c r="I55" s="51" t="s">
        <v>460</v>
      </c>
      <c r="J55" s="51" t="s">
        <v>385</v>
      </c>
      <c r="K55" s="51" t="s">
        <v>432</v>
      </c>
      <c r="L55" s="51">
        <v>1</v>
      </c>
      <c r="M55" s="51">
        <f t="shared" ref="M55" si="45">L55*5</f>
        <v>5</v>
      </c>
      <c r="N55" s="51">
        <v>100</v>
      </c>
      <c r="O55" s="60" t="s">
        <v>467</v>
      </c>
      <c r="P55" s="52">
        <v>1E-3</v>
      </c>
      <c r="Q55" s="52">
        <f t="shared" ref="Q55" si="46">P55*N55</f>
        <v>0.1</v>
      </c>
      <c r="R55" s="51"/>
      <c r="S55" s="59"/>
    </row>
    <row r="56" spans="1:19" x14ac:dyDescent="0.25">
      <c r="A56" s="1"/>
      <c r="B56" s="46">
        <f>ROW(B56) - ROW($B$9)</f>
        <v>47</v>
      </c>
      <c r="C56" s="54" t="s">
        <v>21</v>
      </c>
      <c r="D56" s="37" t="s">
        <v>74</v>
      </c>
      <c r="E56" s="37" t="s">
        <v>153</v>
      </c>
      <c r="F56" s="37" t="s">
        <v>218</v>
      </c>
      <c r="G56" s="37" t="s">
        <v>270</v>
      </c>
      <c r="H56" s="37" t="s">
        <v>302</v>
      </c>
      <c r="I56" s="37" t="s">
        <v>460</v>
      </c>
      <c r="J56" s="37" t="s">
        <v>386</v>
      </c>
      <c r="K56" s="37" t="s">
        <v>433</v>
      </c>
      <c r="L56" s="37">
        <v>2</v>
      </c>
      <c r="M56" s="37">
        <f>L56*5</f>
        <v>10</v>
      </c>
      <c r="N56" s="37">
        <v>100</v>
      </c>
      <c r="O56" s="60" t="s">
        <v>467</v>
      </c>
      <c r="P56" s="38">
        <v>8.0000000000000004E-4</v>
      </c>
      <c r="Q56" s="38">
        <f>P56*N56</f>
        <v>0.08</v>
      </c>
      <c r="R56" s="37"/>
      <c r="S56" s="59"/>
    </row>
    <row r="57" spans="1:19" x14ac:dyDescent="0.25">
      <c r="A57" s="1"/>
      <c r="B57" s="47">
        <f t="shared" si="0"/>
        <v>48</v>
      </c>
      <c r="C57" s="54" t="s">
        <v>21</v>
      </c>
      <c r="D57" s="51" t="s">
        <v>75</v>
      </c>
      <c r="E57" s="51" t="s">
        <v>154</v>
      </c>
      <c r="F57" s="51" t="s">
        <v>218</v>
      </c>
      <c r="G57" s="62" t="s">
        <v>271</v>
      </c>
      <c r="H57" s="51" t="s">
        <v>302</v>
      </c>
      <c r="I57" s="51" t="s">
        <v>481</v>
      </c>
      <c r="J57" s="51" t="s">
        <v>482</v>
      </c>
      <c r="K57" s="51" t="s">
        <v>434</v>
      </c>
      <c r="L57" s="51">
        <v>1</v>
      </c>
      <c r="M57" s="51">
        <f t="shared" ref="M57" si="47">L57*5</f>
        <v>5</v>
      </c>
      <c r="N57" s="51">
        <v>100</v>
      </c>
      <c r="O57" s="60" t="s">
        <v>467</v>
      </c>
      <c r="P57" s="52">
        <v>5.0000000000000001E-4</v>
      </c>
      <c r="Q57" s="52">
        <f t="shared" ref="Q57" si="48">P57*N57</f>
        <v>0.05</v>
      </c>
      <c r="R57" s="51"/>
      <c r="S57" s="59"/>
    </row>
    <row r="58" spans="1:19" x14ac:dyDescent="0.25">
      <c r="A58" s="1"/>
      <c r="B58" s="46">
        <f>ROW(B58) - ROW($B$9)</f>
        <v>49</v>
      </c>
      <c r="C58" s="53" t="s">
        <v>21</v>
      </c>
      <c r="D58" s="37" t="s">
        <v>76</v>
      </c>
      <c r="E58" s="37" t="s">
        <v>155</v>
      </c>
      <c r="F58" s="37" t="s">
        <v>216</v>
      </c>
      <c r="G58" s="37" t="s">
        <v>272</v>
      </c>
      <c r="H58" s="37" t="s">
        <v>302</v>
      </c>
      <c r="I58" s="37"/>
      <c r="J58" s="37" t="s">
        <v>387</v>
      </c>
      <c r="K58" s="37" t="s">
        <v>435</v>
      </c>
      <c r="L58" s="37">
        <v>2</v>
      </c>
      <c r="M58" s="37">
        <f>L58*5</f>
        <v>10</v>
      </c>
      <c r="N58" s="37">
        <v>100</v>
      </c>
      <c r="O58" s="60" t="s">
        <v>467</v>
      </c>
      <c r="P58" s="38">
        <v>6.9999999999999999E-4</v>
      </c>
      <c r="Q58" s="38">
        <f>P58*N58</f>
        <v>6.9999999999999993E-2</v>
      </c>
      <c r="R58" s="37"/>
      <c r="S58" s="59"/>
    </row>
    <row r="59" spans="1:19" ht="48" x14ac:dyDescent="0.25">
      <c r="A59" s="1"/>
      <c r="B59" s="47">
        <f t="shared" si="0"/>
        <v>50</v>
      </c>
      <c r="C59" s="54" t="s">
        <v>21</v>
      </c>
      <c r="D59" s="51" t="s">
        <v>77</v>
      </c>
      <c r="E59" s="51" t="s">
        <v>156</v>
      </c>
      <c r="F59" s="51" t="s">
        <v>216</v>
      </c>
      <c r="G59" s="51" t="s">
        <v>273</v>
      </c>
      <c r="H59" s="51" t="s">
        <v>302</v>
      </c>
      <c r="I59" s="51"/>
      <c r="J59" s="51" t="s">
        <v>388</v>
      </c>
      <c r="K59" s="51" t="s">
        <v>436</v>
      </c>
      <c r="L59" s="51">
        <v>22</v>
      </c>
      <c r="M59" s="51">
        <f t="shared" ref="M59" si="49">L59*5</f>
        <v>110</v>
      </c>
      <c r="N59" s="51">
        <v>200</v>
      </c>
      <c r="O59" s="60" t="s">
        <v>467</v>
      </c>
      <c r="P59" s="52">
        <v>6.9999999999999999E-4</v>
      </c>
      <c r="Q59" s="52">
        <f t="shared" ref="Q59" si="50">P59*N59</f>
        <v>0.13999999999999999</v>
      </c>
      <c r="R59" s="51"/>
      <c r="S59" s="59"/>
    </row>
    <row r="60" spans="1:19" x14ac:dyDescent="0.25">
      <c r="A60" s="1"/>
      <c r="B60" s="46">
        <f>ROW(B60) - ROW($B$9)</f>
        <v>51</v>
      </c>
      <c r="C60" s="54" t="s">
        <v>21</v>
      </c>
      <c r="D60" s="37" t="s">
        <v>78</v>
      </c>
      <c r="E60" s="37" t="s">
        <v>157</v>
      </c>
      <c r="F60" s="37" t="s">
        <v>216</v>
      </c>
      <c r="G60" s="37" t="s">
        <v>274</v>
      </c>
      <c r="H60" s="37" t="s">
        <v>302</v>
      </c>
      <c r="I60" s="37"/>
      <c r="J60" s="37" t="s">
        <v>389</v>
      </c>
      <c r="K60" s="37" t="s">
        <v>437</v>
      </c>
      <c r="L60" s="37">
        <v>1</v>
      </c>
      <c r="M60" s="37">
        <f>L60*5</f>
        <v>5</v>
      </c>
      <c r="N60" s="37">
        <v>100</v>
      </c>
      <c r="O60" s="60" t="s">
        <v>467</v>
      </c>
      <c r="P60" s="38">
        <v>5.9999999999999995E-4</v>
      </c>
      <c r="Q60" s="38">
        <f>P60*N60</f>
        <v>0.06</v>
      </c>
      <c r="R60" s="37"/>
      <c r="S60" s="59"/>
    </row>
    <row r="61" spans="1:19" x14ac:dyDescent="0.25">
      <c r="A61" s="1"/>
      <c r="B61" s="46">
        <f>ROW(B61) - ROW($B$9)</f>
        <v>52</v>
      </c>
      <c r="C61" s="53" t="s">
        <v>21</v>
      </c>
      <c r="D61" s="37" t="s">
        <v>79</v>
      </c>
      <c r="E61" s="37" t="s">
        <v>158</v>
      </c>
      <c r="F61" s="37" t="s">
        <v>216</v>
      </c>
      <c r="G61" s="37" t="s">
        <v>275</v>
      </c>
      <c r="H61" s="37" t="s">
        <v>302</v>
      </c>
      <c r="I61" s="37"/>
      <c r="J61" s="37" t="s">
        <v>390</v>
      </c>
      <c r="K61" s="37" t="s">
        <v>439</v>
      </c>
      <c r="L61" s="37">
        <v>4</v>
      </c>
      <c r="M61" s="37">
        <f>L61*5</f>
        <v>20</v>
      </c>
      <c r="N61" s="37">
        <v>100</v>
      </c>
      <c r="O61" s="60" t="s">
        <v>467</v>
      </c>
      <c r="P61" s="38">
        <v>6.9999999999999999E-4</v>
      </c>
      <c r="Q61" s="38">
        <f>P61*N61</f>
        <v>6.9999999999999993E-2</v>
      </c>
      <c r="R61" s="37"/>
      <c r="S61" s="59"/>
    </row>
    <row r="62" spans="1:19" x14ac:dyDescent="0.25">
      <c r="A62" s="1"/>
      <c r="B62" s="47">
        <f t="shared" si="0"/>
        <v>53</v>
      </c>
      <c r="C62" s="54" t="s">
        <v>21</v>
      </c>
      <c r="D62" s="51" t="s">
        <v>80</v>
      </c>
      <c r="E62" s="51" t="s">
        <v>159</v>
      </c>
      <c r="F62" s="51" t="s">
        <v>219</v>
      </c>
      <c r="G62" s="51" t="s">
        <v>276</v>
      </c>
      <c r="H62" s="51" t="s">
        <v>302</v>
      </c>
      <c r="I62" s="51"/>
      <c r="J62" s="51" t="s">
        <v>391</v>
      </c>
      <c r="K62" s="51" t="s">
        <v>440</v>
      </c>
      <c r="L62" s="51">
        <v>1</v>
      </c>
      <c r="M62" s="51">
        <f t="shared" ref="M62" si="51">L62*5</f>
        <v>5</v>
      </c>
      <c r="N62" s="51">
        <v>100</v>
      </c>
      <c r="O62" s="60" t="s">
        <v>467</v>
      </c>
      <c r="P62" s="52">
        <v>1.1999999999999999E-3</v>
      </c>
      <c r="Q62" s="52">
        <f t="shared" ref="Q62" si="52">P62*N62</f>
        <v>0.12</v>
      </c>
      <c r="R62" s="51"/>
      <c r="S62" s="59"/>
    </row>
    <row r="63" spans="1:19" x14ac:dyDescent="0.25">
      <c r="A63" s="1"/>
      <c r="B63" s="46">
        <f>ROW(B63) - ROW($B$9)</f>
        <v>54</v>
      </c>
      <c r="C63" s="53" t="s">
        <v>21</v>
      </c>
      <c r="D63" s="37" t="s">
        <v>81</v>
      </c>
      <c r="E63" s="37" t="s">
        <v>160</v>
      </c>
      <c r="F63" s="37" t="s">
        <v>216</v>
      </c>
      <c r="G63" s="37" t="s">
        <v>277</v>
      </c>
      <c r="H63" s="37" t="s">
        <v>302</v>
      </c>
      <c r="I63" s="37"/>
      <c r="J63" s="37" t="s">
        <v>392</v>
      </c>
      <c r="K63" s="37" t="s">
        <v>441</v>
      </c>
      <c r="L63" s="37">
        <v>1</v>
      </c>
      <c r="M63" s="37">
        <f>L63*5</f>
        <v>5</v>
      </c>
      <c r="N63" s="37">
        <v>100</v>
      </c>
      <c r="O63" s="60" t="s">
        <v>467</v>
      </c>
      <c r="P63" s="38">
        <v>2.5000000000000001E-3</v>
      </c>
      <c r="Q63" s="38">
        <f>P63*N63</f>
        <v>0.25</v>
      </c>
      <c r="R63" s="37"/>
      <c r="S63" s="59"/>
    </row>
    <row r="64" spans="1:19" x14ac:dyDescent="0.25">
      <c r="A64" s="1"/>
      <c r="B64" s="47">
        <f t="shared" si="0"/>
        <v>55</v>
      </c>
      <c r="C64" s="53" t="s">
        <v>21</v>
      </c>
      <c r="D64" s="51" t="s">
        <v>82</v>
      </c>
      <c r="E64" s="51" t="s">
        <v>161</v>
      </c>
      <c r="F64" s="51" t="s">
        <v>219</v>
      </c>
      <c r="G64" s="51" t="s">
        <v>278</v>
      </c>
      <c r="H64" s="51" t="s">
        <v>302</v>
      </c>
      <c r="I64" s="51"/>
      <c r="J64" s="51" t="s">
        <v>470</v>
      </c>
      <c r="K64" s="51" t="s">
        <v>442</v>
      </c>
      <c r="L64" s="51">
        <v>1</v>
      </c>
      <c r="M64" s="51">
        <f t="shared" ref="M64" si="53">L64*5</f>
        <v>5</v>
      </c>
      <c r="N64" s="51">
        <v>20</v>
      </c>
      <c r="O64" s="60" t="s">
        <v>467</v>
      </c>
      <c r="P64" s="52">
        <v>2.5999999999999999E-2</v>
      </c>
      <c r="Q64" s="52">
        <f t="shared" ref="Q64" si="54">P64*N64</f>
        <v>0.52</v>
      </c>
      <c r="R64" s="51"/>
      <c r="S64" s="59"/>
    </row>
    <row r="65" spans="1:19" ht="24" x14ac:dyDescent="0.25">
      <c r="A65" s="1"/>
      <c r="B65" s="46">
        <f>ROW(B65) - ROW($B$9)</f>
        <v>56</v>
      </c>
      <c r="C65" s="53" t="s">
        <v>21</v>
      </c>
      <c r="D65" s="51" t="s">
        <v>485</v>
      </c>
      <c r="E65" s="37" t="s">
        <v>162</v>
      </c>
      <c r="F65" s="37" t="s">
        <v>216</v>
      </c>
      <c r="G65" s="37" t="s">
        <v>279</v>
      </c>
      <c r="H65" s="37" t="s">
        <v>302</v>
      </c>
      <c r="I65" s="37"/>
      <c r="J65" s="37" t="s">
        <v>393</v>
      </c>
      <c r="K65" s="37" t="s">
        <v>438</v>
      </c>
      <c r="L65" s="37">
        <v>10</v>
      </c>
      <c r="M65" s="37">
        <f>L65*5</f>
        <v>50</v>
      </c>
      <c r="N65" s="37">
        <v>100</v>
      </c>
      <c r="O65" s="60" t="s">
        <v>467</v>
      </c>
      <c r="P65" s="38">
        <v>6.9999999999999999E-4</v>
      </c>
      <c r="Q65" s="38">
        <f>P65*N65</f>
        <v>6.9999999999999993E-2</v>
      </c>
      <c r="R65" s="37"/>
      <c r="S65" s="59"/>
    </row>
    <row r="66" spans="1:19" x14ac:dyDescent="0.25">
      <c r="A66" s="1"/>
      <c r="B66" s="47">
        <f t="shared" si="0"/>
        <v>57</v>
      </c>
      <c r="C66" s="53" t="s">
        <v>21</v>
      </c>
      <c r="D66" s="51" t="s">
        <v>83</v>
      </c>
      <c r="E66" s="51" t="s">
        <v>163</v>
      </c>
      <c r="F66" s="51" t="s">
        <v>216</v>
      </c>
      <c r="G66" s="62" t="s">
        <v>280</v>
      </c>
      <c r="H66" s="51" t="s">
        <v>336</v>
      </c>
      <c r="I66" s="51" t="s">
        <v>483</v>
      </c>
      <c r="J66" s="51" t="s">
        <v>484</v>
      </c>
      <c r="K66" s="51" t="s">
        <v>443</v>
      </c>
      <c r="L66" s="51">
        <v>4</v>
      </c>
      <c r="M66" s="51">
        <f t="shared" ref="M66" si="55">L66*5</f>
        <v>20</v>
      </c>
      <c r="N66" s="51">
        <v>100</v>
      </c>
      <c r="O66" s="60" t="s">
        <v>467</v>
      </c>
      <c r="P66" s="52">
        <v>4.0000000000000002E-4</v>
      </c>
      <c r="Q66" s="52">
        <f t="shared" ref="Q66" si="56">P66*N66</f>
        <v>0.04</v>
      </c>
      <c r="R66" s="51"/>
      <c r="S66" s="59"/>
    </row>
    <row r="67" spans="1:19" x14ac:dyDescent="0.25">
      <c r="A67" s="1"/>
      <c r="B67" s="46">
        <f>ROW(B67) - ROW($B$9)</f>
        <v>58</v>
      </c>
      <c r="C67" s="53" t="s">
        <v>21</v>
      </c>
      <c r="D67" s="37" t="s">
        <v>84</v>
      </c>
      <c r="E67" s="37" t="s">
        <v>164</v>
      </c>
      <c r="F67" s="37" t="s">
        <v>219</v>
      </c>
      <c r="G67" s="37" t="s">
        <v>281</v>
      </c>
      <c r="H67" s="37" t="s">
        <v>302</v>
      </c>
      <c r="I67" s="37"/>
      <c r="J67" s="37" t="s">
        <v>394</v>
      </c>
      <c r="K67" s="37" t="s">
        <v>444</v>
      </c>
      <c r="L67" s="37">
        <v>1</v>
      </c>
      <c r="M67" s="37">
        <f>L67*5</f>
        <v>5</v>
      </c>
      <c r="N67" s="37">
        <v>100</v>
      </c>
      <c r="O67" s="60" t="s">
        <v>467</v>
      </c>
      <c r="P67" s="38">
        <v>1.1999999999999999E-3</v>
      </c>
      <c r="Q67" s="38">
        <f>P67*N67</f>
        <v>0.12</v>
      </c>
      <c r="R67" s="37"/>
      <c r="S67" s="59"/>
    </row>
    <row r="68" spans="1:19" x14ac:dyDescent="0.25">
      <c r="A68" s="1"/>
      <c r="B68" s="47">
        <f t="shared" si="0"/>
        <v>59</v>
      </c>
      <c r="C68" s="53" t="s">
        <v>21</v>
      </c>
      <c r="D68" s="51" t="s">
        <v>85</v>
      </c>
      <c r="E68" s="51" t="s">
        <v>165</v>
      </c>
      <c r="F68" s="51" t="s">
        <v>216</v>
      </c>
      <c r="G68" s="51" t="s">
        <v>282</v>
      </c>
      <c r="H68" s="51" t="s">
        <v>333</v>
      </c>
      <c r="I68" s="51"/>
      <c r="J68" s="51" t="s">
        <v>395</v>
      </c>
      <c r="K68" s="51" t="s">
        <v>445</v>
      </c>
      <c r="L68" s="51">
        <v>1</v>
      </c>
      <c r="M68" s="51">
        <f t="shared" ref="M68" si="57">L68*5</f>
        <v>5</v>
      </c>
      <c r="N68" s="51">
        <v>10</v>
      </c>
      <c r="O68" s="60" t="s">
        <v>467</v>
      </c>
      <c r="P68" s="52">
        <v>5.3600000000000002E-2</v>
      </c>
      <c r="Q68" s="52">
        <f t="shared" ref="Q68" si="58">P68*N68</f>
        <v>0.53600000000000003</v>
      </c>
      <c r="R68" s="51"/>
      <c r="S68" s="59"/>
    </row>
    <row r="69" spans="1:19" x14ac:dyDescent="0.25">
      <c r="A69" s="1"/>
      <c r="B69" s="46">
        <f>ROW(B69) - ROW($B$9)</f>
        <v>60</v>
      </c>
      <c r="C69" s="53" t="s">
        <v>21</v>
      </c>
      <c r="D69" s="37" t="s">
        <v>86</v>
      </c>
      <c r="E69" s="37" t="s">
        <v>166</v>
      </c>
      <c r="F69" s="37" t="s">
        <v>219</v>
      </c>
      <c r="G69" s="37" t="s">
        <v>283</v>
      </c>
      <c r="H69" s="37" t="s">
        <v>302</v>
      </c>
      <c r="I69" s="37"/>
      <c r="J69" s="37" t="s">
        <v>396</v>
      </c>
      <c r="K69" s="37" t="s">
        <v>446</v>
      </c>
      <c r="L69" s="37">
        <v>2</v>
      </c>
      <c r="M69" s="37">
        <f>L69*5</f>
        <v>10</v>
      </c>
      <c r="N69" s="37">
        <v>100</v>
      </c>
      <c r="O69" s="60" t="s">
        <v>467</v>
      </c>
      <c r="P69" s="38">
        <v>1.1999999999999999E-3</v>
      </c>
      <c r="Q69" s="38">
        <f>P69*N69</f>
        <v>0.12</v>
      </c>
      <c r="R69" s="37"/>
      <c r="S69" s="59"/>
    </row>
    <row r="70" spans="1:19" x14ac:dyDescent="0.25">
      <c r="A70" s="1"/>
      <c r="B70" s="47">
        <f t="shared" si="0"/>
        <v>61</v>
      </c>
      <c r="C70" s="54" t="s">
        <v>21</v>
      </c>
      <c r="D70" s="51" t="s">
        <v>87</v>
      </c>
      <c r="E70" s="51" t="s">
        <v>167</v>
      </c>
      <c r="F70" s="51" t="s">
        <v>216</v>
      </c>
      <c r="G70" s="51" t="s">
        <v>284</v>
      </c>
      <c r="H70" s="51" t="s">
        <v>302</v>
      </c>
      <c r="I70" s="51"/>
      <c r="J70" s="51" t="s">
        <v>397</v>
      </c>
      <c r="K70" s="51" t="s">
        <v>447</v>
      </c>
      <c r="L70" s="51">
        <v>1</v>
      </c>
      <c r="M70" s="51">
        <f t="shared" ref="M70" si="59">L70*5</f>
        <v>5</v>
      </c>
      <c r="N70" s="51">
        <v>100</v>
      </c>
      <c r="O70" s="60" t="s">
        <v>467</v>
      </c>
      <c r="P70" s="52">
        <v>6.9999999999999999E-4</v>
      </c>
      <c r="Q70" s="52">
        <f t="shared" ref="Q70" si="60">P70*N70</f>
        <v>6.9999999999999993E-2</v>
      </c>
      <c r="R70" s="51"/>
      <c r="S70" s="59"/>
    </row>
    <row r="71" spans="1:19" x14ac:dyDescent="0.25">
      <c r="A71" s="1"/>
      <c r="B71" s="46">
        <f>ROW(B71) - ROW($B$9)</f>
        <v>62</v>
      </c>
      <c r="C71" s="53" t="s">
        <v>23</v>
      </c>
      <c r="D71" s="64" t="s">
        <v>88</v>
      </c>
      <c r="E71" s="64" t="s">
        <v>168</v>
      </c>
      <c r="F71" s="65" t="s">
        <v>466</v>
      </c>
      <c r="G71" s="64" t="s">
        <v>220</v>
      </c>
      <c r="H71" s="64" t="s">
        <v>460</v>
      </c>
      <c r="I71" s="64" t="s">
        <v>460</v>
      </c>
      <c r="J71" s="64" t="s">
        <v>460</v>
      </c>
      <c r="K71" s="64" t="s">
        <v>460</v>
      </c>
      <c r="L71" s="64">
        <v>2</v>
      </c>
      <c r="M71" s="64">
        <f>L71*5</f>
        <v>10</v>
      </c>
      <c r="N71" s="64" t="s">
        <v>460</v>
      </c>
      <c r="O71" s="64" t="s">
        <v>460</v>
      </c>
      <c r="P71" s="64" t="s">
        <v>460</v>
      </c>
      <c r="Q71" s="64" t="s">
        <v>460</v>
      </c>
      <c r="R71" s="63" t="s">
        <v>472</v>
      </c>
      <c r="S71" s="59"/>
    </row>
    <row r="72" spans="1:19" ht="24" x14ac:dyDescent="0.25">
      <c r="A72" s="1"/>
      <c r="B72" s="47">
        <f t="shared" si="0"/>
        <v>63</v>
      </c>
      <c r="C72" s="54" t="s">
        <v>24</v>
      </c>
      <c r="D72" s="51" t="s">
        <v>89</v>
      </c>
      <c r="E72" s="51" t="s">
        <v>169</v>
      </c>
      <c r="F72" s="51" t="s">
        <v>466</v>
      </c>
      <c r="G72" s="51" t="s">
        <v>221</v>
      </c>
      <c r="H72" s="51" t="s">
        <v>337</v>
      </c>
      <c r="I72" s="51" t="s">
        <v>460</v>
      </c>
      <c r="J72" s="51" t="s">
        <v>471</v>
      </c>
      <c r="K72" s="51" t="s">
        <v>460</v>
      </c>
      <c r="L72" s="51">
        <v>1</v>
      </c>
      <c r="M72" s="51">
        <f t="shared" ref="M72" si="61">L72*5</f>
        <v>5</v>
      </c>
      <c r="N72" s="51">
        <v>10</v>
      </c>
      <c r="O72" s="60" t="s">
        <v>467</v>
      </c>
      <c r="P72" s="52">
        <v>0.1275</v>
      </c>
      <c r="Q72" s="52">
        <f t="shared" ref="Q72" si="62">P72*N72</f>
        <v>1.2749999999999999</v>
      </c>
      <c r="R72" s="51"/>
      <c r="S72" s="59"/>
    </row>
    <row r="73" spans="1:19" x14ac:dyDescent="0.25">
      <c r="A73" s="1"/>
      <c r="B73" s="46">
        <f>ROW(B73) - ROW($B$9)</f>
        <v>64</v>
      </c>
      <c r="C73" s="53" t="s">
        <v>25</v>
      </c>
      <c r="D73" s="37" t="s">
        <v>90</v>
      </c>
      <c r="E73" s="37" t="s">
        <v>170</v>
      </c>
      <c r="F73" s="37" t="s">
        <v>222</v>
      </c>
      <c r="G73" s="37" t="s">
        <v>285</v>
      </c>
      <c r="H73" s="37" t="s">
        <v>338</v>
      </c>
      <c r="I73" s="37" t="s">
        <v>460</v>
      </c>
      <c r="J73" s="37" t="s">
        <v>398</v>
      </c>
      <c r="K73" s="37" t="s">
        <v>460</v>
      </c>
      <c r="L73" s="37">
        <v>1</v>
      </c>
      <c r="M73" s="37">
        <f>L73*5</f>
        <v>5</v>
      </c>
      <c r="N73" s="37">
        <v>6</v>
      </c>
      <c r="O73" s="60" t="s">
        <v>467</v>
      </c>
      <c r="P73" s="38">
        <v>0.82569999999999999</v>
      </c>
      <c r="Q73" s="38">
        <f>P73*N73</f>
        <v>4.9542000000000002</v>
      </c>
      <c r="R73" s="37"/>
      <c r="S73" s="59"/>
    </row>
    <row r="74" spans="1:19" x14ac:dyDescent="0.25">
      <c r="A74" s="1"/>
      <c r="B74" s="47">
        <f t="shared" si="0"/>
        <v>65</v>
      </c>
      <c r="C74" s="54" t="s">
        <v>25</v>
      </c>
      <c r="D74" s="51" t="s">
        <v>91</v>
      </c>
      <c r="E74" s="51" t="s">
        <v>171</v>
      </c>
      <c r="F74" s="51" t="s">
        <v>223</v>
      </c>
      <c r="G74" s="51" t="s">
        <v>286</v>
      </c>
      <c r="H74" s="51" t="s">
        <v>338</v>
      </c>
      <c r="I74" s="51" t="s">
        <v>460</v>
      </c>
      <c r="J74" s="51" t="s">
        <v>399</v>
      </c>
      <c r="K74" s="51" t="s">
        <v>460</v>
      </c>
      <c r="L74" s="51">
        <v>1</v>
      </c>
      <c r="M74" s="51">
        <f t="shared" ref="M74" si="63">L74*5</f>
        <v>5</v>
      </c>
      <c r="N74" s="51">
        <v>6</v>
      </c>
      <c r="O74" s="60" t="s">
        <v>467</v>
      </c>
      <c r="P74" s="52">
        <v>0.70009999999999994</v>
      </c>
      <c r="Q74" s="52">
        <f t="shared" ref="Q74" si="64">P74*N74</f>
        <v>4.2005999999999997</v>
      </c>
      <c r="R74" s="51"/>
      <c r="S74" s="59"/>
    </row>
    <row r="75" spans="1:19" ht="36" x14ac:dyDescent="0.25">
      <c r="A75" s="1"/>
      <c r="B75" s="46">
        <f>ROW(B75) - ROW($B$9)</f>
        <v>66</v>
      </c>
      <c r="C75" s="53" t="s">
        <v>25</v>
      </c>
      <c r="D75" s="37" t="s">
        <v>92</v>
      </c>
      <c r="E75" s="37" t="s">
        <v>172</v>
      </c>
      <c r="F75" s="37" t="s">
        <v>224</v>
      </c>
      <c r="G75" s="37" t="s">
        <v>287</v>
      </c>
      <c r="H75" s="37" t="s">
        <v>339</v>
      </c>
      <c r="I75" s="37" t="s">
        <v>460</v>
      </c>
      <c r="J75" s="37" t="s">
        <v>400</v>
      </c>
      <c r="K75" s="37" t="s">
        <v>460</v>
      </c>
      <c r="L75" s="37">
        <v>1</v>
      </c>
      <c r="M75" s="37">
        <f>L75*5</f>
        <v>5</v>
      </c>
      <c r="N75" s="37">
        <v>10</v>
      </c>
      <c r="O75" s="60" t="s">
        <v>467</v>
      </c>
      <c r="P75" s="38">
        <v>0.32279999999999998</v>
      </c>
      <c r="Q75" s="38">
        <f>P75*N75</f>
        <v>3.2279999999999998</v>
      </c>
      <c r="R75" s="37"/>
      <c r="S75" s="59"/>
    </row>
    <row r="76" spans="1:19" x14ac:dyDescent="0.25">
      <c r="A76" s="1"/>
      <c r="B76" s="47">
        <f t="shared" si="0"/>
        <v>67</v>
      </c>
      <c r="C76" s="54" t="s">
        <v>25</v>
      </c>
      <c r="D76" s="51" t="s">
        <v>93</v>
      </c>
      <c r="E76" s="51" t="s">
        <v>173</v>
      </c>
      <c r="F76" s="51" t="s">
        <v>225</v>
      </c>
      <c r="G76" s="51" t="s">
        <v>288</v>
      </c>
      <c r="H76" s="51" t="s">
        <v>340</v>
      </c>
      <c r="I76" s="51" t="s">
        <v>460</v>
      </c>
      <c r="J76" s="51" t="s">
        <v>401</v>
      </c>
      <c r="K76" s="51" t="s">
        <v>460</v>
      </c>
      <c r="L76" s="51">
        <v>1</v>
      </c>
      <c r="M76" s="51">
        <f t="shared" ref="M76" si="65">L76*5</f>
        <v>5</v>
      </c>
      <c r="N76" s="51">
        <v>6</v>
      </c>
      <c r="O76" s="60" t="s">
        <v>467</v>
      </c>
      <c r="P76" s="52">
        <v>1.3062</v>
      </c>
      <c r="Q76" s="52">
        <f t="shared" ref="Q76" si="66">P76*N76</f>
        <v>7.8372000000000002</v>
      </c>
      <c r="R76" s="51"/>
      <c r="S76" s="59"/>
    </row>
    <row r="77" spans="1:19" x14ac:dyDescent="0.25">
      <c r="A77" s="1"/>
      <c r="B77" s="46">
        <f>ROW(B77) - ROW($B$9)</f>
        <v>68</v>
      </c>
      <c r="C77" s="53" t="s">
        <v>25</v>
      </c>
      <c r="D77" s="37" t="s">
        <v>94</v>
      </c>
      <c r="E77" s="37" t="s">
        <v>174</v>
      </c>
      <c r="F77" s="37" t="s">
        <v>226</v>
      </c>
      <c r="G77" s="37" t="s">
        <v>289</v>
      </c>
      <c r="H77" s="37" t="s">
        <v>341</v>
      </c>
      <c r="I77" s="37"/>
      <c r="J77" s="37" t="s">
        <v>402</v>
      </c>
      <c r="K77" s="37" t="s">
        <v>460</v>
      </c>
      <c r="L77" s="37">
        <v>1</v>
      </c>
      <c r="M77" s="37">
        <f>L77*5</f>
        <v>5</v>
      </c>
      <c r="N77" s="37">
        <v>6</v>
      </c>
      <c r="O77" s="60" t="s">
        <v>467</v>
      </c>
      <c r="P77" s="38">
        <v>0.3644</v>
      </c>
      <c r="Q77" s="38">
        <f>P77*N77</f>
        <v>2.1863999999999999</v>
      </c>
      <c r="R77" s="37"/>
      <c r="S77" s="59"/>
    </row>
    <row r="78" spans="1:19" s="84" customFormat="1" x14ac:dyDescent="0.25">
      <c r="A78" s="77"/>
      <c r="B78" s="78">
        <f t="shared" si="0"/>
        <v>69</v>
      </c>
      <c r="C78" s="79" t="s">
        <v>25</v>
      </c>
      <c r="D78" s="80" t="s">
        <v>95</v>
      </c>
      <c r="E78" s="80" t="s">
        <v>175</v>
      </c>
      <c r="F78" s="80" t="s">
        <v>227</v>
      </c>
      <c r="G78" s="80" t="s">
        <v>290</v>
      </c>
      <c r="H78" s="80" t="s">
        <v>342</v>
      </c>
      <c r="I78" s="80" t="s">
        <v>460</v>
      </c>
      <c r="J78" s="80" t="s">
        <v>460</v>
      </c>
      <c r="K78" s="80" t="s">
        <v>460</v>
      </c>
      <c r="L78" s="80">
        <v>1</v>
      </c>
      <c r="M78" s="80">
        <f t="shared" ref="M78" si="67">L78*5</f>
        <v>5</v>
      </c>
      <c r="N78" s="80">
        <v>6</v>
      </c>
      <c r="O78" s="81" t="s">
        <v>486</v>
      </c>
      <c r="P78" s="82">
        <v>2.5099999999999998</v>
      </c>
      <c r="Q78" s="82">
        <f t="shared" ref="Q78" si="68">P78*N78</f>
        <v>15.059999999999999</v>
      </c>
      <c r="R78" s="80"/>
      <c r="S78" s="83"/>
    </row>
    <row r="79" spans="1:19" s="84" customFormat="1" x14ac:dyDescent="0.25">
      <c r="A79" s="77"/>
      <c r="B79" s="85">
        <f>ROW(B79) - ROW($B$9)</f>
        <v>70</v>
      </c>
      <c r="C79" s="86" t="s">
        <v>25</v>
      </c>
      <c r="D79" s="87" t="s">
        <v>96</v>
      </c>
      <c r="E79" s="87" t="s">
        <v>176</v>
      </c>
      <c r="F79" s="87" t="s">
        <v>228</v>
      </c>
      <c r="G79" s="87" t="s">
        <v>291</v>
      </c>
      <c r="H79" s="87" t="s">
        <v>340</v>
      </c>
      <c r="I79" s="87" t="s">
        <v>460</v>
      </c>
      <c r="J79" s="87" t="s">
        <v>460</v>
      </c>
      <c r="K79" s="87" t="s">
        <v>460</v>
      </c>
      <c r="L79" s="87">
        <v>1</v>
      </c>
      <c r="M79" s="87">
        <f>L79*5</f>
        <v>5</v>
      </c>
      <c r="N79" s="87">
        <v>6</v>
      </c>
      <c r="O79" s="81" t="s">
        <v>486</v>
      </c>
      <c r="P79" s="88">
        <v>3.4329999999999998</v>
      </c>
      <c r="Q79" s="88">
        <f>P79*N79</f>
        <v>20.597999999999999</v>
      </c>
      <c r="R79" s="87"/>
      <c r="S79" s="83"/>
    </row>
    <row r="80" spans="1:19" x14ac:dyDescent="0.25">
      <c r="A80" s="1"/>
      <c r="B80" s="47">
        <f t="shared" si="0"/>
        <v>71</v>
      </c>
      <c r="C80" s="54" t="s">
        <v>25</v>
      </c>
      <c r="D80" s="51" t="s">
        <v>97</v>
      </c>
      <c r="E80" s="51" t="s">
        <v>177</v>
      </c>
      <c r="F80" s="51" t="s">
        <v>229</v>
      </c>
      <c r="G80" s="51" t="s">
        <v>292</v>
      </c>
      <c r="H80" s="51" t="s">
        <v>343</v>
      </c>
      <c r="I80" s="51"/>
      <c r="J80" s="51" t="s">
        <v>403</v>
      </c>
      <c r="K80" s="51" t="s">
        <v>460</v>
      </c>
      <c r="L80" s="51">
        <v>1</v>
      </c>
      <c r="M80" s="51">
        <f t="shared" ref="M80" si="69">L80*5</f>
        <v>5</v>
      </c>
      <c r="N80" s="51">
        <v>6</v>
      </c>
      <c r="O80" s="60" t="s">
        <v>467</v>
      </c>
      <c r="P80" s="52">
        <v>4.6247999999999996</v>
      </c>
      <c r="Q80" s="52">
        <f t="shared" ref="Q80" si="70">P80*N80</f>
        <v>27.748799999999996</v>
      </c>
      <c r="R80" s="51"/>
      <c r="S80" s="59"/>
    </row>
    <row r="81" spans="1:19" s="84" customFormat="1" x14ac:dyDescent="0.25">
      <c r="A81" s="77"/>
      <c r="B81" s="85">
        <f>ROW(B81) - ROW($B$9)</f>
        <v>72</v>
      </c>
      <c r="C81" s="86" t="s">
        <v>25</v>
      </c>
      <c r="D81" s="87" t="s">
        <v>98</v>
      </c>
      <c r="E81" s="87" t="s">
        <v>178</v>
      </c>
      <c r="F81" s="87" t="s">
        <v>230</v>
      </c>
      <c r="G81" s="87" t="s">
        <v>293</v>
      </c>
      <c r="H81" s="87" t="s">
        <v>344</v>
      </c>
      <c r="I81" s="87" t="s">
        <v>460</v>
      </c>
      <c r="J81" s="87" t="s">
        <v>460</v>
      </c>
      <c r="K81" s="87" t="s">
        <v>460</v>
      </c>
      <c r="L81" s="87">
        <v>1</v>
      </c>
      <c r="M81" s="87">
        <f>L81*5</f>
        <v>5</v>
      </c>
      <c r="N81" s="87">
        <v>6</v>
      </c>
      <c r="O81" s="81" t="s">
        <v>486</v>
      </c>
      <c r="P81" s="88"/>
      <c r="Q81" s="88">
        <f>P81*N81</f>
        <v>0</v>
      </c>
      <c r="R81" s="89" t="s">
        <v>487</v>
      </c>
      <c r="S81" s="83"/>
    </row>
    <row r="82" spans="1:19" x14ac:dyDescent="0.25">
      <c r="A82" s="1"/>
      <c r="B82" s="47">
        <f t="shared" si="0"/>
        <v>73</v>
      </c>
      <c r="C82" s="54" t="s">
        <v>25</v>
      </c>
      <c r="D82" s="51" t="s">
        <v>99</v>
      </c>
      <c r="E82" s="51" t="s">
        <v>179</v>
      </c>
      <c r="F82" s="51" t="s">
        <v>231</v>
      </c>
      <c r="G82" s="51" t="s">
        <v>294</v>
      </c>
      <c r="H82" s="51" t="s">
        <v>340</v>
      </c>
      <c r="I82" s="51" t="s">
        <v>460</v>
      </c>
      <c r="J82" s="51" t="s">
        <v>404</v>
      </c>
      <c r="K82" s="51" t="s">
        <v>460</v>
      </c>
      <c r="L82" s="51">
        <v>3</v>
      </c>
      <c r="M82" s="51">
        <f t="shared" ref="M82" si="71">L82*5</f>
        <v>15</v>
      </c>
      <c r="N82" s="51">
        <v>16</v>
      </c>
      <c r="O82" s="60" t="s">
        <v>467</v>
      </c>
      <c r="P82" s="52">
        <v>1.7437</v>
      </c>
      <c r="Q82" s="52">
        <f t="shared" ref="Q82" si="72">P82*N82</f>
        <v>27.8992</v>
      </c>
      <c r="R82" s="51"/>
      <c r="S82" s="59"/>
    </row>
    <row r="83" spans="1:19" ht="60" x14ac:dyDescent="0.25">
      <c r="A83" s="1"/>
      <c r="B83" s="46">
        <f>ROW(B83) - ROW($B$9)</f>
        <v>74</v>
      </c>
      <c r="C83" s="53" t="s">
        <v>25</v>
      </c>
      <c r="D83" s="37" t="s">
        <v>100</v>
      </c>
      <c r="E83" s="37" t="s">
        <v>180</v>
      </c>
      <c r="F83" s="37" t="s">
        <v>232</v>
      </c>
      <c r="G83" s="37" t="s">
        <v>295</v>
      </c>
      <c r="H83" s="37" t="s">
        <v>345</v>
      </c>
      <c r="I83" s="37" t="s">
        <v>460</v>
      </c>
      <c r="J83" s="37" t="s">
        <v>405</v>
      </c>
      <c r="K83" s="37" t="s">
        <v>460</v>
      </c>
      <c r="L83" s="37">
        <v>1</v>
      </c>
      <c r="M83" s="37">
        <f>L83*5</f>
        <v>5</v>
      </c>
      <c r="N83" s="37">
        <v>10</v>
      </c>
      <c r="O83" s="60" t="s">
        <v>467</v>
      </c>
      <c r="P83" s="38">
        <v>7.7799999999999994E-2</v>
      </c>
      <c r="Q83" s="38">
        <f>P83*N83</f>
        <v>0.77799999999999991</v>
      </c>
      <c r="R83" s="37"/>
      <c r="S83" s="59"/>
    </row>
    <row r="84" spans="1:19" x14ac:dyDescent="0.25">
      <c r="A84" s="1"/>
      <c r="B84" s="47">
        <f t="shared" si="0"/>
        <v>75</v>
      </c>
      <c r="C84" s="54" t="s">
        <v>25</v>
      </c>
      <c r="D84" s="51" t="s">
        <v>101</v>
      </c>
      <c r="E84" s="51" t="s">
        <v>181</v>
      </c>
      <c r="F84" s="51" t="s">
        <v>233</v>
      </c>
      <c r="G84" s="51" t="s">
        <v>296</v>
      </c>
      <c r="H84" s="51" t="s">
        <v>338</v>
      </c>
      <c r="I84" s="51" t="s">
        <v>460</v>
      </c>
      <c r="J84" s="51" t="s">
        <v>406</v>
      </c>
      <c r="K84" s="51" t="s">
        <v>460</v>
      </c>
      <c r="L84" s="51">
        <v>1</v>
      </c>
      <c r="M84" s="51">
        <f t="shared" ref="M84" si="73">L84*5</f>
        <v>5</v>
      </c>
      <c r="N84" s="51">
        <v>6</v>
      </c>
      <c r="O84" s="60" t="s">
        <v>467</v>
      </c>
      <c r="P84" s="52">
        <v>0.77800000000000002</v>
      </c>
      <c r="Q84" s="52">
        <f t="shared" ref="Q84" si="74">P84*N84</f>
        <v>4.6680000000000001</v>
      </c>
      <c r="R84" s="51"/>
      <c r="S84" s="59"/>
    </row>
    <row r="85" spans="1:19" x14ac:dyDescent="0.25">
      <c r="A85" s="1"/>
      <c r="B85" s="46">
        <f>ROW(B85) - ROW($B$9)</f>
        <v>76</v>
      </c>
      <c r="C85" s="53" t="s">
        <v>25</v>
      </c>
      <c r="D85" s="37" t="s">
        <v>102</v>
      </c>
      <c r="E85" s="37" t="s">
        <v>182</v>
      </c>
      <c r="F85" s="37" t="s">
        <v>234</v>
      </c>
      <c r="G85" s="37" t="s">
        <v>297</v>
      </c>
      <c r="H85" s="37" t="s">
        <v>339</v>
      </c>
      <c r="I85" s="37" t="s">
        <v>460</v>
      </c>
      <c r="J85" s="37" t="s">
        <v>407</v>
      </c>
      <c r="K85" s="37" t="s">
        <v>460</v>
      </c>
      <c r="L85" s="37">
        <v>1</v>
      </c>
      <c r="M85" s="37">
        <f>L85*5</f>
        <v>5</v>
      </c>
      <c r="N85" s="37">
        <v>6</v>
      </c>
      <c r="O85" s="60" t="s">
        <v>467</v>
      </c>
      <c r="P85" s="38">
        <v>0.41049999999999998</v>
      </c>
      <c r="Q85" s="38">
        <f>P85*N85</f>
        <v>2.4630000000000001</v>
      </c>
      <c r="R85" s="37"/>
      <c r="S85" s="59"/>
    </row>
    <row r="86" spans="1:19" x14ac:dyDescent="0.25">
      <c r="A86" s="1"/>
      <c r="B86" s="47">
        <f t="shared" si="0"/>
        <v>77</v>
      </c>
      <c r="C86" s="54" t="s">
        <v>25</v>
      </c>
      <c r="D86" s="51" t="s">
        <v>103</v>
      </c>
      <c r="E86" s="51" t="s">
        <v>183</v>
      </c>
      <c r="F86" s="51" t="s">
        <v>228</v>
      </c>
      <c r="G86" s="51" t="s">
        <v>298</v>
      </c>
      <c r="H86" s="51" t="s">
        <v>344</v>
      </c>
      <c r="I86" s="51" t="s">
        <v>460</v>
      </c>
      <c r="J86" s="51" t="s">
        <v>408</v>
      </c>
      <c r="K86" s="51" t="s">
        <v>460</v>
      </c>
      <c r="L86" s="51">
        <v>1</v>
      </c>
      <c r="M86" s="51">
        <f t="shared" ref="M86" si="75">L86*5</f>
        <v>5</v>
      </c>
      <c r="N86" s="51">
        <v>6</v>
      </c>
      <c r="O86" s="60" t="s">
        <v>467</v>
      </c>
      <c r="P86" s="52">
        <v>1.1837</v>
      </c>
      <c r="Q86" s="52">
        <f t="shared" ref="Q86" si="76">P86*N86</f>
        <v>7.1021999999999998</v>
      </c>
      <c r="R86" s="51"/>
      <c r="S86" s="59"/>
    </row>
    <row r="87" spans="1:19" x14ac:dyDescent="0.25">
      <c r="A87" s="1"/>
      <c r="B87" s="46">
        <f>ROW(B87) - ROW($B$9)</f>
        <v>78</v>
      </c>
      <c r="C87" s="53" t="s">
        <v>25</v>
      </c>
      <c r="D87" s="37" t="s">
        <v>104</v>
      </c>
      <c r="E87" s="37" t="s">
        <v>183</v>
      </c>
      <c r="F87" s="37" t="s">
        <v>228</v>
      </c>
      <c r="G87" s="37" t="s">
        <v>299</v>
      </c>
      <c r="H87" s="37" t="s">
        <v>344</v>
      </c>
      <c r="I87" s="37" t="s">
        <v>460</v>
      </c>
      <c r="J87" s="37" t="s">
        <v>409</v>
      </c>
      <c r="K87" s="37" t="s">
        <v>460</v>
      </c>
      <c r="L87" s="37">
        <v>1</v>
      </c>
      <c r="M87" s="37">
        <f>L87*5</f>
        <v>5</v>
      </c>
      <c r="N87" s="37">
        <v>6</v>
      </c>
      <c r="O87" s="60" t="s">
        <v>467</v>
      </c>
      <c r="P87" s="38">
        <v>1.2107000000000001</v>
      </c>
      <c r="Q87" s="38">
        <f>P87*N87</f>
        <v>7.2642000000000007</v>
      </c>
      <c r="R87" s="37"/>
      <c r="S87" s="59"/>
    </row>
    <row r="88" spans="1:19" ht="24" x14ac:dyDescent="0.25">
      <c r="A88" s="1"/>
      <c r="B88" s="47">
        <f t="shared" si="0"/>
        <v>79</v>
      </c>
      <c r="C88" s="54" t="s">
        <v>26</v>
      </c>
      <c r="D88" s="51" t="s">
        <v>105</v>
      </c>
      <c r="E88" s="51" t="s">
        <v>184</v>
      </c>
      <c r="F88" s="51" t="s">
        <v>466</v>
      </c>
      <c r="G88" s="51" t="s">
        <v>300</v>
      </c>
      <c r="H88" s="51" t="s">
        <v>346</v>
      </c>
      <c r="I88" s="51" t="s">
        <v>460</v>
      </c>
      <c r="J88" s="51" t="s">
        <v>410</v>
      </c>
      <c r="K88" s="51" t="s">
        <v>448</v>
      </c>
      <c r="L88" s="51">
        <v>1</v>
      </c>
      <c r="M88" s="51">
        <f t="shared" ref="M88" si="77">L88*5</f>
        <v>5</v>
      </c>
      <c r="N88" s="51">
        <v>10</v>
      </c>
      <c r="O88" s="60" t="s">
        <v>467</v>
      </c>
      <c r="P88" s="52">
        <v>0.08</v>
      </c>
      <c r="Q88" s="52">
        <f t="shared" ref="Q88" si="78">P88*N88</f>
        <v>0.8</v>
      </c>
      <c r="R88" s="51"/>
      <c r="S88" s="59"/>
    </row>
    <row r="89" spans="1:19" ht="24.75" thickBot="1" x14ac:dyDescent="0.3">
      <c r="A89" s="1"/>
      <c r="B89" s="46">
        <f>ROW(B89) - ROW($B$9)</f>
        <v>80</v>
      </c>
      <c r="C89" s="53" t="s">
        <v>26</v>
      </c>
      <c r="D89" s="37" t="s">
        <v>106</v>
      </c>
      <c r="E89" s="37" t="s">
        <v>185</v>
      </c>
      <c r="F89" s="51" t="s">
        <v>466</v>
      </c>
      <c r="G89" s="37" t="s">
        <v>235</v>
      </c>
      <c r="H89" s="37" t="s">
        <v>346</v>
      </c>
      <c r="I89" s="37" t="s">
        <v>460</v>
      </c>
      <c r="J89" s="37" t="s">
        <v>411</v>
      </c>
      <c r="K89" s="37" t="s">
        <v>449</v>
      </c>
      <c r="L89" s="37">
        <v>1</v>
      </c>
      <c r="M89" s="37">
        <f>L89*5</f>
        <v>5</v>
      </c>
      <c r="N89" s="37">
        <v>10</v>
      </c>
      <c r="O89" s="60" t="s">
        <v>467</v>
      </c>
      <c r="P89" s="38">
        <v>8.0699999999999994E-2</v>
      </c>
      <c r="Q89" s="38">
        <f>P89*N89</f>
        <v>0.80699999999999994</v>
      </c>
      <c r="R89" s="37"/>
      <c r="S89" s="39"/>
    </row>
    <row r="90" spans="1:19" ht="19.5" thickBot="1" x14ac:dyDescent="0.3">
      <c r="A90" s="1"/>
      <c r="B90" s="40"/>
      <c r="C90" s="41"/>
      <c r="D90" s="42"/>
      <c r="E90" s="43"/>
      <c r="F90" s="44"/>
      <c r="G90" s="45"/>
      <c r="H90" s="44"/>
      <c r="I90" s="45"/>
      <c r="J90" s="44"/>
      <c r="K90" s="45"/>
      <c r="L90" s="45"/>
      <c r="M90" s="45"/>
      <c r="N90" s="75" t="s">
        <v>5</v>
      </c>
      <c r="O90" s="76"/>
      <c r="P90" s="76"/>
      <c r="Q90" s="48">
        <f>SUM(Q10:Q89)</f>
        <v>219.57099999999997</v>
      </c>
      <c r="R90" s="71"/>
      <c r="S90" s="72"/>
    </row>
    <row r="91" spans="1:19" ht="19.5" thickBot="1" x14ac:dyDescent="0.3">
      <c r="A91" s="1"/>
      <c r="B91" s="25"/>
      <c r="C91" s="36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75" t="s">
        <v>6</v>
      </c>
      <c r="O91" s="76"/>
      <c r="P91" s="76"/>
      <c r="Q91" s="49">
        <f>Q90/5</f>
        <v>43.914199999999994</v>
      </c>
      <c r="R91" s="73"/>
      <c r="S91" s="74"/>
    </row>
  </sheetData>
  <mergeCells count="5">
    <mergeCell ref="K1:S1"/>
    <mergeCell ref="S3:S8"/>
    <mergeCell ref="R90:S91"/>
    <mergeCell ref="N90:P90"/>
    <mergeCell ref="N91:P91"/>
  </mergeCells>
  <hyperlinks>
    <hyperlink ref="O11" r:id="rId1"/>
    <hyperlink ref="O12" r:id="rId2"/>
    <hyperlink ref="O13" r:id="rId3"/>
    <hyperlink ref="O14" r:id="rId4"/>
    <hyperlink ref="O15" r:id="rId5"/>
    <hyperlink ref="O16" r:id="rId6"/>
    <hyperlink ref="O17" r:id="rId7"/>
    <hyperlink ref="O18" r:id="rId8"/>
    <hyperlink ref="O19" r:id="rId9"/>
    <hyperlink ref="O22" r:id="rId10"/>
    <hyperlink ref="O21" r:id="rId11"/>
    <hyperlink ref="O23" r:id="rId12"/>
    <hyperlink ref="O24" r:id="rId13"/>
    <hyperlink ref="O25" r:id="rId14"/>
    <hyperlink ref="O28" r:id="rId15"/>
    <hyperlink ref="O29" r:id="rId16"/>
    <hyperlink ref="O30" r:id="rId17"/>
    <hyperlink ref="O31" r:id="rId18"/>
    <hyperlink ref="O32" r:id="rId19"/>
    <hyperlink ref="O33" r:id="rId20"/>
    <hyperlink ref="O34" r:id="rId21"/>
    <hyperlink ref="O35" r:id="rId22"/>
    <hyperlink ref="O36" r:id="rId23"/>
    <hyperlink ref="O37" r:id="rId24"/>
    <hyperlink ref="O38" r:id="rId25"/>
    <hyperlink ref="O39" r:id="rId26"/>
    <hyperlink ref="O40" r:id="rId27"/>
    <hyperlink ref="O41" r:id="rId28"/>
    <hyperlink ref="O42" r:id="rId29"/>
    <hyperlink ref="O43" r:id="rId30"/>
    <hyperlink ref="O44" r:id="rId31"/>
    <hyperlink ref="O45" r:id="rId32"/>
    <hyperlink ref="O46" r:id="rId33"/>
    <hyperlink ref="O47" r:id="rId34"/>
    <hyperlink ref="O49" r:id="rId35"/>
    <hyperlink ref="O51" r:id="rId36"/>
    <hyperlink ref="O52" r:id="rId37"/>
    <hyperlink ref="O53" r:id="rId38"/>
    <hyperlink ref="O55" r:id="rId39"/>
    <hyperlink ref="O56" r:id="rId40"/>
    <hyperlink ref="O58" r:id="rId41"/>
    <hyperlink ref="O59" r:id="rId42"/>
    <hyperlink ref="O60" r:id="rId43"/>
    <hyperlink ref="O61" r:id="rId44"/>
    <hyperlink ref="O62" r:id="rId45"/>
    <hyperlink ref="O63" r:id="rId46"/>
    <hyperlink ref="O64" r:id="rId47"/>
    <hyperlink ref="O65" r:id="rId48"/>
    <hyperlink ref="O67" r:id="rId49"/>
    <hyperlink ref="O68" r:id="rId50"/>
    <hyperlink ref="O69" r:id="rId51"/>
    <hyperlink ref="O70" r:id="rId52"/>
    <hyperlink ref="O73" r:id="rId53"/>
    <hyperlink ref="O74" r:id="rId54"/>
    <hyperlink ref="O75" r:id="rId55"/>
    <hyperlink ref="O76" r:id="rId56"/>
    <hyperlink ref="O77" r:id="rId57"/>
    <hyperlink ref="O80" r:id="rId58"/>
    <hyperlink ref="O82" r:id="rId59"/>
    <hyperlink ref="O83" r:id="rId60"/>
    <hyperlink ref="O84" r:id="rId61"/>
    <hyperlink ref="O85" r:id="rId62"/>
    <hyperlink ref="O86" r:id="rId63"/>
    <hyperlink ref="O87" r:id="rId64"/>
    <hyperlink ref="O88" r:id="rId65"/>
    <hyperlink ref="O89" r:id="rId66"/>
    <hyperlink ref="O72" r:id="rId67"/>
    <hyperlink ref="O20" r:id="rId68"/>
    <hyperlink ref="O26" r:id="rId69"/>
    <hyperlink ref="O27" r:id="rId70"/>
    <hyperlink ref="O50" r:id="rId71"/>
    <hyperlink ref="O54" r:id="rId72"/>
    <hyperlink ref="O57" r:id="rId73"/>
    <hyperlink ref="O66" r:id="rId74"/>
    <hyperlink ref="O78" r:id="rId75"/>
    <hyperlink ref="O79" r:id="rId76"/>
    <hyperlink ref="O81" r:id="rId77"/>
  </hyperlinks>
  <pageMargins left="0.7" right="0.7" top="0.75" bottom="0.75" header="0.3" footer="0.3"/>
  <pageSetup paperSize="9" orientation="portrait" r:id="rId78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2023-06-26T16:43:21Z</dcterms:modified>
</cp:coreProperties>
</file>