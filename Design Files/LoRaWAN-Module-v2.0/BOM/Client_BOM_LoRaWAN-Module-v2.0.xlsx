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chrisbyrd-esp32iotproduct\Design Files\LoRaWAN-Module-v2.0\BOM\"/>
    </mc:Choice>
  </mc:AlternateContent>
  <bookViews>
    <workbookView xWindow="28680" yWindow="-120" windowWidth="29040" windowHeight="15840"/>
  </bookViews>
  <sheets>
    <sheet name="5 Boards" sheetId="1" r:id="rId1"/>
  </sheets>
  <calcPr calcId="162913"/>
</workbook>
</file>

<file path=xl/calcChain.xml><?xml version="1.0" encoding="utf-8"?>
<calcChain xmlns="http://schemas.openxmlformats.org/spreadsheetml/2006/main">
  <c r="O17" i="1" l="1"/>
  <c r="L16" i="1"/>
  <c r="B16" i="1"/>
  <c r="L14" i="1" l="1"/>
  <c r="O14" i="1" l="1"/>
  <c r="O13" i="1"/>
  <c r="O11" i="1"/>
  <c r="O10" i="1"/>
  <c r="L15" i="1"/>
  <c r="L13" i="1"/>
  <c r="L12" i="1"/>
  <c r="L11" i="1"/>
  <c r="L10" i="1"/>
  <c r="O18" i="1" l="1"/>
  <c r="B15" i="1"/>
  <c r="B14" i="1"/>
  <c r="B13" i="1"/>
  <c r="B12" i="1"/>
  <c r="B11" i="1" l="1"/>
  <c r="B10" i="1"/>
</calcChain>
</file>

<file path=xl/sharedStrings.xml><?xml version="1.0" encoding="utf-8"?>
<sst xmlns="http://schemas.openxmlformats.org/spreadsheetml/2006/main" count="89" uniqueCount="62">
  <si>
    <t>Component list</t>
  </si>
  <si>
    <t>Source Data From:</t>
  </si>
  <si>
    <t>Project:</t>
  </si>
  <si>
    <t>Variant:</t>
  </si>
  <si>
    <t>#</t>
  </si>
  <si>
    <t>None</t>
  </si>
  <si>
    <t>Item Type</t>
  </si>
  <si>
    <t>Capacitor</t>
  </si>
  <si>
    <t>SMA</t>
  </si>
  <si>
    <t>Resistor</t>
  </si>
  <si>
    <t>Module</t>
  </si>
  <si>
    <t>Designator</t>
  </si>
  <si>
    <t>C1</t>
  </si>
  <si>
    <t>C2</t>
  </si>
  <si>
    <t>J1</t>
  </si>
  <si>
    <t>J2</t>
  </si>
  <si>
    <t>U1</t>
  </si>
  <si>
    <t>Description</t>
  </si>
  <si>
    <t>CAP CER 1UF 25V X5R 0603</t>
  </si>
  <si>
    <t>CAP CER 0.1UF 50V X5R 0603</t>
  </si>
  <si>
    <t>PCI Express Mini Card (Mini PCIe)</t>
  </si>
  <si>
    <t>1 Inner bore SMA Board Edge Bend -55℃~+155℃ 50Ω Plugin RF Connectors / Coaxial Connectors ROHS</t>
  </si>
  <si>
    <t>SMD,16x16mm LoRa Modules ROHS</t>
  </si>
  <si>
    <t>Footprint</t>
  </si>
  <si>
    <t>Cap-0603</t>
  </si>
  <si>
    <t>Mini PCIE Pad</t>
  </si>
  <si>
    <t>HJ-SMA508_</t>
  </si>
  <si>
    <t>SX1276S8S+T-X1</t>
  </si>
  <si>
    <t>Manufacturer Part Number</t>
  </si>
  <si>
    <t>CC0603KRX5R8BB105</t>
  </si>
  <si>
    <t>CC0603KRX5R9BB104</t>
  </si>
  <si>
    <t>HJ-SMA508</t>
  </si>
  <si>
    <t>Manufacturer</t>
  </si>
  <si>
    <t>Yageo</t>
  </si>
  <si>
    <t>HJ Tech</t>
  </si>
  <si>
    <t>Vollgo</t>
  </si>
  <si>
    <t>1uF</t>
  </si>
  <si>
    <t>0.1uF</t>
  </si>
  <si>
    <t>Quantity</t>
  </si>
  <si>
    <t>PCIE SMD PAD</t>
  </si>
  <si>
    <t>-</t>
  </si>
  <si>
    <t>Custom</t>
  </si>
  <si>
    <t>Value</t>
  </si>
  <si>
    <t>Quantity (5 Boards)</t>
  </si>
  <si>
    <t>Alternate Part Number</t>
  </si>
  <si>
    <t>Links</t>
  </si>
  <si>
    <t>Unit Cost (5 Boards)</t>
  </si>
  <si>
    <t>Total Cost (5 Boards)</t>
  </si>
  <si>
    <t>Remarks</t>
  </si>
  <si>
    <t>Digikey</t>
  </si>
  <si>
    <t>Custom Supplier</t>
  </si>
  <si>
    <t>Bill of Materials for Project [LoRaWAN-Module-v2.0.]</t>
  </si>
  <si>
    <t>LoRaWAN-Module-v2.0.</t>
  </si>
  <si>
    <t>R1, R2</t>
  </si>
  <si>
    <t>RES SMD 0R, 1%, 0.1W, 0603</t>
  </si>
  <si>
    <t>Res-0603</t>
  </si>
  <si>
    <t>RC0603FR-070RL</t>
  </si>
  <si>
    <t>0R</t>
  </si>
  <si>
    <t>Peripheral</t>
  </si>
  <si>
    <t>1.8 3dBi Vertical 50W - Antennas ROHS</t>
  </si>
  <si>
    <t>BW868JWX105-10KJ</t>
  </si>
  <si>
    <t>BAT WIRELESS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</si>
</sst>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9]h:mm:ss\ AM/PM;@"/>
    <numFmt numFmtId="165" formatCode="&quot;$&quot;#,##0.0000"/>
    <numFmt numFmtId="166" formatCode="&quot;$&quot;#,##0.00"/>
  </numFmts>
  <fonts count="22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24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strike/>
      <sz val="9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1" tint="0.499984740745262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0" fillId="0" borderId="0" applyNumberFormat="0" applyFill="0" applyBorder="0" applyAlignment="0" applyProtection="0"/>
  </cellStyleXfs>
  <cellXfs count="69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6" fillId="3" borderId="11" xfId="0" applyFont="1" applyFill="1" applyBorder="1" applyAlignment="1">
      <alignment vertical="center"/>
    </xf>
    <xf numFmtId="0" fontId="7" fillId="3" borderId="0" xfId="0" applyFont="1" applyFill="1"/>
    <xf numFmtId="0" fontId="8" fillId="3" borderId="5" xfId="0" applyFont="1" applyFill="1" applyBorder="1"/>
    <xf numFmtId="0" fontId="8" fillId="3" borderId="6" xfId="0" applyFont="1" applyFill="1" applyBorder="1"/>
    <xf numFmtId="0" fontId="9" fillId="3" borderId="0" xfId="0" applyFont="1" applyFill="1"/>
    <xf numFmtId="0" fontId="10" fillId="3" borderId="3" xfId="0" applyFont="1" applyFill="1" applyBorder="1" applyAlignment="1" applyProtection="1">
      <alignment horizontal="left" vertical="top"/>
      <protection locked="0"/>
    </xf>
    <xf numFmtId="0" fontId="11" fillId="3" borderId="3" xfId="0" applyFont="1" applyFill="1" applyBorder="1" applyAlignment="1" applyProtection="1">
      <alignment horizontal="left" vertical="top"/>
      <protection locked="0"/>
    </xf>
    <xf numFmtId="0" fontId="13" fillId="3" borderId="10" xfId="0" applyFont="1" applyFill="1" applyBorder="1" applyAlignment="1">
      <alignment vertical="center"/>
    </xf>
    <xf numFmtId="0" fontId="14" fillId="3" borderId="11" xfId="0" applyFont="1" applyFill="1" applyBorder="1" applyAlignment="1">
      <alignment vertical="center"/>
    </xf>
    <xf numFmtId="0" fontId="10" fillId="3" borderId="0" xfId="0" applyFont="1" applyFill="1"/>
    <xf numFmtId="0" fontId="12" fillId="3" borderId="6" xfId="0" applyFont="1" applyFill="1" applyBorder="1"/>
    <xf numFmtId="0" fontId="12" fillId="3" borderId="5" xfId="0" applyFont="1" applyFill="1" applyBorder="1"/>
    <xf numFmtId="0" fontId="10" fillId="3" borderId="5" xfId="0" applyFont="1" applyFill="1" applyBorder="1"/>
    <xf numFmtId="0" fontId="12" fillId="3" borderId="5" xfId="0" applyFont="1" applyFill="1" applyBorder="1" applyAlignment="1">
      <alignment horizontal="left"/>
    </xf>
    <xf numFmtId="0" fontId="15" fillId="3" borderId="0" xfId="0" applyFont="1" applyFill="1"/>
    <xf numFmtId="0" fontId="12" fillId="3" borderId="1" xfId="0" applyFont="1" applyFill="1" applyBorder="1" applyAlignment="1">
      <alignment horizontal="left"/>
    </xf>
    <xf numFmtId="0" fontId="1" fillId="2" borderId="0" xfId="0" applyFont="1" applyFill="1" applyAlignment="1">
      <alignment horizontal="center"/>
    </xf>
    <xf numFmtId="0" fontId="2" fillId="3" borderId="9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12" fillId="3" borderId="13" xfId="0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4" fillId="3" borderId="7" xfId="0" applyFont="1" applyFill="1" applyBorder="1" applyAlignment="1">
      <alignment horizontal="center"/>
    </xf>
    <xf numFmtId="0" fontId="12" fillId="3" borderId="0" xfId="0" applyFont="1" applyFill="1"/>
    <xf numFmtId="164" fontId="12" fillId="3" borderId="0" xfId="0" applyNumberFormat="1" applyFont="1" applyFill="1" applyAlignment="1">
      <alignment horizontal="left"/>
    </xf>
    <xf numFmtId="0" fontId="16" fillId="4" borderId="14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/>
    </xf>
    <xf numFmtId="0" fontId="10" fillId="3" borderId="9" xfId="0" applyFont="1" applyFill="1" applyBorder="1" applyAlignment="1" applyProtection="1">
      <alignment horizontal="center" vertical="center"/>
      <protection locked="0"/>
    </xf>
    <xf numFmtId="0" fontId="10" fillId="3" borderId="10" xfId="0" applyFont="1" applyFill="1" applyBorder="1" applyAlignment="1" applyProtection="1">
      <alignment vertical="center"/>
      <protection locked="0"/>
    </xf>
    <xf numFmtId="0" fontId="11" fillId="3" borderId="10" xfId="0" applyFont="1" applyFill="1" applyBorder="1" applyAlignment="1" applyProtection="1">
      <alignment horizontal="left" vertical="center"/>
      <protection locked="0"/>
    </xf>
    <xf numFmtId="0" fontId="0" fillId="3" borderId="10" xfId="0" applyFill="1" applyBorder="1" applyAlignment="1">
      <alignment vertical="center"/>
    </xf>
    <xf numFmtId="0" fontId="0" fillId="3" borderId="10" xfId="0" applyFill="1" applyBorder="1"/>
    <xf numFmtId="0" fontId="17" fillId="2" borderId="15" xfId="0" applyFont="1" applyFill="1" applyBorder="1" applyAlignment="1">
      <alignment horizontal="center" vertical="center" wrapText="1"/>
    </xf>
    <xf numFmtId="0" fontId="17" fillId="2" borderId="16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vertical="center"/>
    </xf>
    <xf numFmtId="0" fontId="0" fillId="3" borderId="8" xfId="0" applyFill="1" applyBorder="1"/>
    <xf numFmtId="0" fontId="11" fillId="3" borderId="17" xfId="0" applyFont="1" applyFill="1" applyBorder="1" applyAlignment="1" applyProtection="1">
      <alignment horizontal="left" vertical="top"/>
      <protection locked="0"/>
    </xf>
    <xf numFmtId="0" fontId="2" fillId="3" borderId="10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5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10" fillId="3" borderId="10" xfId="0" applyFont="1" applyFill="1" applyBorder="1" applyAlignment="1" applyProtection="1">
      <alignment horizontal="center" vertical="center"/>
      <protection locked="0"/>
    </xf>
    <xf numFmtId="0" fontId="12" fillId="3" borderId="3" xfId="0" applyFont="1" applyFill="1" applyBorder="1" applyAlignment="1" applyProtection="1">
      <alignment horizontal="center" vertical="top"/>
      <protection locked="0"/>
    </xf>
    <xf numFmtId="0" fontId="10" fillId="4" borderId="14" xfId="0" applyFont="1" applyFill="1" applyBorder="1" applyAlignment="1">
      <alignment horizontal="center" vertical="center" wrapText="1"/>
    </xf>
    <xf numFmtId="0" fontId="14" fillId="3" borderId="11" xfId="0" quotePrefix="1" applyFont="1" applyFill="1" applyBorder="1" applyAlignment="1">
      <alignment vertical="center"/>
    </xf>
    <xf numFmtId="0" fontId="10" fillId="3" borderId="0" xfId="0" quotePrefix="1" applyFont="1" applyFill="1" applyAlignment="1">
      <alignment horizontal="left"/>
    </xf>
    <xf numFmtId="0" fontId="10" fillId="3" borderId="6" xfId="0" quotePrefix="1" applyFont="1" applyFill="1" applyBorder="1" applyAlignment="1">
      <alignment horizontal="left"/>
    </xf>
    <xf numFmtId="0" fontId="10" fillId="3" borderId="5" xfId="0" quotePrefix="1" applyFont="1" applyFill="1" applyBorder="1" applyAlignment="1">
      <alignment horizontal="left"/>
    </xf>
    <xf numFmtId="0" fontId="18" fillId="2" borderId="16" xfId="0" applyFont="1" applyFill="1" applyBorder="1" applyAlignment="1">
      <alignment horizontal="center" vertical="center" wrapText="1"/>
    </xf>
    <xf numFmtId="0" fontId="19" fillId="2" borderId="15" xfId="0" applyFont="1" applyFill="1" applyBorder="1" applyAlignment="1">
      <alignment horizontal="center" vertical="center" wrapText="1"/>
    </xf>
    <xf numFmtId="0" fontId="18" fillId="2" borderId="15" xfId="0" applyFont="1" applyFill="1" applyBorder="1" applyAlignment="1">
      <alignment horizontal="center" vertical="center" wrapText="1"/>
    </xf>
    <xf numFmtId="0" fontId="20" fillId="2" borderId="16" xfId="1" applyFill="1" applyBorder="1" applyAlignment="1">
      <alignment horizontal="center" vertical="center" wrapText="1"/>
    </xf>
    <xf numFmtId="165" fontId="17" fillId="2" borderId="16" xfId="0" applyNumberFormat="1" applyFont="1" applyFill="1" applyBorder="1" applyAlignment="1">
      <alignment horizontal="center" vertical="center" wrapText="1"/>
    </xf>
    <xf numFmtId="165" fontId="17" fillId="2" borderId="15" xfId="0" applyNumberFormat="1" applyFont="1" applyFill="1" applyBorder="1" applyAlignment="1">
      <alignment horizontal="center" vertical="center" wrapText="1"/>
    </xf>
    <xf numFmtId="165" fontId="19" fillId="2" borderId="15" xfId="0" applyNumberFormat="1" applyFont="1" applyFill="1" applyBorder="1" applyAlignment="1">
      <alignment horizontal="center" vertical="center" wrapText="1"/>
    </xf>
    <xf numFmtId="0" fontId="20" fillId="2" borderId="15" xfId="1" applyFill="1" applyBorder="1" applyAlignment="1">
      <alignment horizontal="center" vertical="center" wrapText="1"/>
    </xf>
    <xf numFmtId="166" fontId="14" fillId="3" borderId="14" xfId="0" quotePrefix="1" applyNumberFormat="1" applyFont="1" applyFill="1" applyBorder="1" applyAlignment="1">
      <alignment horizontal="center" vertical="center" wrapText="1"/>
    </xf>
    <xf numFmtId="166" fontId="14" fillId="3" borderId="18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center" vertical="center" wrapText="1"/>
    </xf>
    <xf numFmtId="0" fontId="17" fillId="2" borderId="0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47625</xdr:colOff>
      <xdr:row>2</xdr:row>
      <xdr:rowOff>19942</xdr:rowOff>
    </xdr:from>
    <xdr:to>
      <xdr:col>15</xdr:col>
      <xdr:colOff>1905000</xdr:colOff>
      <xdr:row>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059650" y="629542"/>
          <a:ext cx="1857375" cy="11040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igikey.com/en/products/detail/yageo/RC0603FR-070RL/1304008?s=N4IgTCBcDaIEoGEAMA2JBmAYnAtEg7EnADIgC6AvkA" TargetMode="External"/><Relationship Id="rId2" Type="http://schemas.openxmlformats.org/officeDocument/2006/relationships/hyperlink" Target="https://www.digikey.com/en/products/detail/yageo/CC0603KRX5R9BB104/5883729?s=N4IgTCBcDaIMJwAwDZEGYDSAlAGgViwE4AhYgRkQBYQBdAXyA" TargetMode="External"/><Relationship Id="rId1" Type="http://schemas.openxmlformats.org/officeDocument/2006/relationships/hyperlink" Target="https://www.digikey.com/en/products/detail/yageo/CC0603KRX5R8BB105/2833610?s=N4IgTCBcDaIMJwAwDZEGYDSAlAGgViwA4AhYgRkTxAF0BfIA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P18"/>
  <sheetViews>
    <sheetView tabSelected="1" workbookViewId="0">
      <selection activeCell="G26" sqref="G26"/>
    </sheetView>
  </sheetViews>
  <sheetFormatPr defaultRowHeight="15" x14ac:dyDescent="0.25"/>
  <cols>
    <col min="2" max="2" width="3.140625" style="25" customWidth="1"/>
    <col min="3" max="3" width="18.7109375" style="25" bestFit="1" customWidth="1"/>
    <col min="4" max="4" width="31.140625" bestFit="1" customWidth="1"/>
    <col min="5" max="5" width="30" customWidth="1"/>
    <col min="6" max="6" width="26.5703125" bestFit="1" customWidth="1"/>
    <col min="7" max="7" width="25.28515625" bestFit="1" customWidth="1"/>
    <col min="8" max="8" width="21.5703125" bestFit="1" customWidth="1"/>
    <col min="9" max="9" width="21.42578125" bestFit="1" customWidth="1"/>
    <col min="10" max="10" width="6.140625" bestFit="1" customWidth="1"/>
    <col min="11" max="11" width="8.7109375" bestFit="1" customWidth="1"/>
    <col min="12" max="12" width="18.28515625" bestFit="1" customWidth="1"/>
    <col min="13" max="13" width="11.140625" customWidth="1"/>
    <col min="14" max="14" width="18.7109375" bestFit="1" customWidth="1"/>
    <col min="15" max="15" width="19.28515625" bestFit="1" customWidth="1"/>
    <col min="16" max="16" width="29.42578125" customWidth="1"/>
  </cols>
  <sheetData>
    <row r="1" spans="1:16" ht="15.75" thickBot="1" x14ac:dyDescent="0.3">
      <c r="A1" s="1"/>
      <c r="B1" s="19"/>
      <c r="C1" s="19"/>
      <c r="D1" s="2"/>
      <c r="E1" s="2"/>
      <c r="F1" s="2"/>
      <c r="G1" s="2"/>
      <c r="H1" s="2"/>
      <c r="I1" s="2"/>
      <c r="J1" s="66"/>
      <c r="K1" s="66"/>
      <c r="L1" s="66"/>
      <c r="M1" s="66"/>
      <c r="N1" s="66"/>
      <c r="O1" s="66"/>
      <c r="P1" s="66"/>
    </row>
    <row r="2" spans="1:16" ht="32.25" thickBot="1" x14ac:dyDescent="0.3">
      <c r="A2" s="1"/>
      <c r="B2" s="20"/>
      <c r="C2" s="41"/>
      <c r="D2" s="10" t="s">
        <v>0</v>
      </c>
      <c r="E2" s="10"/>
      <c r="F2" s="49" t="s">
        <v>51</v>
      </c>
      <c r="G2" s="11"/>
      <c r="H2" s="11"/>
      <c r="I2" s="3"/>
      <c r="J2" s="3"/>
      <c r="K2" s="3"/>
      <c r="L2" s="3"/>
      <c r="M2" s="3"/>
      <c r="N2" s="3"/>
      <c r="O2" s="3"/>
      <c r="P2" s="38"/>
    </row>
    <row r="3" spans="1:16" x14ac:dyDescent="0.25">
      <c r="A3" s="1"/>
      <c r="B3" s="21"/>
      <c r="C3" s="42"/>
      <c r="D3" s="12" t="s">
        <v>1</v>
      </c>
      <c r="E3" s="12"/>
      <c r="F3" s="50" t="s">
        <v>52</v>
      </c>
      <c r="G3" s="12"/>
      <c r="H3" s="12"/>
      <c r="I3" s="4"/>
      <c r="J3" s="4"/>
      <c r="K3" s="4"/>
      <c r="L3" s="4"/>
      <c r="M3" s="4"/>
      <c r="N3" s="4"/>
      <c r="O3" s="4"/>
      <c r="P3" s="67"/>
    </row>
    <row r="4" spans="1:16" x14ac:dyDescent="0.25">
      <c r="A4" s="1"/>
      <c r="B4" s="21"/>
      <c r="C4" s="42"/>
      <c r="D4" s="12" t="s">
        <v>2</v>
      </c>
      <c r="E4" s="12"/>
      <c r="F4" s="51" t="s">
        <v>52</v>
      </c>
      <c r="G4" s="13"/>
      <c r="H4" s="13"/>
      <c r="I4" s="6"/>
      <c r="J4" s="6"/>
      <c r="K4" s="6"/>
      <c r="L4" s="6"/>
      <c r="M4" s="5"/>
      <c r="N4" s="5"/>
      <c r="O4" s="5"/>
      <c r="P4" s="68"/>
    </row>
    <row r="5" spans="1:16" x14ac:dyDescent="0.25">
      <c r="A5" s="1"/>
      <c r="B5" s="21"/>
      <c r="C5" s="42"/>
      <c r="D5" s="12" t="s">
        <v>3</v>
      </c>
      <c r="E5" s="12"/>
      <c r="F5" s="52" t="s">
        <v>5</v>
      </c>
      <c r="G5" s="14"/>
      <c r="H5" s="14"/>
      <c r="I5" s="5"/>
      <c r="J5" s="5"/>
      <c r="K5" s="5"/>
      <c r="L5" s="5"/>
      <c r="M5" s="5"/>
      <c r="N5" s="5"/>
      <c r="O5" s="5"/>
      <c r="P5" s="68"/>
    </row>
    <row r="6" spans="1:16" x14ac:dyDescent="0.25">
      <c r="A6" s="1"/>
      <c r="B6" s="22"/>
      <c r="C6" s="43"/>
      <c r="D6" s="15"/>
      <c r="E6" s="15"/>
      <c r="F6" s="16"/>
      <c r="G6" s="14"/>
      <c r="H6" s="14"/>
      <c r="I6" s="5"/>
      <c r="J6" s="5"/>
      <c r="K6" s="5"/>
      <c r="L6" s="5"/>
      <c r="M6" s="5"/>
      <c r="N6" s="5"/>
      <c r="O6" s="5"/>
      <c r="P6" s="68"/>
    </row>
    <row r="7" spans="1:16" x14ac:dyDescent="0.25">
      <c r="A7" s="1"/>
      <c r="B7" s="23"/>
      <c r="C7" s="44"/>
      <c r="D7" s="17"/>
      <c r="E7" s="17"/>
      <c r="F7" s="18"/>
      <c r="G7" s="17"/>
      <c r="H7" s="17"/>
      <c r="I7" s="7"/>
      <c r="J7" s="7"/>
      <c r="K7" s="7"/>
      <c r="L7" s="7"/>
      <c r="M7" s="7"/>
      <c r="N7" s="7"/>
      <c r="O7" s="7"/>
      <c r="P7" s="68"/>
    </row>
    <row r="8" spans="1:16" ht="15.75" thickBot="1" x14ac:dyDescent="0.3">
      <c r="A8" s="1"/>
      <c r="B8" s="26"/>
      <c r="C8" s="45"/>
      <c r="D8" s="27"/>
      <c r="E8" s="27"/>
      <c r="F8" s="28"/>
      <c r="G8" s="17"/>
      <c r="H8" s="17"/>
      <c r="I8" s="7"/>
      <c r="J8" s="7"/>
      <c r="K8" s="7"/>
      <c r="L8" s="7"/>
      <c r="M8" s="7"/>
      <c r="N8" s="7"/>
      <c r="O8" s="7"/>
      <c r="P8" s="68"/>
    </row>
    <row r="9" spans="1:16" ht="15.75" thickBot="1" x14ac:dyDescent="0.3">
      <c r="A9" s="1"/>
      <c r="B9" s="29" t="s">
        <v>4</v>
      </c>
      <c r="C9" s="29" t="s">
        <v>6</v>
      </c>
      <c r="D9" s="29" t="s">
        <v>11</v>
      </c>
      <c r="E9" s="30" t="s">
        <v>17</v>
      </c>
      <c r="F9" s="29" t="s">
        <v>23</v>
      </c>
      <c r="G9" s="30" t="s">
        <v>28</v>
      </c>
      <c r="H9" s="29" t="s">
        <v>44</v>
      </c>
      <c r="I9" s="29" t="s">
        <v>32</v>
      </c>
      <c r="J9" s="29" t="s">
        <v>42</v>
      </c>
      <c r="K9" s="29" t="s">
        <v>38</v>
      </c>
      <c r="L9" s="29" t="s">
        <v>43</v>
      </c>
      <c r="M9" s="29" t="s">
        <v>45</v>
      </c>
      <c r="N9" s="29" t="s">
        <v>46</v>
      </c>
      <c r="O9" s="29" t="s">
        <v>47</v>
      </c>
      <c r="P9" s="29" t="s">
        <v>48</v>
      </c>
    </row>
    <row r="10" spans="1:16" ht="15.75" thickBot="1" x14ac:dyDescent="0.3">
      <c r="A10" s="1"/>
      <c r="B10" s="48">
        <f>ROW(B10) - ROW($B$9)</f>
        <v>1</v>
      </c>
      <c r="C10" s="53" t="s">
        <v>7</v>
      </c>
      <c r="D10" s="36" t="s">
        <v>12</v>
      </c>
      <c r="E10" s="36" t="s">
        <v>18</v>
      </c>
      <c r="F10" s="36" t="s">
        <v>24</v>
      </c>
      <c r="G10" s="36" t="s">
        <v>29</v>
      </c>
      <c r="H10" s="36" t="s">
        <v>40</v>
      </c>
      <c r="I10" s="36" t="s">
        <v>33</v>
      </c>
      <c r="J10" s="36" t="s">
        <v>36</v>
      </c>
      <c r="K10" s="36">
        <v>1</v>
      </c>
      <c r="L10" s="36">
        <f>K10*5</f>
        <v>5</v>
      </c>
      <c r="M10" s="56" t="s">
        <v>49</v>
      </c>
      <c r="N10" s="57">
        <v>0.1</v>
      </c>
      <c r="O10" s="58">
        <f>N10*L10</f>
        <v>0.5</v>
      </c>
      <c r="P10" s="36"/>
    </row>
    <row r="11" spans="1:16" ht="15.75" thickBot="1" x14ac:dyDescent="0.3">
      <c r="A11" s="1"/>
      <c r="B11" s="48">
        <f t="shared" ref="B11:B16" si="0">ROW(B11) - ROW($B$9)</f>
        <v>2</v>
      </c>
      <c r="C11" s="53" t="s">
        <v>7</v>
      </c>
      <c r="D11" s="37" t="s">
        <v>13</v>
      </c>
      <c r="E11" s="37" t="s">
        <v>19</v>
      </c>
      <c r="F11" s="37" t="s">
        <v>24</v>
      </c>
      <c r="G11" s="63" t="s">
        <v>30</v>
      </c>
      <c r="H11" s="37" t="s">
        <v>40</v>
      </c>
      <c r="I11" s="37" t="s">
        <v>33</v>
      </c>
      <c r="J11" s="37" t="s">
        <v>37</v>
      </c>
      <c r="K11" s="37">
        <v>1</v>
      </c>
      <c r="L11" s="37">
        <f t="shared" ref="L11" si="1">K11*5</f>
        <v>5</v>
      </c>
      <c r="M11" s="56" t="s">
        <v>49</v>
      </c>
      <c r="N11" s="57">
        <v>0.1</v>
      </c>
      <c r="O11" s="57">
        <f t="shared" ref="O11" si="2">N11*L11</f>
        <v>0.5</v>
      </c>
      <c r="P11" s="37"/>
    </row>
    <row r="12" spans="1:16" ht="15.75" thickBot="1" x14ac:dyDescent="0.3">
      <c r="A12" s="1"/>
      <c r="B12" s="48">
        <f>ROW(B12) - ROW($B$9)</f>
        <v>3</v>
      </c>
      <c r="C12" s="55" t="s">
        <v>39</v>
      </c>
      <c r="D12" s="54" t="s">
        <v>14</v>
      </c>
      <c r="E12" s="54" t="s">
        <v>20</v>
      </c>
      <c r="F12" s="54" t="s">
        <v>25</v>
      </c>
      <c r="G12" s="54" t="s">
        <v>40</v>
      </c>
      <c r="H12" s="36" t="s">
        <v>40</v>
      </c>
      <c r="I12" s="54" t="s">
        <v>40</v>
      </c>
      <c r="J12" s="54" t="s">
        <v>40</v>
      </c>
      <c r="K12" s="54">
        <v>1</v>
      </c>
      <c r="L12" s="54">
        <f>K12*5</f>
        <v>5</v>
      </c>
      <c r="M12" s="54"/>
      <c r="N12" s="59" t="s">
        <v>40</v>
      </c>
      <c r="O12" s="59" t="s">
        <v>40</v>
      </c>
      <c r="P12" s="36"/>
    </row>
    <row r="13" spans="1:16" ht="48.75" thickBot="1" x14ac:dyDescent="0.3">
      <c r="A13" s="1"/>
      <c r="B13" s="48">
        <f t="shared" si="0"/>
        <v>4</v>
      </c>
      <c r="C13" s="53" t="s">
        <v>8</v>
      </c>
      <c r="D13" s="37" t="s">
        <v>15</v>
      </c>
      <c r="E13" s="37" t="s">
        <v>21</v>
      </c>
      <c r="F13" s="37" t="s">
        <v>26</v>
      </c>
      <c r="G13" s="37" t="s">
        <v>31</v>
      </c>
      <c r="H13" s="37" t="s">
        <v>40</v>
      </c>
      <c r="I13" s="37" t="s">
        <v>34</v>
      </c>
      <c r="J13" s="37" t="s">
        <v>40</v>
      </c>
      <c r="K13" s="37">
        <v>1</v>
      </c>
      <c r="L13" s="37">
        <f t="shared" ref="L13" si="3">K13*5</f>
        <v>5</v>
      </c>
      <c r="M13" s="60" t="s">
        <v>50</v>
      </c>
      <c r="N13" s="57"/>
      <c r="O13" s="57">
        <f t="shared" ref="O13" si="4">N13*L13</f>
        <v>0</v>
      </c>
      <c r="P13" s="37"/>
    </row>
    <row r="14" spans="1:16" ht="15.75" thickBot="1" x14ac:dyDescent="0.3">
      <c r="A14" s="1"/>
      <c r="B14" s="48">
        <f>ROW(B14) - ROW($B$9)</f>
        <v>5</v>
      </c>
      <c r="C14" s="55" t="s">
        <v>9</v>
      </c>
      <c r="D14" s="36" t="s">
        <v>53</v>
      </c>
      <c r="E14" s="36" t="s">
        <v>54</v>
      </c>
      <c r="F14" s="36" t="s">
        <v>55</v>
      </c>
      <c r="G14" s="36" t="s">
        <v>56</v>
      </c>
      <c r="H14" s="36" t="s">
        <v>40</v>
      </c>
      <c r="I14" s="36" t="s">
        <v>33</v>
      </c>
      <c r="J14" s="36" t="s">
        <v>57</v>
      </c>
      <c r="K14" s="36">
        <v>4</v>
      </c>
      <c r="L14" s="36">
        <f>K14*5</f>
        <v>20</v>
      </c>
      <c r="M14" s="60" t="s">
        <v>49</v>
      </c>
      <c r="N14" s="58">
        <v>0.1</v>
      </c>
      <c r="O14" s="58">
        <f>N14*L14</f>
        <v>2</v>
      </c>
      <c r="P14" s="36"/>
    </row>
    <row r="15" spans="1:16" ht="30.75" thickBot="1" x14ac:dyDescent="0.3">
      <c r="A15" s="1"/>
      <c r="B15" s="48">
        <f t="shared" si="0"/>
        <v>6</v>
      </c>
      <c r="C15" s="53" t="s">
        <v>10</v>
      </c>
      <c r="D15" s="37" t="s">
        <v>16</v>
      </c>
      <c r="E15" s="37" t="s">
        <v>22</v>
      </c>
      <c r="F15" s="37" t="s">
        <v>41</v>
      </c>
      <c r="G15" s="37" t="s">
        <v>27</v>
      </c>
      <c r="H15" s="37" t="s">
        <v>40</v>
      </c>
      <c r="I15" s="37" t="s">
        <v>35</v>
      </c>
      <c r="J15" s="37" t="s">
        <v>40</v>
      </c>
      <c r="K15" s="37">
        <v>1</v>
      </c>
      <c r="L15" s="37">
        <f t="shared" ref="L15:L16" si="5">K15*5</f>
        <v>5</v>
      </c>
      <c r="M15" s="56" t="s">
        <v>50</v>
      </c>
      <c r="N15" s="57"/>
      <c r="O15" s="57" t="s">
        <v>40</v>
      </c>
      <c r="P15" s="37"/>
    </row>
    <row r="16" spans="1:16" ht="30.75" thickBot="1" x14ac:dyDescent="0.3">
      <c r="A16" s="1"/>
      <c r="B16" s="48">
        <f t="shared" si="0"/>
        <v>7</v>
      </c>
      <c r="C16" s="53" t="s">
        <v>58</v>
      </c>
      <c r="D16" s="37" t="s">
        <v>40</v>
      </c>
      <c r="E16" s="37" t="s">
        <v>59</v>
      </c>
      <c r="F16" s="37" t="s">
        <v>40</v>
      </c>
      <c r="G16" s="37" t="s">
        <v>60</v>
      </c>
      <c r="H16" s="64" t="s">
        <v>40</v>
      </c>
      <c r="I16" s="37" t="s">
        <v>61</v>
      </c>
      <c r="J16" s="37" t="s">
        <v>40</v>
      </c>
      <c r="K16" s="64">
        <v>1</v>
      </c>
      <c r="L16" s="37">
        <f t="shared" si="5"/>
        <v>5</v>
      </c>
      <c r="M16" s="60" t="s">
        <v>50</v>
      </c>
      <c r="N16" s="57"/>
      <c r="O16" s="57" t="s">
        <v>40</v>
      </c>
      <c r="P16" s="65"/>
    </row>
    <row r="17" spans="1:16" ht="16.5" thickBot="1" x14ac:dyDescent="0.3">
      <c r="A17" s="1"/>
      <c r="B17" s="31"/>
      <c r="C17" s="46"/>
      <c r="D17" s="32"/>
      <c r="E17" s="33"/>
      <c r="F17" s="34"/>
      <c r="G17" s="35"/>
      <c r="H17" s="35"/>
      <c r="I17" s="34"/>
      <c r="J17" s="35"/>
      <c r="K17" s="35"/>
      <c r="L17" s="35"/>
      <c r="M17" s="35"/>
      <c r="N17" s="35"/>
      <c r="O17" s="61">
        <f>SUM(O10:O16)</f>
        <v>3</v>
      </c>
      <c r="P17" s="39"/>
    </row>
    <row r="18" spans="1:16" ht="16.5" thickBot="1" x14ac:dyDescent="0.3">
      <c r="A18" s="1"/>
      <c r="B18" s="24"/>
      <c r="C18" s="47"/>
      <c r="D18" s="8"/>
      <c r="E18" s="9"/>
      <c r="F18" s="9"/>
      <c r="G18" s="9"/>
      <c r="H18" s="9"/>
      <c r="I18" s="9"/>
      <c r="J18" s="9"/>
      <c r="K18" s="9"/>
      <c r="L18" s="9"/>
      <c r="M18" s="9"/>
      <c r="N18" s="9"/>
      <c r="O18" s="62">
        <f>O17/5</f>
        <v>0.6</v>
      </c>
      <c r="P18" s="40"/>
    </row>
  </sheetData>
  <mergeCells count="2">
    <mergeCell ref="J1:P1"/>
    <mergeCell ref="P3:P8"/>
  </mergeCells>
  <hyperlinks>
    <hyperlink ref="M10" r:id="rId1"/>
    <hyperlink ref="M11" r:id="rId2"/>
    <hyperlink ref="M14" r:id="rId3"/>
  </hyperlinks>
  <pageMargins left="0.7" right="0.7" top="0.75" bottom="0.75" header="0.3" footer="0.3"/>
  <pageSetup paperSize="9" orientation="portrait" r:id="rId4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 Boards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2023-07-25T11:30:11Z</dcterms:modified>
</cp:coreProperties>
</file>