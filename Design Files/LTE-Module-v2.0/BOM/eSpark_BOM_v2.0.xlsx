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23" i="1" l="1"/>
  <c r="M23" i="1"/>
  <c r="Q41" i="1" l="1"/>
  <c r="M41" i="1"/>
  <c r="B41" i="1"/>
  <c r="M25" i="1" l="1"/>
  <c r="Q40" i="1" l="1"/>
  <c r="M40" i="1" l="1"/>
  <c r="B40" i="1"/>
  <c r="B42" i="1"/>
  <c r="Q39" i="1" l="1"/>
  <c r="M39" i="1"/>
  <c r="B39" i="1"/>
  <c r="Q38" i="1"/>
  <c r="M38" i="1"/>
  <c r="B38" i="1"/>
  <c r="Q37" i="1"/>
  <c r="M37" i="1"/>
  <c r="B37" i="1"/>
  <c r="Q36" i="1"/>
  <c r="M36" i="1"/>
  <c r="B36" i="1"/>
  <c r="Q30" i="1"/>
  <c r="M30" i="1"/>
  <c r="B30" i="1"/>
  <c r="Q35" i="1"/>
  <c r="M35" i="1"/>
  <c r="B35" i="1"/>
  <c r="Q34" i="1"/>
  <c r="M34" i="1"/>
  <c r="B34" i="1"/>
  <c r="Q33" i="1"/>
  <c r="M33" i="1"/>
  <c r="B33" i="1"/>
  <c r="Q31" i="1"/>
  <c r="M31" i="1"/>
  <c r="B31" i="1"/>
  <c r="Q32" i="1"/>
  <c r="M32" i="1"/>
  <c r="B32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43" i="1" l="1"/>
  <c r="Q44" i="1" s="1"/>
</calcChain>
</file>

<file path=xl/sharedStrings.xml><?xml version="1.0" encoding="utf-8"?>
<sst xmlns="http://schemas.openxmlformats.org/spreadsheetml/2006/main" count="353" uniqueCount="221">
  <si>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</si>
  <si>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</si>
  <si>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</si>
  <si>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</si>
  <si>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</si>
  <si>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</si>
  <si>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</si>
  <si>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</si>
  <si>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</si>
  <si>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</si>
  <si>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</si>
  <si>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</si>
  <si>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Pogo Connector</t>
  </si>
  <si>
    <t>SIM Card Connectors</t>
  </si>
  <si>
    <t>LED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</si>
  <si>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</si>
  <si>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</si>
  <si>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</si>
  <si>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</si>
  <si>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</si>
  <si>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</si>
  <si>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</si>
  <si>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</si>
  <si>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</si>
  <si>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</si>
  <si>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</si>
  <si>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</si>
  <si>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</si>
  <si>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</si>
  <si>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</si>
  <si>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</si>
  <si>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</si>
  <si>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</si>
  <si>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</si>
  <si>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</si>
  <si>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</si>
  <si>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</si>
  <si>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</si>
  <si>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</si>
  <si>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</si>
  <si>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</si>
  <si>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</si>
  <si>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</si>
  <si>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</si>
  <si>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</si>
  <si>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</si>
  <si>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</si>
  <si>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</si>
  <si>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</si>
  <si>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</si>
  <si>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</si>
  <si>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</si>
  <si>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</si>
  <si>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</si>
  <si>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</si>
  <si>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</si>
  <si>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</si>
  <si>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</si>
  <si>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</si>
  <si>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</si>
  <si>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</si>
  <si>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</si>
  <si>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</si>
  <si>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</si>
  <si>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</si>
  <si>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</si>
  <si>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</si>
  <si>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</si>
  <si>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</si>
  <si>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</si>
  <si>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</si>
  <si>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</si>
  <si>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</si>
  <si>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</si>
  <si>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</si>
  <si>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</si>
  <si>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</si>
  <si>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</si>
  <si>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</si>
  <si>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</si>
  <si>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</si>
  <si>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</si>
  <si>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</si>
  <si>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</si>
  <si>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</si>
  <si>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</si>
  <si>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</si>
  <si>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</si>
  <si>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</si>
  <si>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</si>
  <si>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</si>
  <si>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</si>
  <si>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</si>
  <si>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</si>
  <si>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</si>
  <si>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</si>
  <si>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</si>
  <si>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</si>
  <si>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</si>
  <si>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</si>
  <si>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</si>
  <si>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</si>
  <si>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</si>
  <si>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</si>
  <si>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</si>
  <si>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</si>
  <si>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</si>
  <si>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</si>
  <si>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</si>
  <si>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</si>
  <si>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</si>
  <si>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</si>
  <si>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</si>
  <si>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</si>
  <si>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</si>
  <si>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</si>
  <si>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</si>
  <si>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</si>
  <si>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</si>
  <si>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</si>
  <si>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</si>
  <si>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</si>
  <si>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</si>
  <si>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</si>
  <si>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</si>
  <si>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</si>
  <si>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</si>
  <si>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LCSC Part Number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</si>
  <si>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</si>
  <si>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</si>
  <si>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</si>
  <si>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</si>
  <si>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</si>
  <si>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</si>
  <si>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</si>
  <si>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</si>
  <si>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</si>
  <si>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</si>
  <si>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</si>
  <si>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</si>
  <si>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</si>
  <si>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</si>
  <si>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</si>
  <si>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</si>
  <si>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</si>
  <si>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</si>
  <si>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</si>
  <si>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</si>
  <si>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</si>
  <si>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</si>
  <si>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</si>
  <si>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</si>
  <si>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</si>
  <si>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</si>
  <si>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</si>
  <si>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</si>
  <si>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</si>
  <si>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</si>
  <si>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</si>
  <si>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</si>
  <si>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</si>
  <si>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</si>
  <si>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</si>
  <si>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</si>
  <si>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</si>
  <si>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</si>
  <si>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</si>
  <si>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</si>
  <si>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</si>
  <si>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</si>
  <si>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</si>
  <si>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</si>
  <si>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</si>
  <si>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</si>
  <si>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</si>
  <si>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</si>
  <si>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</si>
  <si>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</si>
  <si>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</si>
  <si>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</si>
  <si>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</si>
  <si>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 xml:space="preserve">Not Available in LCSC </t>
  </si>
  <si>
    <t>Peripheral</t>
  </si>
  <si>
    <t>LTE_MODULE_v2.0</t>
  </si>
  <si>
    <t>JLCPCB</t>
  </si>
  <si>
    <t>HJ Tech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</si>
  <si>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</si>
  <si>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</si>
  <si>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</si>
  <si>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</si>
  <si>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</si>
  <si>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</si>
  <si>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</si>
  <si>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</si>
  <si>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</si>
  <si>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</si>
  <si>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</si>
  <si>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</si>
  <si>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</si>
  <si>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</si>
  <si>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C282246</t>
  </si>
  <si>
    <t>2.2pF</t>
  </si>
  <si>
    <t>J4, J5</t>
  </si>
  <si>
    <t>U3,U4</t>
  </si>
  <si>
    <t>Transistor</t>
  </si>
  <si>
    <t xml:space="preserve">Glass Pipe </t>
  </si>
  <si>
    <t>Digikey</t>
  </si>
  <si>
    <t>R1, R2, R12</t>
  </si>
  <si>
    <t>R4, R19</t>
  </si>
  <si>
    <t>2 5dBi 4GAntenna Vertical 2.4GHz 10W - Antennas ROHS</t>
  </si>
  <si>
    <t>801-4G</t>
  </si>
  <si>
    <t xml:space="preserve">DreamLNK </t>
  </si>
  <si>
    <t>C779858</t>
  </si>
  <si>
    <t>BWGSMJWX105-7KJ</t>
  </si>
  <si>
    <t>BAT WIRELESS</t>
  </si>
  <si>
    <t>1.8 3dBi Vertical 50W - Antennas ROHS</t>
  </si>
  <si>
    <t>C497021</t>
  </si>
  <si>
    <t>SMA Connector</t>
  </si>
  <si>
    <t>1 Inner bore SMA Board Edge Bend 11mm 5.35mm Plugin RF Connectors / Coaxial Connectors ROHS</t>
  </si>
  <si>
    <t>HJ-SMA175</t>
  </si>
  <si>
    <t>C1509213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</si>
</sst>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Tantalum-Capacitors_Kyocera-AVX-TLJB227M006R0500_C30242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lcsc.com/product-detail/RF-Connectors-Coaxial-Connectors_HJ-Tech-HJ-SMA508_C1509209.html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Antennas_DreamLNK-801-4G_C779858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jlcpcb.com/partdetail/SIMCom_WirelessSolutions-SIM7500E/C126259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Multilayer-Ceramic-Capacitors-MLCC-SMD-SMT_YAGEO-CC0603CRNPO9BN2R2_C282246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digikey.com/en/products/detail/pulse-electronics/W3011/3025804" TargetMode="External"/><Relationship Id="rId30" Type="http://schemas.openxmlformats.org/officeDocument/2006/relationships/hyperlink" Target="https://www.lcsc.com/product-detail/Antennas_BAT-WIRELESS-BWGSMJWX105-7KJ_C4970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4"/>
  <sheetViews>
    <sheetView tabSelected="1" topLeftCell="A19" workbookViewId="0">
      <selection activeCell="F24" sqref="F2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3"/>
      <c r="L1" s="73"/>
      <c r="M1" s="73"/>
      <c r="N1" s="73"/>
      <c r="O1" s="73"/>
      <c r="P1" s="73"/>
      <c r="Q1" s="73"/>
      <c r="R1" s="73"/>
      <c r="S1" s="74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5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6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6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164</v>
      </c>
      <c r="N9" s="30" t="s">
        <v>165</v>
      </c>
      <c r="O9" s="30" t="s">
        <v>166</v>
      </c>
      <c r="P9" s="30" t="s">
        <v>167</v>
      </c>
      <c r="Q9" s="30" t="s">
        <v>168</v>
      </c>
      <c r="R9" s="30" t="s">
        <v>169</v>
      </c>
      <c r="S9" s="30" t="s">
        <v>170</v>
      </c>
    </row>
    <row r="10" spans="1:19" ht="24" x14ac:dyDescent="0.25">
      <c r="A10" s="1"/>
      <c r="B10" s="46">
        <f>ROW(B10) - ROW($B$9)</f>
        <v>1</v>
      </c>
      <c r="C10" s="53" t="s">
        <v>193</v>
      </c>
      <c r="D10" s="37" t="s">
        <v>194</v>
      </c>
      <c r="E10" s="37" t="s">
        <v>195</v>
      </c>
      <c r="F10" s="37" t="s">
        <v>171</v>
      </c>
      <c r="G10" s="37" t="s">
        <v>196</v>
      </c>
      <c r="H10" s="37" t="s">
        <v>197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L10*5</f>
        <v>5</v>
      </c>
      <c r="N10" s="37">
        <v>6</v>
      </c>
      <c r="O10" s="61" t="s">
        <v>206</v>
      </c>
      <c r="P10" s="38">
        <v>1.59</v>
      </c>
      <c r="Q10" s="38">
        <f>P10*N10</f>
        <v>9.5400000000000009</v>
      </c>
      <c r="R10" s="63" t="s">
        <v>181</v>
      </c>
      <c r="S10" s="50"/>
    </row>
    <row r="11" spans="1:19" x14ac:dyDescent="0.25">
      <c r="A11" s="1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198</v>
      </c>
      <c r="F11" s="51" t="s">
        <v>71</v>
      </c>
      <c r="G11" s="51" t="s">
        <v>199</v>
      </c>
      <c r="H11" s="51" t="s">
        <v>113</v>
      </c>
      <c r="I11" s="51" t="s">
        <v>172</v>
      </c>
      <c r="J11" s="51" t="s">
        <v>200</v>
      </c>
      <c r="K11" s="51" t="s">
        <v>201</v>
      </c>
      <c r="L11" s="51">
        <v>1</v>
      </c>
      <c r="M11" s="51">
        <f t="shared" ref="M11" si="1">L11*5</f>
        <v>5</v>
      </c>
      <c r="N11" s="51">
        <v>100</v>
      </c>
      <c r="O11" s="60" t="s">
        <v>173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>L12*5</f>
        <v>5</v>
      </c>
      <c r="N12" s="37">
        <v>100</v>
      </c>
      <c r="O12" s="61" t="s">
        <v>173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192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51">
        <f t="shared" ref="M13" si="3">L13*5</f>
        <v>30</v>
      </c>
      <c r="N13" s="51">
        <v>100</v>
      </c>
      <c r="O13" s="60" t="s">
        <v>173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21</v>
      </c>
      <c r="E14" s="37" t="s">
        <v>186</v>
      </c>
      <c r="F14" s="37" t="s">
        <v>187</v>
      </c>
      <c r="G14" s="37" t="s">
        <v>188</v>
      </c>
      <c r="H14" s="37" t="s">
        <v>189</v>
      </c>
      <c r="I14" s="37" t="s">
        <v>172</v>
      </c>
      <c r="J14" s="37" t="s">
        <v>190</v>
      </c>
      <c r="K14" s="37" t="s">
        <v>151</v>
      </c>
      <c r="L14" s="37">
        <v>1</v>
      </c>
      <c r="M14" s="37">
        <f>L14*5</f>
        <v>5</v>
      </c>
      <c r="N14" s="37">
        <v>10</v>
      </c>
      <c r="O14" s="61" t="s">
        <v>173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51">
        <f t="shared" ref="M15" si="5">L15*5</f>
        <v>5</v>
      </c>
      <c r="N15" s="51">
        <v>100</v>
      </c>
      <c r="O15" s="60" t="s">
        <v>173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>L16*5</f>
        <v>15</v>
      </c>
      <c r="N16" s="37">
        <v>100</v>
      </c>
      <c r="O16" s="61" t="s">
        <v>173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51">
        <f t="shared" ref="M17" si="7">L17*5</f>
        <v>10</v>
      </c>
      <c r="N17" s="51">
        <v>50</v>
      </c>
      <c r="O17" s="61" t="s">
        <v>173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>L18*5</f>
        <v>5</v>
      </c>
      <c r="N18" s="37">
        <v>10</v>
      </c>
      <c r="O18" s="61" t="s">
        <v>173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51">
        <f t="shared" ref="M19" si="9">L19*5</f>
        <v>10</v>
      </c>
      <c r="N19" s="51">
        <v>20</v>
      </c>
      <c r="O19" s="61" t="s">
        <v>173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>L20*5</f>
        <v>5</v>
      </c>
      <c r="N20" s="37">
        <v>10</v>
      </c>
      <c r="O20" s="61" t="s">
        <v>173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51">
        <f t="shared" ref="M21" si="11">L21*5</f>
        <v>5</v>
      </c>
      <c r="N21" s="51">
        <v>10</v>
      </c>
      <c r="O21" s="61" t="s">
        <v>173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>L22*5</f>
        <v>5</v>
      </c>
      <c r="N22" s="37">
        <v>10</v>
      </c>
      <c r="O22" s="61" t="s">
        <v>173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217</v>
      </c>
      <c r="D23" s="51" t="s">
        <v>30</v>
      </c>
      <c r="E23" s="51" t="s">
        <v>218</v>
      </c>
      <c r="F23" s="51" t="s">
        <v>171</v>
      </c>
      <c r="G23" s="51" t="s">
        <v>219</v>
      </c>
      <c r="H23" s="51" t="s">
        <v>185</v>
      </c>
      <c r="I23" s="51"/>
      <c r="J23" s="51" t="s">
        <v>220</v>
      </c>
      <c r="K23" s="51"/>
      <c r="L23" s="51">
        <v>1</v>
      </c>
      <c r="M23" s="51">
        <f t="shared" ref="M23" si="13">L23*5</f>
        <v>5</v>
      </c>
      <c r="N23" s="37"/>
      <c r="O23" s="51"/>
      <c r="P23" s="52"/>
      <c r="Q23" s="52">
        <f t="shared" ref="Q23" si="14">P23*N23</f>
        <v>0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62">
        <f>L24*5</f>
        <v>5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64">
        <f t="shared" ref="M25" si="15">L25*5</f>
        <v>5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13</v>
      </c>
      <c r="D26" s="37" t="s">
        <v>202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>L26*5</f>
        <v>10</v>
      </c>
      <c r="N26" s="37">
        <v>11</v>
      </c>
      <c r="O26" s="61" t="s">
        <v>173</v>
      </c>
      <c r="P26" s="38">
        <v>0.6714</v>
      </c>
      <c r="Q26" s="38">
        <f>P26*N26</f>
        <v>7.3853999999999997</v>
      </c>
      <c r="R26" s="37"/>
      <c r="S26" s="59"/>
    </row>
    <row r="27" spans="1:19" ht="24" x14ac:dyDescent="0.25">
      <c r="A27" s="1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>L27*5</f>
        <v>5</v>
      </c>
      <c r="N27" s="37">
        <v>20</v>
      </c>
      <c r="O27" s="61" t="s">
        <v>173</v>
      </c>
      <c r="P27" s="38">
        <v>3.4799999999999998E-2</v>
      </c>
      <c r="Q27" s="38">
        <f>P27*N27</f>
        <v>0.69599999999999995</v>
      </c>
      <c r="R27" s="37"/>
      <c r="S27" s="59"/>
    </row>
    <row r="28" spans="1:19" ht="24" x14ac:dyDescent="0.25">
      <c r="A28" s="1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51">
        <f t="shared" ref="M28" si="16">L28*5</f>
        <v>5</v>
      </c>
      <c r="N28" s="51">
        <v>10</v>
      </c>
      <c r="O28" s="61" t="s">
        <v>173</v>
      </c>
      <c r="P28" s="52">
        <v>5.1499999999999997E-2</v>
      </c>
      <c r="Q28" s="52">
        <f t="shared" ref="Q28" si="17">P28*N28</f>
        <v>0.51500000000000001</v>
      </c>
      <c r="R28" s="51"/>
      <c r="S28" s="59"/>
    </row>
    <row r="29" spans="1:19" ht="48" x14ac:dyDescent="0.25">
      <c r="A29" s="1"/>
      <c r="B29" s="46">
        <f>ROW(B29) - ROW($B$9)</f>
        <v>20</v>
      </c>
      <c r="C29" s="53" t="s">
        <v>204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>L29*5</f>
        <v>20</v>
      </c>
      <c r="N29" s="37">
        <v>40</v>
      </c>
      <c r="O29" s="61" t="s">
        <v>173</v>
      </c>
      <c r="P29" s="38">
        <v>3.3500000000000002E-2</v>
      </c>
      <c r="Q29" s="38">
        <f>P29*N29</f>
        <v>1.34</v>
      </c>
      <c r="R29" s="37"/>
      <c r="S29" s="59"/>
    </row>
    <row r="30" spans="1:19" x14ac:dyDescent="0.25">
      <c r="A30" s="1"/>
      <c r="B30" s="46">
        <f>ROW(B30) - ROW($B$9)</f>
        <v>21</v>
      </c>
      <c r="C30" s="53" t="s">
        <v>15</v>
      </c>
      <c r="D30" s="37" t="s">
        <v>207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>L30*5</f>
        <v>15</v>
      </c>
      <c r="N30" s="37">
        <v>100</v>
      </c>
      <c r="O30" s="61" t="s">
        <v>173</v>
      </c>
      <c r="P30" s="38">
        <v>1.5E-3</v>
      </c>
      <c r="Q30" s="38">
        <f>P30*N30</f>
        <v>0.15</v>
      </c>
      <c r="R30" s="37"/>
      <c r="S30" s="59"/>
    </row>
    <row r="31" spans="1:19" x14ac:dyDescent="0.25">
      <c r="A31" s="1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>L31*5</f>
        <v>10</v>
      </c>
      <c r="N31" s="37">
        <v>100</v>
      </c>
      <c r="O31" s="61" t="s">
        <v>173</v>
      </c>
      <c r="P31" s="38">
        <v>1.1999999999999999E-3</v>
      </c>
      <c r="Q31" s="38">
        <f>P31*N31</f>
        <v>0.12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15</v>
      </c>
      <c r="D32" s="37" t="s">
        <v>208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51">
        <f t="shared" ref="M32" si="18">L32*5</f>
        <v>10</v>
      </c>
      <c r="N32" s="51">
        <v>100</v>
      </c>
      <c r="O32" s="61" t="s">
        <v>173</v>
      </c>
      <c r="P32" s="52">
        <v>1.2999999999999999E-3</v>
      </c>
      <c r="Q32" s="52">
        <f t="shared" ref="Q32" si="19">P32*N32</f>
        <v>0.13</v>
      </c>
      <c r="R32" s="51"/>
      <c r="S32" s="59"/>
    </row>
    <row r="33" spans="1:19" x14ac:dyDescent="0.25">
      <c r="A33" s="1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51">
        <f t="shared" ref="M33" si="20">L33*5</f>
        <v>10</v>
      </c>
      <c r="N33" s="51">
        <v>100</v>
      </c>
      <c r="O33" s="61" t="s">
        <v>173</v>
      </c>
      <c r="P33" s="52">
        <v>1.2999999999999999E-3</v>
      </c>
      <c r="Q33" s="52">
        <f t="shared" ref="Q33" si="21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>L34*5</f>
        <v>20</v>
      </c>
      <c r="N34" s="37">
        <v>100</v>
      </c>
      <c r="O34" s="61" t="s">
        <v>173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51">
        <f t="shared" ref="M35" si="22">L35*5</f>
        <v>20</v>
      </c>
      <c r="N35" s="51">
        <v>100</v>
      </c>
      <c r="O35" s="61" t="s">
        <v>173</v>
      </c>
      <c r="P35" s="52">
        <v>1.1000000000000001E-3</v>
      </c>
      <c r="Q35" s="52">
        <f t="shared" ref="Q35" si="23">P35*N35</f>
        <v>0.11</v>
      </c>
      <c r="R35" s="51"/>
      <c r="S35" s="59"/>
    </row>
    <row r="36" spans="1:19" ht="24" x14ac:dyDescent="0.25">
      <c r="A36" s="1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51">
        <f t="shared" ref="M36" si="24">L36*5</f>
        <v>5</v>
      </c>
      <c r="N36" s="51">
        <v>6</v>
      </c>
      <c r="O36" s="61" t="s">
        <v>184</v>
      </c>
      <c r="P36" s="52">
        <v>27.036000000000001</v>
      </c>
      <c r="Q36" s="52">
        <f t="shared" ref="Q36" si="25">P36*N36</f>
        <v>162.21600000000001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>L37*5</f>
        <v>5</v>
      </c>
      <c r="N37" s="37">
        <v>6</v>
      </c>
      <c r="O37" s="61" t="s">
        <v>173</v>
      </c>
      <c r="P37" s="38">
        <v>0.64600000000000002</v>
      </c>
      <c r="Q37" s="38">
        <f>P37*N37</f>
        <v>3.8760000000000003</v>
      </c>
      <c r="R37" s="37"/>
      <c r="S37" s="59"/>
    </row>
    <row r="38" spans="1:19" ht="24" x14ac:dyDescent="0.25">
      <c r="A38" s="1"/>
      <c r="B38" s="46">
        <f>ROW(B38) - ROW($B$9)</f>
        <v>29</v>
      </c>
      <c r="C38" s="53" t="s">
        <v>17</v>
      </c>
      <c r="D38" s="37" t="s">
        <v>203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>L38*5</f>
        <v>10</v>
      </c>
      <c r="N38" s="37">
        <v>20</v>
      </c>
      <c r="O38" s="61" t="s">
        <v>173</v>
      </c>
      <c r="P38" s="38">
        <v>3.85E-2</v>
      </c>
      <c r="Q38" s="38">
        <f>P38*N38</f>
        <v>0.77</v>
      </c>
      <c r="R38" s="37"/>
      <c r="S38" s="59"/>
    </row>
    <row r="39" spans="1:19" ht="15.75" thickBot="1" x14ac:dyDescent="0.3">
      <c r="A39" s="1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51">
        <f t="shared" ref="M39:M41" si="26">L39*5</f>
        <v>5</v>
      </c>
      <c r="N39" s="51">
        <v>6</v>
      </c>
      <c r="O39" s="61" t="s">
        <v>173</v>
      </c>
      <c r="P39" s="52">
        <v>0.43280000000000002</v>
      </c>
      <c r="Q39" s="52">
        <f t="shared" ref="Q39:Q41" si="27">P39*N39</f>
        <v>2.5968</v>
      </c>
      <c r="R39" s="51"/>
      <c r="S39" s="39"/>
    </row>
    <row r="40" spans="1:19" ht="24.75" thickBot="1" x14ac:dyDescent="0.3">
      <c r="A40" s="1"/>
      <c r="B40" s="47">
        <f t="shared" si="0"/>
        <v>31</v>
      </c>
      <c r="C40" s="54" t="s">
        <v>182</v>
      </c>
      <c r="D40" s="51" t="s">
        <v>172</v>
      </c>
      <c r="E40" s="51" t="s">
        <v>209</v>
      </c>
      <c r="F40" s="51" t="s">
        <v>172</v>
      </c>
      <c r="G40" s="51" t="s">
        <v>210</v>
      </c>
      <c r="H40" s="51" t="s">
        <v>211</v>
      </c>
      <c r="I40" s="51" t="s">
        <v>172</v>
      </c>
      <c r="J40" s="51" t="s">
        <v>212</v>
      </c>
      <c r="K40" s="51" t="s">
        <v>172</v>
      </c>
      <c r="L40" s="51">
        <v>1</v>
      </c>
      <c r="M40" s="51">
        <f t="shared" si="26"/>
        <v>5</v>
      </c>
      <c r="N40" s="51">
        <v>5</v>
      </c>
      <c r="O40" s="61" t="s">
        <v>173</v>
      </c>
      <c r="P40" s="52">
        <v>1.8885000000000001</v>
      </c>
      <c r="Q40" s="52">
        <f t="shared" si="27"/>
        <v>9.4425000000000008</v>
      </c>
      <c r="R40" s="51"/>
      <c r="S40" s="39"/>
    </row>
    <row r="41" spans="1:19" s="72" customFormat="1" ht="15.75" thickBot="1" x14ac:dyDescent="0.3">
      <c r="A41" s="65"/>
      <c r="B41" s="66">
        <f t="shared" si="0"/>
        <v>32</v>
      </c>
      <c r="C41" s="67" t="s">
        <v>182</v>
      </c>
      <c r="D41" s="68" t="s">
        <v>172</v>
      </c>
      <c r="E41" s="68" t="s">
        <v>215</v>
      </c>
      <c r="F41" s="68"/>
      <c r="G41" s="68" t="s">
        <v>213</v>
      </c>
      <c r="H41" s="68" t="s">
        <v>214</v>
      </c>
      <c r="I41" s="68" t="s">
        <v>172</v>
      </c>
      <c r="J41" s="68" t="s">
        <v>216</v>
      </c>
      <c r="K41" s="68" t="s">
        <v>172</v>
      </c>
      <c r="L41" s="68">
        <v>1</v>
      </c>
      <c r="M41" s="68">
        <f t="shared" si="26"/>
        <v>5</v>
      </c>
      <c r="N41" s="68">
        <v>5</v>
      </c>
      <c r="O41" s="69" t="s">
        <v>173</v>
      </c>
      <c r="P41" s="70">
        <v>1.0505</v>
      </c>
      <c r="Q41" s="52">
        <f t="shared" si="27"/>
        <v>5.2524999999999995</v>
      </c>
      <c r="R41" s="68"/>
      <c r="S41" s="71"/>
    </row>
    <row r="42" spans="1:19" ht="15.75" thickBot="1" x14ac:dyDescent="0.3">
      <c r="A42" s="1"/>
      <c r="B42" s="47">
        <f t="shared" si="0"/>
        <v>33</v>
      </c>
      <c r="C42" s="54" t="s">
        <v>182</v>
      </c>
      <c r="D42" s="51"/>
      <c r="E42" s="51"/>
      <c r="F42" s="51"/>
      <c r="G42" s="51" t="s">
        <v>205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1" t="s">
        <v>5</v>
      </c>
      <c r="O43" s="82"/>
      <c r="P43" s="82"/>
      <c r="Q43" s="48">
        <f>SUM(Q10:Q42)</f>
        <v>212.21620000000001</v>
      </c>
      <c r="R43" s="77"/>
      <c r="S43" s="78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1" t="s">
        <v>6</v>
      </c>
      <c r="O44" s="82"/>
      <c r="P44" s="82"/>
      <c r="Q44" s="49">
        <f>Q43/5</f>
        <v>42.443240000000003</v>
      </c>
      <c r="R44" s="79"/>
      <c r="S44" s="80"/>
    </row>
  </sheetData>
  <mergeCells count="5">
    <mergeCell ref="K1:S1"/>
    <mergeCell ref="S3:S8"/>
    <mergeCell ref="R43:S44"/>
    <mergeCell ref="N43:P43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36" r:id="rId24"/>
    <hyperlink ref="O23" r:id="rId25" display="LCSC"/>
    <hyperlink ref="O14" r:id="rId26"/>
    <hyperlink ref="O10" r:id="rId27"/>
    <hyperlink ref="O11" r:id="rId28"/>
    <hyperlink ref="O40" r:id="rId29"/>
    <hyperlink ref="O41" r:id="rId30"/>
  </hyperlinks>
  <pageMargins left="0.7" right="0.7" top="0.75" bottom="0.75" header="0.3" footer="0.3"/>
  <pageSetup paperSize="9"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2023-08-02T14:58:18Z</dcterms:modified>
</cp:coreProperties>
</file>