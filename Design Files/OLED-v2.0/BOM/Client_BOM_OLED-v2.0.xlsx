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OLED-v2.0\BOM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26" i="1" l="1"/>
  <c r="B26" i="1"/>
  <c r="O22" i="1" l="1"/>
  <c r="O21" i="1"/>
  <c r="O20" i="1"/>
  <c r="O13" i="1"/>
  <c r="O12" i="1"/>
  <c r="O11" i="1"/>
  <c r="O10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O27" i="1" l="1"/>
  <c r="O28" i="1" s="1"/>
</calcChain>
</file>

<file path=xl/sharedStrings.xml><?xml version="1.0" encoding="utf-8"?>
<sst xmlns="http://schemas.openxmlformats.org/spreadsheetml/2006/main" count="195" uniqueCount="115">
  <si>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</si>
  <si>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</si>
  <si>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</si>
  <si>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</si>
  <si>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</si>
  <si>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</si>
  <si>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</si>
  <si>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</si>
  <si>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</si>
  <si>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Pogo Connector</t>
  </si>
  <si>
    <t>RGB LED</t>
  </si>
  <si>
    <t>OLED</t>
  </si>
  <si>
    <t>Mosfet</t>
  </si>
  <si>
    <t>Resistor</t>
  </si>
  <si>
    <t>Solder Bridge</t>
  </si>
  <si>
    <t>Designator</t>
  </si>
  <si>
    <t>C1, C2, C3, C9</t>
  </si>
  <si>
    <t>C4, C5, C6, C7</t>
  </si>
  <si>
    <t>C8</t>
  </si>
  <si>
    <t>C11</t>
  </si>
  <si>
    <t>D1</t>
  </si>
  <si>
    <t>J1</t>
  </si>
  <si>
    <t>J2</t>
  </si>
  <si>
    <t>LED1</t>
  </si>
  <si>
    <t>OLED1</t>
  </si>
  <si>
    <t>Q1</t>
  </si>
  <si>
    <t>R1, R2, R3, R7</t>
  </si>
  <si>
    <t>R4</t>
  </si>
  <si>
    <t>R5</t>
  </si>
  <si>
    <t>R6</t>
  </si>
  <si>
    <t>SB1</t>
  </si>
  <si>
    <t>SW1, SW2, SW3</t>
  </si>
  <si>
    <t>Description</t>
  </si>
  <si>
    <t>CAP CER 1UF 10V X5R 0402</t>
  </si>
  <si>
    <t>CAP CER 0.1UF 50V X5R 0402</t>
  </si>
  <si>
    <t>CAP CER 4.7UF 10V X5R 0402</t>
  </si>
  <si>
    <t>CAP CER 2.2UF 25V X5R 0402</t>
  </si>
  <si>
    <t>80V Single 1.2V@100mA 4ns 100mA SOD-523 Switching Diode ROHS</t>
  </si>
  <si>
    <t>Pogo Pad 2.5mm 4 Pin</t>
  </si>
  <si>
    <t>SMD,3.5x3.5mm Light Emitting Diodes (LED) RoHS</t>
  </si>
  <si>
    <t>SSD1306 0.96 - OLED Displays Modules ROHS</t>
  </si>
  <si>
    <t>50V 220mA 3.5Ω@10V,220mA 225mW 1.6V@1mA N Channel SOT-23 MOSFETs ROHS</t>
  </si>
  <si>
    <t>RES SMD 10K OHM 0.1% 1/10W 0603</t>
  </si>
  <si>
    <t>RES SMD 4.7K OHM 5% 1/10W 0402</t>
  </si>
  <si>
    <t>RES 0 OHM JUMPER 1/16W 0402</t>
  </si>
  <si>
    <t>±1% 412kΩ 0402 Chip Resistor - Surface Mount ROHS</t>
  </si>
  <si>
    <t>Solder Bridge ON</t>
  </si>
  <si>
    <t>3mm 2mm Round Button 50mA Top3.65mm SPST 12V SMD Tactile Switches</t>
  </si>
  <si>
    <t>Footprint</t>
  </si>
  <si>
    <t>Cap-0402</t>
  </si>
  <si>
    <t>SOD-523</t>
  </si>
  <si>
    <t>Pogo 4 Pin</t>
  </si>
  <si>
    <t>WS2812B-Mini</t>
  </si>
  <si>
    <t>N096-2864KSWEG01-H30</t>
  </si>
  <si>
    <t>Sot-23</t>
  </si>
  <si>
    <t>Res-0603</t>
  </si>
  <si>
    <t>Res-0402</t>
  </si>
  <si>
    <t>Manufacturer Part Number</t>
  </si>
  <si>
    <t>CC0402KRX5R6BB105</t>
  </si>
  <si>
    <t>C1005X5R1H104K050BB</t>
  </si>
  <si>
    <t>CC0402KRX5R6BB475</t>
  </si>
  <si>
    <t>GRM155R61E225KE11D</t>
  </si>
  <si>
    <t>1SS355WT</t>
  </si>
  <si>
    <t>POGO Connector 4 Pin</t>
  </si>
  <si>
    <t>BSS138</t>
  </si>
  <si>
    <t>RT0603BRD0710KL</t>
  </si>
  <si>
    <t>ERJ-2GEJ472X</t>
  </si>
  <si>
    <t>RC0402FR-070RL</t>
  </si>
  <si>
    <t>FRC0402F4123TS</t>
  </si>
  <si>
    <t>TS-1185EC-C-D-B</t>
  </si>
  <si>
    <t>Manufacturer</t>
  </si>
  <si>
    <t>Yageo</t>
  </si>
  <si>
    <t>TDK</t>
  </si>
  <si>
    <t>Murata</t>
  </si>
  <si>
    <t>CBI</t>
  </si>
  <si>
    <t>Worldsemi</t>
  </si>
  <si>
    <t>Newvisio</t>
  </si>
  <si>
    <t>Slkor(SLKORMICRO Elec.)</t>
  </si>
  <si>
    <t>Panasonic</t>
  </si>
  <si>
    <t>FOJAN</t>
  </si>
  <si>
    <t>XKB</t>
  </si>
  <si>
    <t>1uF</t>
  </si>
  <si>
    <t>0.1uF</t>
  </si>
  <si>
    <t>4.7uF</t>
  </si>
  <si>
    <t>2.2uf</t>
  </si>
  <si>
    <t>10K</t>
  </si>
  <si>
    <t>4.7K</t>
  </si>
  <si>
    <t>0R</t>
  </si>
  <si>
    <t>412K</t>
  </si>
  <si>
    <t>Quantity</t>
  </si>
  <si>
    <t>Custom</t>
  </si>
  <si>
    <t>Switch</t>
  </si>
  <si>
    <t>Bill of Materials for Project [OLED-v2.0.]</t>
  </si>
  <si>
    <t>OLED-v2.0.</t>
  </si>
  <si>
    <t>Alternate Part Number</t>
  </si>
  <si>
    <t>-</t>
  </si>
  <si>
    <t>Value</t>
  </si>
  <si>
    <t>Quantity (5 Boards)</t>
  </si>
  <si>
    <t>Links</t>
  </si>
  <si>
    <t>Unit Cost (5 Boards)</t>
  </si>
  <si>
    <t>Total Cost (5 Boards)</t>
  </si>
  <si>
    <t xml:space="preserve">Total Component Cost </t>
  </si>
  <si>
    <t>Single Board Cost</t>
  </si>
  <si>
    <t>Remarks</t>
  </si>
  <si>
    <t>Digikey</t>
  </si>
  <si>
    <t>CL05A475KP5NRNC</t>
  </si>
  <si>
    <t>Custom Supplier</t>
  </si>
  <si>
    <t>Peripheral</t>
  </si>
  <si>
    <t>0.3mm~0.3mm 18 0.5mm Same Side 5cm P=0.5mm FFC/FPC Connect Cables ROHS</t>
  </si>
  <si>
    <t>JS05A-18P-050-4-8</t>
  </si>
  <si>
    <t xml:space="preserve">JUSHUO </t>
  </si>
  <si>
    <t>FPC Connector</t>
  </si>
  <si>
    <t>Clamshell -25℃~+85℃ 18P Bottom Contact Surface Mount 0.5mm SMD,P=0.5mm FFC/FPC Connectors ROHS</t>
  </si>
  <si>
    <t>F0502-B-18-15T-R</t>
  </si>
  <si>
    <t>XFCN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</si>
</sst>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4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9" xfId="0" applyNumberFormat="1" applyFont="1" applyFill="1" applyBorder="1" applyAlignment="1">
      <alignment horizontal="center" vertical="center"/>
    </xf>
    <xf numFmtId="0" fontId="20" fillId="0" borderId="20" xfId="1" applyBorder="1" applyAlignment="1">
      <alignment horizontal="center" vertical="center"/>
    </xf>
    <xf numFmtId="0" fontId="20" fillId="0" borderId="20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1" fillId="3" borderId="18" xfId="0" applyFont="1" applyFill="1" applyBorder="1" applyAlignment="1" applyProtection="1">
      <alignment horizontal="center" vertical="top"/>
      <protection locked="0"/>
    </xf>
    <xf numFmtId="0" fontId="21" fillId="3" borderId="11" xfId="0" applyFont="1" applyFill="1" applyBorder="1" applyAlignment="1" applyProtection="1">
      <alignment horizontal="center" vertical="top"/>
      <protection locked="0"/>
    </xf>
    <xf numFmtId="0" fontId="17" fillId="2" borderId="0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samsung-electro-mechanics/CL05A475KP5NRNC/3889566" TargetMode="External"/><Relationship Id="rId7" Type="http://schemas.openxmlformats.org/officeDocument/2006/relationships/hyperlink" Target="https://www.digikey.com/en/products/detail/yageo/RC0402FR-070RL/2827570?s=N4IgTCBcDaIEoGEAMAWJYBicC0SDsScAMiALoC%2BQA" TargetMode="External"/><Relationship Id="rId2" Type="http://schemas.openxmlformats.org/officeDocument/2006/relationships/hyperlink" Target="https://www.digikey.com/en/products/detail/tdk-corporation/C1005X5R1H104K050BB/2443420?s=N4IgTCBcDaIMIEYAMSCsANVAlBAJZALANJpIBCZIAugL5A" TargetMode="External"/><Relationship Id="rId1" Type="http://schemas.openxmlformats.org/officeDocument/2006/relationships/hyperlink" Target="https://www.digikey.com/en/products/detail/yageo/CC0402KRX5R6BB105/2833604?s=N4IgTCBcDaIMJwAwBZFgNICUAaBWTAbAEJECMiuIAugL5A" TargetMode="External"/><Relationship Id="rId6" Type="http://schemas.openxmlformats.org/officeDocument/2006/relationships/hyperlink" Target="https://www.digikey.com/en/products/detail/panasonic-electronic-components/ERJ-2GEJ472X/147026?s=N4IgTCBcDaIKICUBSBaMBxOSAsB2MAGiALoC%2BQA" TargetMode="External"/><Relationship Id="rId5" Type="http://schemas.openxmlformats.org/officeDocument/2006/relationships/hyperlink" Target="https://www.digikey.com/en/products/detail/yageo/RT0603BRD0710KL/1072198?s=N4IgTCBcDaIEoBUAMA2JBmAQnAIkg7AIxIDSAMiALoC%2BQA" TargetMode="External"/><Relationship Id="rId4" Type="http://schemas.openxmlformats.org/officeDocument/2006/relationships/hyperlink" Target="https://www.digikey.com/en/products/detail/murata-electronics/GRM155R61E225KE11D/4905143?s=N4IgTCBcDaIOICUCyBGArGhA2FBRMYaA0riigCIgC6AvkA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8"/>
  <sheetViews>
    <sheetView tabSelected="1" topLeftCell="B13" workbookViewId="0">
      <selection activeCell="E23" sqref="E2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5703125" bestFit="1" customWidth="1"/>
    <col min="9" max="9" width="21.42578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9.140625" customWidth="1"/>
    <col min="14" max="14" width="18.7109375" bestFit="1" customWidth="1"/>
    <col min="15" max="15" width="19.28515625" bestFit="1" customWidth="1"/>
    <col min="16" max="16" width="29.42578125" customWidth="1"/>
  </cols>
  <sheetData>
    <row r="1" spans="1:16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4"/>
      <c r="K1" s="64"/>
      <c r="L1" s="64"/>
      <c r="M1" s="64"/>
      <c r="N1" s="64"/>
      <c r="O1" s="64"/>
      <c r="P1" s="64"/>
    </row>
    <row r="2" spans="1:16" ht="32.25" thickBot="1" x14ac:dyDescent="0.3">
      <c r="A2" s="1"/>
      <c r="B2" s="20"/>
      <c r="C2" s="41"/>
      <c r="D2" s="10" t="s">
        <v>0</v>
      </c>
      <c r="E2" s="10"/>
      <c r="F2" s="48" t="s">
        <v>92</v>
      </c>
      <c r="G2" s="11"/>
      <c r="H2" s="11"/>
      <c r="I2" s="3"/>
      <c r="J2" s="3"/>
      <c r="K2" s="3"/>
      <c r="L2" s="3"/>
      <c r="M2" s="3"/>
      <c r="N2" s="3"/>
      <c r="O2" s="3"/>
      <c r="P2" s="38"/>
    </row>
    <row r="3" spans="1:16" x14ac:dyDescent="0.25">
      <c r="A3" s="1"/>
      <c r="B3" s="21"/>
      <c r="C3" s="42"/>
      <c r="D3" s="12" t="s">
        <v>1</v>
      </c>
      <c r="E3" s="12"/>
      <c r="F3" s="49" t="s">
        <v>93</v>
      </c>
      <c r="G3" s="12"/>
      <c r="H3" s="12"/>
      <c r="I3" s="4"/>
      <c r="J3" s="4"/>
      <c r="K3" s="4"/>
      <c r="L3" s="4"/>
      <c r="M3" s="4"/>
      <c r="N3" s="4"/>
      <c r="O3" s="4"/>
      <c r="P3" s="65"/>
    </row>
    <row r="4" spans="1:16" x14ac:dyDescent="0.25">
      <c r="A4" s="1"/>
      <c r="B4" s="21"/>
      <c r="C4" s="42"/>
      <c r="D4" s="12" t="s">
        <v>2</v>
      </c>
      <c r="E4" s="12"/>
      <c r="F4" s="50" t="s">
        <v>93</v>
      </c>
      <c r="G4" s="13"/>
      <c r="H4" s="13"/>
      <c r="I4" s="6"/>
      <c r="J4" s="6"/>
      <c r="K4" s="6"/>
      <c r="L4" s="6"/>
      <c r="M4" s="5"/>
      <c r="N4" s="5"/>
      <c r="O4" s="5"/>
      <c r="P4" s="66"/>
    </row>
    <row r="5" spans="1:16" x14ac:dyDescent="0.25">
      <c r="A5" s="1"/>
      <c r="B5" s="21"/>
      <c r="C5" s="42"/>
      <c r="D5" s="12" t="s">
        <v>3</v>
      </c>
      <c r="E5" s="12"/>
      <c r="F5" s="51" t="s">
        <v>5</v>
      </c>
      <c r="G5" s="14"/>
      <c r="H5" s="14"/>
      <c r="I5" s="5"/>
      <c r="J5" s="5"/>
      <c r="K5" s="5"/>
      <c r="L5" s="5"/>
      <c r="M5" s="5"/>
      <c r="N5" s="5"/>
      <c r="O5" s="5"/>
      <c r="P5" s="66"/>
    </row>
    <row r="6" spans="1:16" x14ac:dyDescent="0.25">
      <c r="A6" s="1"/>
      <c r="B6" s="22"/>
      <c r="C6" s="43"/>
      <c r="D6" s="15"/>
      <c r="E6" s="15"/>
      <c r="F6" s="16"/>
      <c r="G6" s="14"/>
      <c r="H6" s="14"/>
      <c r="I6" s="5"/>
      <c r="J6" s="5"/>
      <c r="K6" s="5"/>
      <c r="L6" s="5"/>
      <c r="M6" s="5"/>
      <c r="N6" s="5"/>
      <c r="O6" s="5"/>
      <c r="P6" s="66"/>
    </row>
    <row r="7" spans="1:16" x14ac:dyDescent="0.25">
      <c r="A7" s="1"/>
      <c r="B7" s="23"/>
      <c r="C7" s="44"/>
      <c r="D7" s="17"/>
      <c r="E7" s="17"/>
      <c r="F7" s="18"/>
      <c r="G7" s="17"/>
      <c r="H7" s="17"/>
      <c r="I7" s="7"/>
      <c r="J7" s="7"/>
      <c r="K7" s="7"/>
      <c r="L7" s="7"/>
      <c r="M7" s="7"/>
      <c r="N7" s="7"/>
      <c r="O7" s="7"/>
      <c r="P7" s="66"/>
    </row>
    <row r="8" spans="1:16" ht="15.75" thickBot="1" x14ac:dyDescent="0.3">
      <c r="A8" s="1"/>
      <c r="B8" s="26"/>
      <c r="C8" s="45"/>
      <c r="D8" s="27"/>
      <c r="E8" s="27"/>
      <c r="F8" s="28"/>
      <c r="G8" s="17"/>
      <c r="H8" s="17"/>
      <c r="I8" s="7"/>
      <c r="J8" s="7"/>
      <c r="K8" s="7"/>
      <c r="L8" s="7"/>
      <c r="M8" s="7"/>
      <c r="N8" s="7"/>
      <c r="O8" s="7"/>
      <c r="P8" s="66"/>
    </row>
    <row r="9" spans="1:16" ht="15.75" thickBot="1" x14ac:dyDescent="0.3">
      <c r="A9" s="1"/>
      <c r="B9" s="29" t="s">
        <v>4</v>
      </c>
      <c r="C9" s="29" t="s">
        <v>6</v>
      </c>
      <c r="D9" s="29" t="s">
        <v>15</v>
      </c>
      <c r="E9" s="29" t="s">
        <v>32</v>
      </c>
      <c r="F9" s="29" t="s">
        <v>48</v>
      </c>
      <c r="G9" s="29" t="s">
        <v>57</v>
      </c>
      <c r="H9" s="29" t="s">
        <v>94</v>
      </c>
      <c r="I9" s="29" t="s">
        <v>70</v>
      </c>
      <c r="J9" s="30" t="s">
        <v>96</v>
      </c>
      <c r="K9" s="29" t="s">
        <v>89</v>
      </c>
      <c r="L9" s="29" t="s">
        <v>97</v>
      </c>
      <c r="M9" s="29" t="s">
        <v>98</v>
      </c>
      <c r="N9" s="29" t="s">
        <v>99</v>
      </c>
      <c r="O9" s="29" t="s">
        <v>100</v>
      </c>
      <c r="P9" s="29" t="s">
        <v>103</v>
      </c>
    </row>
    <row r="10" spans="1:16" x14ac:dyDescent="0.25">
      <c r="A10" s="1"/>
      <c r="B10" s="52">
        <f>ROW(B10) - ROW($B$9)</f>
        <v>1</v>
      </c>
      <c r="C10" s="53" t="s">
        <v>7</v>
      </c>
      <c r="D10" s="36" t="s">
        <v>16</v>
      </c>
      <c r="E10" s="36" t="s">
        <v>33</v>
      </c>
      <c r="F10" s="36" t="s">
        <v>49</v>
      </c>
      <c r="G10" s="36" t="s">
        <v>58</v>
      </c>
      <c r="H10" s="36" t="s">
        <v>95</v>
      </c>
      <c r="I10" s="36" t="s">
        <v>71</v>
      </c>
      <c r="J10" s="36" t="s">
        <v>81</v>
      </c>
      <c r="K10" s="36">
        <v>4</v>
      </c>
      <c r="L10" s="36">
        <f>K10*5</f>
        <v>20</v>
      </c>
      <c r="M10" s="62" t="s">
        <v>104</v>
      </c>
      <c r="N10" s="58">
        <v>7.3999999999999996E-2</v>
      </c>
      <c r="O10" s="58">
        <f>N10*L10</f>
        <v>1.48</v>
      </c>
      <c r="P10" s="36"/>
    </row>
    <row r="11" spans="1:16" x14ac:dyDescent="0.25">
      <c r="A11" s="1"/>
      <c r="B11" s="54">
        <f t="shared" ref="B11:B26" si="0">ROW(B11) - ROW($B$9)</f>
        <v>2</v>
      </c>
      <c r="C11" s="53" t="s">
        <v>7</v>
      </c>
      <c r="D11" s="37" t="s">
        <v>17</v>
      </c>
      <c r="E11" s="37" t="s">
        <v>34</v>
      </c>
      <c r="F11" s="37" t="s">
        <v>49</v>
      </c>
      <c r="G11" s="37" t="s">
        <v>59</v>
      </c>
      <c r="H11" s="37" t="s">
        <v>95</v>
      </c>
      <c r="I11" s="37" t="s">
        <v>72</v>
      </c>
      <c r="J11" s="37" t="s">
        <v>82</v>
      </c>
      <c r="K11" s="37">
        <v>4</v>
      </c>
      <c r="L11" s="37">
        <f t="shared" ref="L11" si="1">K11*5</f>
        <v>20</v>
      </c>
      <c r="M11" s="62" t="s">
        <v>104</v>
      </c>
      <c r="N11" s="59">
        <v>7.9000000000000001E-2</v>
      </c>
      <c r="O11" s="59">
        <f t="shared" ref="O11" si="2">N11*L11</f>
        <v>1.58</v>
      </c>
      <c r="P11" s="37"/>
    </row>
    <row r="12" spans="1:16" x14ac:dyDescent="0.25">
      <c r="A12" s="1"/>
      <c r="B12" s="52">
        <f>ROW(B12) - ROW($B$9)</f>
        <v>3</v>
      </c>
      <c r="C12" s="53" t="s">
        <v>7</v>
      </c>
      <c r="D12" s="36" t="s">
        <v>18</v>
      </c>
      <c r="E12" s="36" t="s">
        <v>35</v>
      </c>
      <c r="F12" s="36" t="s">
        <v>49</v>
      </c>
      <c r="G12" s="57" t="s">
        <v>60</v>
      </c>
      <c r="H12" s="36" t="s">
        <v>105</v>
      </c>
      <c r="I12" s="36" t="s">
        <v>71</v>
      </c>
      <c r="J12" s="36" t="s">
        <v>83</v>
      </c>
      <c r="K12" s="36">
        <v>1</v>
      </c>
      <c r="L12" s="36">
        <f>K12*5</f>
        <v>5</v>
      </c>
      <c r="M12" s="62" t="s">
        <v>104</v>
      </c>
      <c r="N12" s="58">
        <v>0.28000000000000003</v>
      </c>
      <c r="O12" s="58">
        <f>N12*L12</f>
        <v>1.4000000000000001</v>
      </c>
      <c r="P12" s="36"/>
    </row>
    <row r="13" spans="1:16" x14ac:dyDescent="0.25">
      <c r="A13" s="1"/>
      <c r="B13" s="54">
        <f t="shared" si="0"/>
        <v>4</v>
      </c>
      <c r="C13" s="53" t="s">
        <v>7</v>
      </c>
      <c r="D13" s="37" t="s">
        <v>19</v>
      </c>
      <c r="E13" s="37" t="s">
        <v>36</v>
      </c>
      <c r="F13" s="37" t="s">
        <v>49</v>
      </c>
      <c r="G13" s="37" t="s">
        <v>61</v>
      </c>
      <c r="H13" s="37" t="s">
        <v>95</v>
      </c>
      <c r="I13" s="37" t="s">
        <v>73</v>
      </c>
      <c r="J13" s="37" t="s">
        <v>84</v>
      </c>
      <c r="K13" s="37">
        <v>1</v>
      </c>
      <c r="L13" s="37">
        <f t="shared" ref="L13" si="3">K13*5</f>
        <v>5</v>
      </c>
      <c r="M13" s="62" t="s">
        <v>104</v>
      </c>
      <c r="N13" s="59">
        <v>0.21</v>
      </c>
      <c r="O13" s="59">
        <f t="shared" ref="O13" si="4">N13*L13</f>
        <v>1.05</v>
      </c>
      <c r="P13" s="37"/>
    </row>
    <row r="14" spans="1:16" ht="30" x14ac:dyDescent="0.25">
      <c r="A14" s="1"/>
      <c r="B14" s="52">
        <f>ROW(B14) - ROW($B$9)</f>
        <v>5</v>
      </c>
      <c r="C14" s="55" t="s">
        <v>8</v>
      </c>
      <c r="D14" s="36" t="s">
        <v>20</v>
      </c>
      <c r="E14" s="36" t="s">
        <v>37</v>
      </c>
      <c r="F14" s="36" t="s">
        <v>50</v>
      </c>
      <c r="G14" s="36" t="s">
        <v>62</v>
      </c>
      <c r="H14" s="36" t="s">
        <v>95</v>
      </c>
      <c r="I14" s="36" t="s">
        <v>74</v>
      </c>
      <c r="J14" s="36" t="s">
        <v>95</v>
      </c>
      <c r="K14" s="36">
        <v>1</v>
      </c>
      <c r="L14" s="36">
        <f>K14*5</f>
        <v>5</v>
      </c>
      <c r="M14" s="63" t="s">
        <v>106</v>
      </c>
      <c r="N14" s="58" t="s">
        <v>95</v>
      </c>
      <c r="O14" s="58" t="s">
        <v>95</v>
      </c>
      <c r="P14" s="36"/>
    </row>
    <row r="15" spans="1:16" ht="30" x14ac:dyDescent="0.25">
      <c r="A15" s="1"/>
      <c r="B15" s="54">
        <f t="shared" si="0"/>
        <v>6</v>
      </c>
      <c r="C15" s="53" t="s">
        <v>9</v>
      </c>
      <c r="D15" s="56" t="s">
        <v>21</v>
      </c>
      <c r="E15" s="56" t="s">
        <v>38</v>
      </c>
      <c r="F15" s="56" t="s">
        <v>51</v>
      </c>
      <c r="G15" s="56" t="s">
        <v>63</v>
      </c>
      <c r="H15" s="37" t="s">
        <v>95</v>
      </c>
      <c r="I15" s="56" t="s">
        <v>95</v>
      </c>
      <c r="J15" s="56" t="s">
        <v>95</v>
      </c>
      <c r="K15" s="56">
        <v>1</v>
      </c>
      <c r="L15" s="56">
        <f t="shared" ref="L15" si="5">K15*5</f>
        <v>5</v>
      </c>
      <c r="M15" s="63" t="s">
        <v>106</v>
      </c>
      <c r="N15" s="56" t="s">
        <v>95</v>
      </c>
      <c r="O15" s="56" t="s">
        <v>95</v>
      </c>
      <c r="P15" s="37"/>
    </row>
    <row r="16" spans="1:16" ht="48" x14ac:dyDescent="0.25">
      <c r="A16" s="1"/>
      <c r="B16" s="52">
        <f>ROW(B16) - ROW($B$9)</f>
        <v>7</v>
      </c>
      <c r="C16" s="55" t="s">
        <v>111</v>
      </c>
      <c r="D16" s="36" t="s">
        <v>22</v>
      </c>
      <c r="E16" s="36" t="s">
        <v>112</v>
      </c>
      <c r="F16" s="36" t="s">
        <v>90</v>
      </c>
      <c r="G16" s="36" t="s">
        <v>113</v>
      </c>
      <c r="H16" s="36" t="s">
        <v>95</v>
      </c>
      <c r="I16" s="36" t="s">
        <v>114</v>
      </c>
      <c r="J16" s="36" t="s">
        <v>95</v>
      </c>
      <c r="K16" s="36">
        <v>1</v>
      </c>
      <c r="L16" s="36">
        <f>K16*5</f>
        <v>5</v>
      </c>
      <c r="M16" s="63" t="s">
        <v>106</v>
      </c>
      <c r="N16" s="56" t="s">
        <v>95</v>
      </c>
      <c r="O16" s="56" t="s">
        <v>95</v>
      </c>
      <c r="P16" s="36"/>
    </row>
    <row r="17" spans="1:16" ht="30" x14ac:dyDescent="0.25">
      <c r="A17" s="1"/>
      <c r="B17" s="54">
        <f t="shared" si="0"/>
        <v>8</v>
      </c>
      <c r="C17" s="53" t="s">
        <v>10</v>
      </c>
      <c r="D17" s="37" t="s">
        <v>23</v>
      </c>
      <c r="E17" s="37" t="s">
        <v>39</v>
      </c>
      <c r="F17" s="37" t="s">
        <v>90</v>
      </c>
      <c r="G17" s="37" t="s">
        <v>52</v>
      </c>
      <c r="H17" s="37" t="s">
        <v>95</v>
      </c>
      <c r="I17" s="37" t="s">
        <v>75</v>
      </c>
      <c r="J17" s="37"/>
      <c r="K17" s="37">
        <v>1</v>
      </c>
      <c r="L17" s="37">
        <f t="shared" ref="L17" si="6">K17*5</f>
        <v>5</v>
      </c>
      <c r="M17" s="63" t="s">
        <v>106</v>
      </c>
      <c r="N17" s="58" t="s">
        <v>95</v>
      </c>
      <c r="O17" s="58" t="s">
        <v>95</v>
      </c>
      <c r="P17" s="37"/>
    </row>
    <row r="18" spans="1:16" ht="30" x14ac:dyDescent="0.25">
      <c r="A18" s="1"/>
      <c r="B18" s="52">
        <f>ROW(B18) - ROW($B$9)</f>
        <v>9</v>
      </c>
      <c r="C18" s="55" t="s">
        <v>11</v>
      </c>
      <c r="D18" s="36" t="s">
        <v>24</v>
      </c>
      <c r="E18" s="36" t="s">
        <v>40</v>
      </c>
      <c r="F18" s="37" t="s">
        <v>90</v>
      </c>
      <c r="G18" s="36" t="s">
        <v>53</v>
      </c>
      <c r="H18" s="36" t="s">
        <v>95</v>
      </c>
      <c r="I18" s="36" t="s">
        <v>76</v>
      </c>
      <c r="J18" s="36"/>
      <c r="K18" s="36">
        <v>1</v>
      </c>
      <c r="L18" s="36">
        <f>K18*5</f>
        <v>5</v>
      </c>
      <c r="M18" s="63" t="s">
        <v>106</v>
      </c>
      <c r="N18" s="58" t="s">
        <v>95</v>
      </c>
      <c r="O18" s="58" t="s">
        <v>95</v>
      </c>
      <c r="P18" s="36"/>
    </row>
    <row r="19" spans="1:16" ht="36" x14ac:dyDescent="0.25">
      <c r="A19" s="1"/>
      <c r="B19" s="54">
        <f t="shared" si="0"/>
        <v>10</v>
      </c>
      <c r="C19" s="53" t="s">
        <v>12</v>
      </c>
      <c r="D19" s="37" t="s">
        <v>25</v>
      </c>
      <c r="E19" s="37" t="s">
        <v>41</v>
      </c>
      <c r="F19" s="37" t="s">
        <v>54</v>
      </c>
      <c r="G19" s="37" t="s">
        <v>64</v>
      </c>
      <c r="H19" s="37" t="s">
        <v>95</v>
      </c>
      <c r="I19" s="37" t="s">
        <v>77</v>
      </c>
      <c r="J19" s="37"/>
      <c r="K19" s="37">
        <v>1</v>
      </c>
      <c r="L19" s="37">
        <f t="shared" ref="L19" si="7">K19*5</f>
        <v>5</v>
      </c>
      <c r="M19" s="63" t="s">
        <v>106</v>
      </c>
      <c r="N19" s="58" t="s">
        <v>95</v>
      </c>
      <c r="O19" s="58" t="s">
        <v>95</v>
      </c>
      <c r="P19" s="37"/>
    </row>
    <row r="20" spans="1:16" x14ac:dyDescent="0.25">
      <c r="A20" s="1"/>
      <c r="B20" s="52">
        <f>ROW(B20) - ROW($B$9)</f>
        <v>11</v>
      </c>
      <c r="C20" s="55" t="s">
        <v>13</v>
      </c>
      <c r="D20" s="36" t="s">
        <v>26</v>
      </c>
      <c r="E20" s="36" t="s">
        <v>42</v>
      </c>
      <c r="F20" s="36" t="s">
        <v>55</v>
      </c>
      <c r="G20" s="36" t="s">
        <v>65</v>
      </c>
      <c r="H20" s="36" t="s">
        <v>95</v>
      </c>
      <c r="I20" s="36" t="s">
        <v>71</v>
      </c>
      <c r="J20" s="36" t="s">
        <v>85</v>
      </c>
      <c r="K20" s="36">
        <v>4</v>
      </c>
      <c r="L20" s="36">
        <f>K20*5</f>
        <v>20</v>
      </c>
      <c r="M20" s="62" t="s">
        <v>104</v>
      </c>
      <c r="N20" s="58">
        <v>0.28799999999999998</v>
      </c>
      <c r="O20" s="58">
        <f>N20*L20</f>
        <v>5.76</v>
      </c>
      <c r="P20" s="36"/>
    </row>
    <row r="21" spans="1:16" x14ac:dyDescent="0.25">
      <c r="A21" s="1"/>
      <c r="B21" s="54">
        <f t="shared" si="0"/>
        <v>12</v>
      </c>
      <c r="C21" s="53" t="s">
        <v>13</v>
      </c>
      <c r="D21" s="37" t="s">
        <v>27</v>
      </c>
      <c r="E21" s="37" t="s">
        <v>43</v>
      </c>
      <c r="F21" s="37" t="s">
        <v>56</v>
      </c>
      <c r="G21" s="37" t="s">
        <v>66</v>
      </c>
      <c r="H21" s="37" t="s">
        <v>95</v>
      </c>
      <c r="I21" s="37" t="s">
        <v>78</v>
      </c>
      <c r="J21" s="37" t="s">
        <v>86</v>
      </c>
      <c r="K21" s="37">
        <v>1</v>
      </c>
      <c r="L21" s="37">
        <f t="shared" ref="L21" si="8">K21*5</f>
        <v>5</v>
      </c>
      <c r="M21" s="62" t="s">
        <v>104</v>
      </c>
      <c r="N21" s="59">
        <v>0.1</v>
      </c>
      <c r="O21" s="59">
        <f t="shared" ref="O21" si="9">N21*L21</f>
        <v>0.5</v>
      </c>
      <c r="P21" s="37"/>
    </row>
    <row r="22" spans="1:16" x14ac:dyDescent="0.25">
      <c r="A22" s="1"/>
      <c r="B22" s="52">
        <f>ROW(B22) - ROW($B$9)</f>
        <v>13</v>
      </c>
      <c r="C22" s="53" t="s">
        <v>13</v>
      </c>
      <c r="D22" s="36" t="s">
        <v>28</v>
      </c>
      <c r="E22" s="36" t="s">
        <v>44</v>
      </c>
      <c r="F22" s="36" t="s">
        <v>56</v>
      </c>
      <c r="G22" s="36" t="s">
        <v>67</v>
      </c>
      <c r="H22" s="36" t="s">
        <v>95</v>
      </c>
      <c r="I22" s="36" t="s">
        <v>71</v>
      </c>
      <c r="J22" s="36" t="s">
        <v>87</v>
      </c>
      <c r="K22" s="36">
        <v>1</v>
      </c>
      <c r="L22" s="36">
        <f>K22*5</f>
        <v>5</v>
      </c>
      <c r="M22" s="62" t="s">
        <v>104</v>
      </c>
      <c r="N22" s="58">
        <v>0.1</v>
      </c>
      <c r="O22" s="58">
        <f>N22*L22</f>
        <v>0.5</v>
      </c>
      <c r="P22" s="36"/>
    </row>
    <row r="23" spans="1:16" ht="30" x14ac:dyDescent="0.25">
      <c r="A23" s="1"/>
      <c r="B23" s="54">
        <f t="shared" si="0"/>
        <v>14</v>
      </c>
      <c r="C23" s="53" t="s">
        <v>13</v>
      </c>
      <c r="D23" s="37" t="s">
        <v>29</v>
      </c>
      <c r="E23" s="37" t="s">
        <v>45</v>
      </c>
      <c r="F23" s="37" t="s">
        <v>56</v>
      </c>
      <c r="G23" s="37" t="s">
        <v>68</v>
      </c>
      <c r="H23" s="37" t="s">
        <v>95</v>
      </c>
      <c r="I23" s="37" t="s">
        <v>79</v>
      </c>
      <c r="J23" s="37" t="s">
        <v>88</v>
      </c>
      <c r="K23" s="37">
        <v>1</v>
      </c>
      <c r="L23" s="37">
        <f t="shared" ref="L23" si="10">K23*5</f>
        <v>5</v>
      </c>
      <c r="M23" s="63" t="s">
        <v>106</v>
      </c>
      <c r="N23" s="58" t="s">
        <v>95</v>
      </c>
      <c r="O23" s="58" t="s">
        <v>95</v>
      </c>
      <c r="P23" s="37"/>
    </row>
    <row r="24" spans="1:16" ht="30" x14ac:dyDescent="0.25">
      <c r="A24" s="1"/>
      <c r="B24" s="52">
        <f>ROW(B24) - ROW($B$9)</f>
        <v>15</v>
      </c>
      <c r="C24" s="55" t="s">
        <v>14</v>
      </c>
      <c r="D24" s="57" t="s">
        <v>30</v>
      </c>
      <c r="E24" s="57" t="s">
        <v>46</v>
      </c>
      <c r="F24" s="57" t="s">
        <v>90</v>
      </c>
      <c r="G24" s="57" t="s">
        <v>14</v>
      </c>
      <c r="H24" s="36" t="s">
        <v>95</v>
      </c>
      <c r="I24" s="57" t="s">
        <v>95</v>
      </c>
      <c r="J24" s="57" t="s">
        <v>95</v>
      </c>
      <c r="K24" s="57">
        <v>1</v>
      </c>
      <c r="L24" s="57">
        <f>K24*5</f>
        <v>5</v>
      </c>
      <c r="M24" s="63" t="s">
        <v>106</v>
      </c>
      <c r="N24" s="58" t="s">
        <v>95</v>
      </c>
      <c r="O24" s="58" t="s">
        <v>95</v>
      </c>
      <c r="P24" s="36"/>
    </row>
    <row r="25" spans="1:16" ht="36" x14ac:dyDescent="0.25">
      <c r="A25" s="1"/>
      <c r="B25" s="54">
        <f t="shared" si="0"/>
        <v>16</v>
      </c>
      <c r="C25" s="53" t="s">
        <v>91</v>
      </c>
      <c r="D25" s="37" t="s">
        <v>31</v>
      </c>
      <c r="E25" s="37" t="s">
        <v>47</v>
      </c>
      <c r="F25" s="36" t="s">
        <v>90</v>
      </c>
      <c r="G25" s="37" t="s">
        <v>69</v>
      </c>
      <c r="H25" s="37" t="s">
        <v>95</v>
      </c>
      <c r="I25" s="37" t="s">
        <v>80</v>
      </c>
      <c r="J25" s="37" t="s">
        <v>95</v>
      </c>
      <c r="K25" s="37">
        <v>3</v>
      </c>
      <c r="L25" s="37">
        <f t="shared" ref="L25:L26" si="11">K25*5</f>
        <v>15</v>
      </c>
      <c r="M25" s="63" t="s">
        <v>106</v>
      </c>
      <c r="N25" s="58" t="s">
        <v>95</v>
      </c>
      <c r="O25" s="58" t="s">
        <v>95</v>
      </c>
      <c r="P25" s="37"/>
    </row>
    <row r="26" spans="1:16" ht="36.75" thickBot="1" x14ac:dyDescent="0.3">
      <c r="A26" s="1"/>
      <c r="B26" s="54">
        <f t="shared" si="0"/>
        <v>17</v>
      </c>
      <c r="C26" s="53" t="s">
        <v>107</v>
      </c>
      <c r="D26" s="37" t="s">
        <v>95</v>
      </c>
      <c r="E26" s="37" t="s">
        <v>108</v>
      </c>
      <c r="F26" s="36" t="s">
        <v>95</v>
      </c>
      <c r="G26" s="37" t="s">
        <v>109</v>
      </c>
      <c r="H26" s="69" t="s">
        <v>95</v>
      </c>
      <c r="I26" s="37" t="s">
        <v>110</v>
      </c>
      <c r="J26" s="37" t="s">
        <v>95</v>
      </c>
      <c r="K26" s="37">
        <v>1</v>
      </c>
      <c r="L26" s="37">
        <f t="shared" si="11"/>
        <v>5</v>
      </c>
      <c r="M26" s="63" t="s">
        <v>106</v>
      </c>
      <c r="N26" s="58" t="s">
        <v>95</v>
      </c>
      <c r="O26" s="58" t="s">
        <v>95</v>
      </c>
      <c r="P26" s="70"/>
    </row>
    <row r="27" spans="1:16" ht="19.5" thickBot="1" x14ac:dyDescent="0.3">
      <c r="A27" s="1"/>
      <c r="B27" s="31"/>
      <c r="C27" s="46"/>
      <c r="D27" s="32"/>
      <c r="E27" s="33"/>
      <c r="F27" s="34"/>
      <c r="G27" s="35"/>
      <c r="H27" s="35"/>
      <c r="I27" s="34"/>
      <c r="J27" s="35"/>
      <c r="K27" s="35"/>
      <c r="L27" s="67" t="s">
        <v>101</v>
      </c>
      <c r="M27" s="68"/>
      <c r="N27" s="68"/>
      <c r="O27" s="60">
        <f>SUM(O10:O25)</f>
        <v>12.27</v>
      </c>
      <c r="P27" s="39"/>
    </row>
    <row r="28" spans="1:16" ht="19.5" thickBot="1" x14ac:dyDescent="0.3">
      <c r="A28" s="1"/>
      <c r="B28" s="24"/>
      <c r="C28" s="47"/>
      <c r="D28" s="8"/>
      <c r="E28" s="9"/>
      <c r="F28" s="9"/>
      <c r="G28" s="9"/>
      <c r="H28" s="9"/>
      <c r="I28" s="9"/>
      <c r="J28" s="9"/>
      <c r="K28" s="9"/>
      <c r="L28" s="67" t="s">
        <v>102</v>
      </c>
      <c r="M28" s="68"/>
      <c r="N28" s="68"/>
      <c r="O28" s="61">
        <f>O27/5</f>
        <v>2.4539999999999997</v>
      </c>
      <c r="P28" s="40"/>
    </row>
  </sheetData>
  <mergeCells count="4">
    <mergeCell ref="J1:P1"/>
    <mergeCell ref="P3:P8"/>
    <mergeCell ref="L27:N27"/>
    <mergeCell ref="L28:N28"/>
  </mergeCells>
  <hyperlinks>
    <hyperlink ref="M10" r:id="rId1"/>
    <hyperlink ref="M11" r:id="rId2"/>
    <hyperlink ref="M12" r:id="rId3"/>
    <hyperlink ref="M13" r:id="rId4"/>
    <hyperlink ref="M20" r:id="rId5"/>
    <hyperlink ref="M21" r:id="rId6"/>
    <hyperlink ref="M22" r:id="rId7"/>
  </hyperlink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2023-07-20T14:48:40Z</dcterms:modified>
</cp:coreProperties>
</file>