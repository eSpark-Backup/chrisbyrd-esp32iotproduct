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90" i="1" l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5" i="1"/>
  <c r="O13" i="1"/>
  <c r="O12" i="1"/>
  <c r="O1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91" i="1" l="1"/>
  <c r="O92" i="1" s="1"/>
</calcChain>
</file>

<file path=xl/sharedStrings.xml><?xml version="1.0" encoding="utf-8"?>
<sst xmlns="http://schemas.openxmlformats.org/spreadsheetml/2006/main" count="744" uniqueCount="417">
  <si>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</si>
  <si>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</si>
  <si>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</si>
  <si>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</si>
  <si>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</si>
  <si>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</si>
  <si>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</si>
  <si>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</si>
  <si>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</si>
  <si>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</si>
  <si>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</si>
  <si>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</si>
  <si>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</si>
  <si>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</si>
  <si>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</si>
  <si>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</si>
  <si>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</si>
  <si>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</si>
  <si>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</si>
  <si>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</si>
  <si>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</si>
  <si>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</si>
  <si>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</si>
  <si>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</si>
  <si>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</si>
  <si>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</si>
  <si>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</si>
  <si>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</si>
  <si>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</si>
  <si>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</si>
  <si>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</si>
  <si>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</si>
  <si>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</si>
  <si>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</si>
  <si>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</si>
  <si>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</si>
  <si>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</si>
  <si>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</si>
  <si>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</si>
  <si>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</si>
  <si>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</si>
  <si>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</si>
  <si>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</si>
  <si>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</si>
  <si>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</si>
  <si>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</si>
  <si>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</si>
  <si>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</si>
  <si>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</si>
  <si>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</si>
  <si>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</si>
  <si>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</si>
  <si>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</si>
  <si>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</si>
  <si>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</si>
  <si>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</si>
  <si>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</si>
  <si>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</si>
  <si>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</si>
  <si>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</si>
  <si>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</si>
  <si>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</si>
  <si>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</si>
  <si>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</si>
  <si>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</si>
  <si>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</si>
  <si>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R6, R8, R79, R80, R81, R85, R86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</si>
  <si>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</si>
  <si>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</si>
  <si>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</si>
  <si>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</si>
  <si>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</si>
  <si>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</si>
  <si>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</si>
  <si>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</si>
  <si>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</si>
  <si>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</si>
  <si>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</si>
  <si>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</si>
  <si>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</si>
  <si>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</si>
  <si>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</si>
  <si>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</si>
  <si>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</si>
  <si>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</si>
  <si>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</si>
  <si>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</si>
  <si>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</si>
  <si>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</si>
  <si>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</si>
  <si>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</si>
  <si>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</si>
  <si>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</si>
  <si>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</si>
  <si>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</si>
  <si>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</si>
  <si>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</si>
  <si>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</si>
  <si>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</si>
  <si>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</si>
  <si>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</si>
  <si>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</si>
  <si>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</si>
  <si>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</si>
  <si>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</si>
  <si>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</si>
  <si>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</si>
  <si>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</si>
  <si>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</si>
  <si>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</si>
  <si>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</si>
  <si>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</si>
  <si>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</si>
  <si>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</si>
  <si>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</si>
  <si>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</si>
  <si>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</si>
  <si>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</si>
  <si>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</si>
  <si>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</si>
  <si>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</si>
  <si>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</si>
  <si>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</si>
  <si>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</si>
  <si>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</si>
  <si>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</si>
  <si>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</si>
  <si>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</si>
  <si>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</si>
  <si>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CONN HEADER SMD 11POS 1.25MM</t>
  </si>
  <si>
    <t>1x6P SH 1 1mm 6 SMD,P=1mm Wire To Board / Wire To Wire Connector ROHS</t>
  </si>
  <si>
    <t>1 Inner bore SMA Board Edge Bend -55℃~+155℃ 50Ω Plugin RF Connectors / Coaxial Connectors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</si>
  <si>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</si>
  <si>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</si>
  <si>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</si>
  <si>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</si>
  <si>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</si>
  <si>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</si>
  <si>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</si>
  <si>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</si>
  <si>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</si>
  <si>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</si>
  <si>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</si>
  <si>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</si>
  <si>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</si>
  <si>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</si>
  <si>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</si>
  <si>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</si>
  <si>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</si>
  <si>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</si>
  <si>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</si>
  <si>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</si>
  <si>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</si>
  <si>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</si>
  <si>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</si>
  <si>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</si>
  <si>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</si>
  <si>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</si>
  <si>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</si>
  <si>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</si>
  <si>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</si>
  <si>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</si>
  <si>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</si>
  <si>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</si>
  <si>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</si>
  <si>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</si>
  <si>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</si>
  <si>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</si>
  <si>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</si>
  <si>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</si>
  <si>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</si>
  <si>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</si>
  <si>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</si>
  <si>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</si>
  <si>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</si>
  <si>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</si>
  <si>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</si>
  <si>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</si>
  <si>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</si>
  <si>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</si>
  <si>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</si>
  <si>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</si>
  <si>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</si>
  <si>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</si>
  <si>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</si>
  <si>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</si>
  <si>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</si>
  <si>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</si>
  <si>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</si>
  <si>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</si>
  <si>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</si>
  <si>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</si>
  <si>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</si>
  <si>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</si>
  <si>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</si>
  <si>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</si>
  <si>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</si>
  <si>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</si>
  <si>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</si>
  <si>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</si>
  <si>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</si>
  <si>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</si>
  <si>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</si>
  <si>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</si>
  <si>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</si>
  <si>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</si>
  <si>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</si>
  <si>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</si>
  <si>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</si>
  <si>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</si>
  <si>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</si>
  <si>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</si>
  <si>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</si>
  <si>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</si>
  <si>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</si>
  <si>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</si>
  <si>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</si>
  <si>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</si>
  <si>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</si>
  <si>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</si>
  <si>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</si>
  <si>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</si>
  <si>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</si>
  <si>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</si>
  <si>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</si>
  <si>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</si>
  <si>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</si>
  <si>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</si>
  <si>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</si>
  <si>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TAJD227K010RNJV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</si>
  <si>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</si>
  <si>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</si>
  <si>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</si>
  <si>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</si>
  <si>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</si>
  <si>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</si>
  <si>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</si>
  <si>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</si>
  <si>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</si>
  <si>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</si>
  <si>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</si>
  <si>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</si>
  <si>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</si>
  <si>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</si>
  <si>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</si>
  <si>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</si>
  <si>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</si>
  <si>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</si>
  <si>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</si>
  <si>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</si>
  <si>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53398-1171</t>
  </si>
  <si>
    <t>C145963</t>
  </si>
  <si>
    <t>HJ-SMA508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</si>
  <si>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</si>
  <si>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</si>
  <si>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</si>
  <si>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</si>
  <si>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</si>
  <si>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</si>
  <si>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</si>
  <si>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</si>
  <si>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</si>
  <si>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</si>
  <si>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</si>
  <si>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</si>
  <si>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</si>
  <si>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</si>
  <si>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</si>
  <si>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</si>
  <si>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</si>
  <si>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</si>
  <si>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</si>
  <si>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</si>
  <si>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</si>
  <si>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</si>
  <si>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</si>
  <si>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</si>
  <si>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</si>
  <si>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</si>
  <si>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</si>
  <si>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</si>
  <si>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</si>
  <si>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</si>
  <si>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</si>
  <si>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</si>
  <si>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</si>
  <si>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</si>
  <si>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</si>
  <si>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</si>
  <si>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</si>
  <si>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</si>
  <si>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</si>
  <si>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</si>
  <si>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</si>
  <si>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</si>
  <si>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</si>
  <si>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</si>
  <si>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</si>
  <si>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</si>
  <si>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</si>
  <si>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</si>
  <si>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</si>
  <si>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</si>
  <si>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</si>
  <si>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</si>
  <si>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</si>
  <si>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</si>
  <si>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</si>
  <si>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</si>
  <si>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</si>
  <si>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</si>
  <si>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</si>
  <si>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</si>
  <si>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</si>
  <si>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</si>
  <si>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Molex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</si>
  <si>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</si>
  <si>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</si>
  <si>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</si>
  <si>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</si>
  <si>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</si>
  <si>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</si>
  <si>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</si>
  <si>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</si>
  <si>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</si>
  <si>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</si>
  <si>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</si>
  <si>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</si>
  <si>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</si>
  <si>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</si>
  <si>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</si>
  <si>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</si>
  <si>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</si>
  <si>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</si>
  <si>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</si>
  <si>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</si>
  <si>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</si>
  <si>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</si>
  <si>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</si>
  <si>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</si>
  <si>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</si>
  <si>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</si>
  <si>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</si>
  <si>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</si>
  <si>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</si>
  <si>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</si>
  <si>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</si>
  <si>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</si>
  <si>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</si>
  <si>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</si>
  <si>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</si>
  <si>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</si>
  <si>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</si>
  <si>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</si>
  <si>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</si>
  <si>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</si>
  <si>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</si>
  <si>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</si>
  <si>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</si>
  <si>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</si>
  <si>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</si>
  <si>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</si>
  <si>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</si>
  <si>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</si>
  <si>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</si>
  <si>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</si>
  <si>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</si>
  <si>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</si>
  <si>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</si>
  <si>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</si>
  <si>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</si>
  <si>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</si>
  <si>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</si>
  <si>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</si>
  <si>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</si>
  <si>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</si>
  <si>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</si>
  <si>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</si>
  <si>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</si>
  <si>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</si>
  <si>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Wire To Board Connector</t>
  </si>
  <si>
    <t>UFL Connector</t>
  </si>
  <si>
    <t>Relay</t>
  </si>
  <si>
    <t>Test Point</t>
  </si>
  <si>
    <t>P1, P2, P3, P4, P5, P6, P7, P8, P9, P10</t>
  </si>
  <si>
    <t>Mosfet</t>
  </si>
  <si>
    <t>Alternate Part Number</t>
  </si>
  <si>
    <t>GRM155R61H105KE05D</t>
  </si>
  <si>
    <t>--</t>
  </si>
  <si>
    <t>RT0402BRE075K1L</t>
  </si>
  <si>
    <t>RC0201FR-071KL</t>
  </si>
  <si>
    <t>RC-01W471JT</t>
  </si>
  <si>
    <t>0402WGJ0220TCE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</si>
  <si>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</si>
  <si>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</si>
  <si>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</si>
  <si>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</si>
  <si>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</si>
  <si>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</si>
  <si>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</si>
  <si>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</si>
  <si>
    <t>RELAY GEN PURPOSE SPDT 3A 5V</t>
  </si>
  <si>
    <t>J102K1CS35VDC.20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</si>
  <si>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</si>
  <si>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</si>
  <si>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</si>
  <si>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</si>
  <si>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</si>
  <si>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</si>
  <si>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</si>
  <si>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3.579545MHz 20pF ±30ppm HC-49S-SMD Crystals ROHS</t>
  </si>
  <si>
    <t>HC-49S-SMD</t>
  </si>
  <si>
    <t>TAXM3.579M2ILFBET2T</t>
  </si>
  <si>
    <t>CIT Relay &amp; Switch</t>
  </si>
  <si>
    <t>TAE</t>
  </si>
  <si>
    <t>Digikey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</si>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</sst>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7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6" fillId="3" borderId="19" xfId="0" applyFont="1" applyFill="1" applyBorder="1" applyAlignment="1">
      <alignment vertical="center" wrapText="1"/>
    </xf>
    <xf numFmtId="0" fontId="16" fillId="3" borderId="18" xfId="0" applyFont="1" applyFill="1" applyBorder="1" applyAlignment="1">
      <alignment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22" fillId="3" borderId="3" xfId="0" applyFont="1" applyFill="1" applyBorder="1" applyAlignment="1" applyProtection="1">
      <alignment horizontal="center" vertical="top"/>
      <protection locked="0"/>
    </xf>
    <xf numFmtId="0" fontId="16" fillId="4" borderId="17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1" fillId="0" borderId="16" xfId="1" applyBorder="1" applyAlignment="1">
      <alignment horizontal="center" vertical="center"/>
    </xf>
    <xf numFmtId="0" fontId="21" fillId="0" borderId="16" xfId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digikey.com/en/products/detail/yageo/CC0402KRX7R9BB103/2103087?s=N4IgTCBcDaIMJwAwBZFgNICUAaB2TAnAEJECMiAzCALoC%2BQA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" Type="http://schemas.openxmlformats.org/officeDocument/2006/relationships/hyperlink" Target="https://www.digikey.com/en/products/detail/yageo/CC0603JRNPO9BN472/11491327?s=N4IgTCBcDaIMJwAwDZEGYBSAlAcgBQHkBOAIRwBYB2CAXQF8g" TargetMode="External"/><Relationship Id="rId6" Type="http://schemas.openxmlformats.org/officeDocument/2006/relationships/hyperlink" Target="https://www.digikey.com/en/products/detail/kyocera-avx/TAJB107M010RNJ/1469629" TargetMode="External"/><Relationship Id="rId5" Type="http://schemas.openxmlformats.org/officeDocument/2006/relationships/hyperlink" Target="https://www.digikey.com/en/products/detail/kyocera-avx/TAJE337M016RNJ/7536095?s=N4IgTCBcDaICoEEBSBRAzGg7AWQAwEYA2AJQDkkQBdAXyA" TargetMode="External"/><Relationship Id="rId4" Type="http://schemas.openxmlformats.org/officeDocument/2006/relationships/hyperlink" Target="https://www.digikey.com/en/products/detail/kyocera-avx/TAJD227K010RNJV/11201781?s=N4IgTCBcDaICoEEBSARMYDsBpADARhwCUA5JANR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92"/>
  <sheetViews>
    <sheetView tabSelected="1" topLeftCell="B6" workbookViewId="0">
      <selection activeCell="B29" sqref="B2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1"/>
      <c r="K1" s="61"/>
      <c r="L1" s="61"/>
      <c r="M1" s="61"/>
      <c r="N1" s="61"/>
      <c r="O1" s="61"/>
      <c r="P1" s="61"/>
    </row>
    <row r="2" spans="1:16" ht="32.25" thickBot="1" x14ac:dyDescent="0.3">
      <c r="A2" s="1"/>
      <c r="B2" s="20"/>
      <c r="C2" s="33"/>
      <c r="D2" s="10" t="s">
        <v>0</v>
      </c>
      <c r="E2" s="10"/>
      <c r="F2" s="39" t="s">
        <v>376</v>
      </c>
      <c r="G2" s="11"/>
      <c r="H2" s="11"/>
      <c r="I2" s="3"/>
      <c r="J2" s="3"/>
      <c r="K2" s="3"/>
      <c r="L2" s="3"/>
      <c r="M2" s="3"/>
      <c r="N2" s="3"/>
      <c r="O2" s="3"/>
      <c r="P2" s="32"/>
    </row>
    <row r="3" spans="1:16" x14ac:dyDescent="0.25">
      <c r="A3" s="1"/>
      <c r="B3" s="21"/>
      <c r="C3" s="34"/>
      <c r="D3" s="12" t="s">
        <v>1</v>
      </c>
      <c r="E3" s="12"/>
      <c r="F3" s="40" t="s">
        <v>377</v>
      </c>
      <c r="G3" s="12"/>
      <c r="H3" s="12"/>
      <c r="I3" s="4"/>
      <c r="J3" s="4"/>
      <c r="K3" s="4"/>
      <c r="L3" s="4"/>
      <c r="M3" s="4"/>
      <c r="N3" s="4"/>
      <c r="O3" s="4"/>
      <c r="P3" s="62"/>
    </row>
    <row r="4" spans="1:16" x14ac:dyDescent="0.25">
      <c r="A4" s="1"/>
      <c r="B4" s="21"/>
      <c r="C4" s="34"/>
      <c r="D4" s="12" t="s">
        <v>2</v>
      </c>
      <c r="E4" s="12"/>
      <c r="F4" s="41" t="s">
        <v>377</v>
      </c>
      <c r="G4" s="13"/>
      <c r="H4" s="13"/>
      <c r="I4" s="6"/>
      <c r="J4" s="6"/>
      <c r="K4" s="6"/>
      <c r="L4" s="5"/>
      <c r="M4" s="5"/>
      <c r="N4" s="5"/>
      <c r="O4" s="5"/>
      <c r="P4" s="63"/>
    </row>
    <row r="5" spans="1:16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5"/>
      <c r="N5" s="5"/>
      <c r="O5" s="5"/>
      <c r="P5" s="63"/>
    </row>
    <row r="6" spans="1:16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63"/>
    </row>
    <row r="7" spans="1:16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63"/>
    </row>
    <row r="8" spans="1:16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63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100</v>
      </c>
      <c r="F9" s="29" t="s">
        <v>177</v>
      </c>
      <c r="G9" s="29" t="s">
        <v>225</v>
      </c>
      <c r="H9" s="29" t="s">
        <v>386</v>
      </c>
      <c r="I9" s="29" t="s">
        <v>293</v>
      </c>
      <c r="J9" s="29" t="s">
        <v>393</v>
      </c>
      <c r="K9" s="29" t="s">
        <v>375</v>
      </c>
      <c r="L9" s="91" t="s">
        <v>394</v>
      </c>
      <c r="M9" s="29" t="s">
        <v>395</v>
      </c>
      <c r="N9" s="92" t="s">
        <v>396</v>
      </c>
      <c r="O9" s="29" t="s">
        <v>397</v>
      </c>
      <c r="P9" s="29" t="s">
        <v>398</v>
      </c>
    </row>
    <row r="10" spans="1:16" x14ac:dyDescent="0.25">
      <c r="A10" s="1"/>
      <c r="B10" s="66">
        <f>ROW(B10) - ROW($B$9)</f>
        <v>1</v>
      </c>
      <c r="C10" s="43" t="s">
        <v>337</v>
      </c>
      <c r="D10" s="44" t="s">
        <v>24</v>
      </c>
      <c r="E10" s="44" t="s">
        <v>378</v>
      </c>
      <c r="F10" s="44" t="s">
        <v>178</v>
      </c>
      <c r="G10" s="44" t="s">
        <v>337</v>
      </c>
      <c r="H10" s="52" t="s">
        <v>378</v>
      </c>
      <c r="I10" s="52" t="s">
        <v>378</v>
      </c>
      <c r="J10" s="44" t="s">
        <v>378</v>
      </c>
      <c r="K10" s="44">
        <v>1</v>
      </c>
      <c r="L10" s="80">
        <f>K10*5</f>
        <v>5</v>
      </c>
      <c r="M10" s="44" t="s">
        <v>378</v>
      </c>
      <c r="N10" s="93" t="s">
        <v>378</v>
      </c>
      <c r="O10" s="52" t="s">
        <v>378</v>
      </c>
      <c r="P10" s="30"/>
    </row>
    <row r="11" spans="1:16" x14ac:dyDescent="0.25">
      <c r="A11" s="1"/>
      <c r="B11" s="67">
        <f t="shared" ref="B11:B89" si="0">ROW(B11) - ROW($B$9)</f>
        <v>2</v>
      </c>
      <c r="C11" s="45" t="s">
        <v>7</v>
      </c>
      <c r="D11" s="31" t="s">
        <v>25</v>
      </c>
      <c r="E11" s="31" t="s">
        <v>101</v>
      </c>
      <c r="F11" s="31" t="s">
        <v>179</v>
      </c>
      <c r="G11" s="31" t="s">
        <v>226</v>
      </c>
      <c r="H11" s="31" t="s">
        <v>378</v>
      </c>
      <c r="I11" s="31" t="s">
        <v>294</v>
      </c>
      <c r="J11" s="31" t="s">
        <v>338</v>
      </c>
      <c r="K11" s="31">
        <v>1</v>
      </c>
      <c r="L11" s="79">
        <f t="shared" ref="L11" si="1">K11*5</f>
        <v>5</v>
      </c>
      <c r="M11" s="54" t="s">
        <v>415</v>
      </c>
      <c r="N11" s="85">
        <v>0.48</v>
      </c>
      <c r="O11" s="55">
        <f t="shared" ref="O11" si="2">N11*L11</f>
        <v>2.4</v>
      </c>
      <c r="P11" s="31"/>
    </row>
    <row r="12" spans="1:16" ht="36" x14ac:dyDescent="0.25">
      <c r="A12" s="1"/>
      <c r="B12" s="66">
        <f>ROW(B12) - ROW($B$9)</f>
        <v>3</v>
      </c>
      <c r="C12" s="43" t="s">
        <v>7</v>
      </c>
      <c r="D12" s="30" t="s">
        <v>26</v>
      </c>
      <c r="E12" s="30" t="s">
        <v>102</v>
      </c>
      <c r="F12" s="30" t="s">
        <v>180</v>
      </c>
      <c r="G12" s="30" t="s">
        <v>227</v>
      </c>
      <c r="H12" s="30" t="s">
        <v>378</v>
      </c>
      <c r="I12" s="30" t="s">
        <v>295</v>
      </c>
      <c r="J12" s="30" t="s">
        <v>339</v>
      </c>
      <c r="K12" s="30">
        <v>25</v>
      </c>
      <c r="L12" s="78">
        <f>K12*5</f>
        <v>125</v>
      </c>
      <c r="M12" s="96" t="s">
        <v>415</v>
      </c>
      <c r="N12" s="84">
        <v>1.03E-2</v>
      </c>
      <c r="O12" s="56">
        <f>N12*L12</f>
        <v>1.2875000000000001</v>
      </c>
      <c r="P12" s="30"/>
    </row>
    <row r="13" spans="1:16" x14ac:dyDescent="0.25">
      <c r="A13" s="1"/>
      <c r="B13" s="67">
        <f t="shared" si="0"/>
        <v>4</v>
      </c>
      <c r="C13" s="45" t="s">
        <v>7</v>
      </c>
      <c r="D13" s="31" t="s">
        <v>27</v>
      </c>
      <c r="E13" s="31" t="s">
        <v>103</v>
      </c>
      <c r="F13" s="31" t="s">
        <v>180</v>
      </c>
      <c r="G13" s="31" t="s">
        <v>228</v>
      </c>
      <c r="H13" s="31" t="s">
        <v>378</v>
      </c>
      <c r="I13" s="31" t="s">
        <v>294</v>
      </c>
      <c r="J13" s="31" t="s">
        <v>340</v>
      </c>
      <c r="K13" s="31">
        <v>3</v>
      </c>
      <c r="L13" s="79">
        <f t="shared" ref="L13" si="3">K13*5</f>
        <v>15</v>
      </c>
      <c r="M13" s="96" t="s">
        <v>415</v>
      </c>
      <c r="N13" s="85">
        <v>1.6E-2</v>
      </c>
      <c r="O13" s="55">
        <f t="shared" ref="O13" si="4">N13*L13</f>
        <v>0.24</v>
      </c>
      <c r="P13" s="31"/>
    </row>
    <row r="14" spans="1:16" ht="36" x14ac:dyDescent="0.25">
      <c r="A14" s="1"/>
      <c r="B14" s="66">
        <f>ROW(B14) - ROW($B$9)</f>
        <v>5</v>
      </c>
      <c r="C14" s="43" t="s">
        <v>7</v>
      </c>
      <c r="D14" s="30" t="s">
        <v>28</v>
      </c>
      <c r="E14" s="30" t="s">
        <v>104</v>
      </c>
      <c r="F14" s="30" t="s">
        <v>379</v>
      </c>
      <c r="G14" s="30" t="s">
        <v>181</v>
      </c>
      <c r="H14" s="30" t="s">
        <v>378</v>
      </c>
      <c r="I14" s="30" t="s">
        <v>296</v>
      </c>
      <c r="J14" s="30" t="s">
        <v>341</v>
      </c>
      <c r="K14" s="30">
        <v>3</v>
      </c>
      <c r="L14" s="78">
        <f>K14*5</f>
        <v>15</v>
      </c>
      <c r="M14" s="97" t="s">
        <v>416</v>
      </c>
      <c r="N14" s="84" t="s">
        <v>378</v>
      </c>
      <c r="O14" s="56" t="s">
        <v>378</v>
      </c>
      <c r="P14" s="30"/>
    </row>
    <row r="15" spans="1:16" x14ac:dyDescent="0.25">
      <c r="A15" s="1"/>
      <c r="B15" s="67">
        <f t="shared" si="0"/>
        <v>6</v>
      </c>
      <c r="C15" s="45" t="s">
        <v>7</v>
      </c>
      <c r="D15" s="31" t="s">
        <v>29</v>
      </c>
      <c r="E15" s="31" t="s">
        <v>105</v>
      </c>
      <c r="F15" s="31" t="s">
        <v>182</v>
      </c>
      <c r="G15" s="31" t="s">
        <v>229</v>
      </c>
      <c r="H15" s="31" t="s">
        <v>378</v>
      </c>
      <c r="I15" s="31" t="s">
        <v>297</v>
      </c>
      <c r="J15" s="31" t="s">
        <v>342</v>
      </c>
      <c r="K15" s="31">
        <v>2</v>
      </c>
      <c r="L15" s="79">
        <f t="shared" ref="L15" si="5">K15*5</f>
        <v>10</v>
      </c>
      <c r="M15" s="96" t="s">
        <v>415</v>
      </c>
      <c r="N15" s="85">
        <v>0.79600000000000004</v>
      </c>
      <c r="O15" s="55">
        <f t="shared" ref="O15" si="6">N15*L15</f>
        <v>7.9600000000000009</v>
      </c>
      <c r="P15" s="31"/>
    </row>
    <row r="16" spans="1:16" ht="30" x14ac:dyDescent="0.25">
      <c r="A16" s="1"/>
      <c r="B16" s="66">
        <f>ROW(B16) - ROW($B$9)</f>
        <v>7</v>
      </c>
      <c r="C16" s="43" t="s">
        <v>7</v>
      </c>
      <c r="D16" s="30" t="s">
        <v>30</v>
      </c>
      <c r="E16" s="30" t="s">
        <v>106</v>
      </c>
      <c r="F16" s="30" t="s">
        <v>183</v>
      </c>
      <c r="G16" s="30" t="s">
        <v>230</v>
      </c>
      <c r="H16" s="30" t="s">
        <v>378</v>
      </c>
      <c r="I16" s="30" t="s">
        <v>298</v>
      </c>
      <c r="J16" s="30" t="s">
        <v>343</v>
      </c>
      <c r="K16" s="30">
        <v>1</v>
      </c>
      <c r="L16" s="78">
        <f>K16*5</f>
        <v>5</v>
      </c>
      <c r="M16" s="97" t="s">
        <v>416</v>
      </c>
      <c r="N16" s="84" t="s">
        <v>378</v>
      </c>
      <c r="O16" s="56" t="s">
        <v>378</v>
      </c>
      <c r="P16" s="30"/>
    </row>
    <row r="17" spans="1:16" ht="30" x14ac:dyDescent="0.25">
      <c r="A17" s="1"/>
      <c r="B17" s="67">
        <f t="shared" si="0"/>
        <v>8</v>
      </c>
      <c r="C17" s="45" t="s">
        <v>7</v>
      </c>
      <c r="D17" s="31" t="s">
        <v>31</v>
      </c>
      <c r="E17" s="31" t="s">
        <v>107</v>
      </c>
      <c r="F17" s="31" t="s">
        <v>183</v>
      </c>
      <c r="G17" s="31" t="s">
        <v>231</v>
      </c>
      <c r="H17" s="31" t="s">
        <v>378</v>
      </c>
      <c r="I17" s="31" t="s">
        <v>299</v>
      </c>
      <c r="J17" s="31" t="s">
        <v>344</v>
      </c>
      <c r="K17" s="31">
        <v>1</v>
      </c>
      <c r="L17" s="79">
        <f t="shared" ref="L17" si="7">K17*5</f>
        <v>5</v>
      </c>
      <c r="M17" s="97" t="s">
        <v>416</v>
      </c>
      <c r="N17" s="85" t="s">
        <v>378</v>
      </c>
      <c r="O17" s="55" t="s">
        <v>378</v>
      </c>
      <c r="P17" s="31"/>
    </row>
    <row r="18" spans="1:16" x14ac:dyDescent="0.25">
      <c r="A18" s="1"/>
      <c r="B18" s="66">
        <f>ROW(B18) - ROW($B$9)</f>
        <v>9</v>
      </c>
      <c r="C18" s="43" t="s">
        <v>7</v>
      </c>
      <c r="D18" s="30" t="s">
        <v>32</v>
      </c>
      <c r="E18" s="30" t="s">
        <v>108</v>
      </c>
      <c r="F18" s="30" t="s">
        <v>184</v>
      </c>
      <c r="G18" s="30" t="s">
        <v>232</v>
      </c>
      <c r="H18" s="30" t="s">
        <v>378</v>
      </c>
      <c r="I18" s="30" t="s">
        <v>297</v>
      </c>
      <c r="J18" s="30" t="s">
        <v>345</v>
      </c>
      <c r="K18" s="30">
        <v>1</v>
      </c>
      <c r="L18" s="78">
        <f>K18*5</f>
        <v>5</v>
      </c>
      <c r="M18" s="96" t="s">
        <v>415</v>
      </c>
      <c r="N18" s="84">
        <v>3.42</v>
      </c>
      <c r="O18" s="56">
        <f>N18*L18</f>
        <v>17.100000000000001</v>
      </c>
      <c r="P18" s="30"/>
    </row>
    <row r="19" spans="1:16" x14ac:dyDescent="0.25">
      <c r="A19" s="1"/>
      <c r="B19" s="67">
        <f t="shared" si="0"/>
        <v>10</v>
      </c>
      <c r="C19" s="45" t="s">
        <v>7</v>
      </c>
      <c r="D19" s="31" t="s">
        <v>33</v>
      </c>
      <c r="E19" s="31" t="s">
        <v>109</v>
      </c>
      <c r="F19" s="31" t="s">
        <v>185</v>
      </c>
      <c r="G19" s="31" t="s">
        <v>233</v>
      </c>
      <c r="H19" s="31" t="s">
        <v>378</v>
      </c>
      <c r="I19" s="31" t="s">
        <v>297</v>
      </c>
      <c r="J19" s="31" t="s">
        <v>346</v>
      </c>
      <c r="K19" s="31">
        <v>1</v>
      </c>
      <c r="L19" s="79">
        <f t="shared" ref="L19" si="8">K19*5</f>
        <v>5</v>
      </c>
      <c r="M19" s="96" t="s">
        <v>415</v>
      </c>
      <c r="N19" s="85">
        <v>0.68</v>
      </c>
      <c r="O19" s="55">
        <f t="shared" ref="O19" si="9">N19*L19</f>
        <v>3.4000000000000004</v>
      </c>
      <c r="P19" s="31"/>
    </row>
    <row r="20" spans="1:16" x14ac:dyDescent="0.25">
      <c r="A20" s="1"/>
      <c r="B20" s="66">
        <f>ROW(B20) - ROW($B$9)</f>
        <v>11</v>
      </c>
      <c r="C20" s="43" t="s">
        <v>7</v>
      </c>
      <c r="D20" s="30" t="s">
        <v>34</v>
      </c>
      <c r="E20" s="30" t="s">
        <v>110</v>
      </c>
      <c r="F20" s="30" t="s">
        <v>180</v>
      </c>
      <c r="G20" s="44" t="s">
        <v>234</v>
      </c>
      <c r="H20" s="30" t="s">
        <v>387</v>
      </c>
      <c r="I20" s="30" t="s">
        <v>300</v>
      </c>
      <c r="J20" s="30" t="s">
        <v>347</v>
      </c>
      <c r="K20" s="30">
        <v>4</v>
      </c>
      <c r="L20" s="78">
        <f>K20*5</f>
        <v>20</v>
      </c>
      <c r="M20" s="94" t="s">
        <v>415</v>
      </c>
      <c r="N20" s="84"/>
      <c r="O20" s="56">
        <f>N20*L20</f>
        <v>0</v>
      </c>
      <c r="P20" s="30"/>
    </row>
    <row r="21" spans="1:16" x14ac:dyDescent="0.25">
      <c r="A21" s="1"/>
      <c r="B21" s="67">
        <f t="shared" si="0"/>
        <v>12</v>
      </c>
      <c r="C21" s="45" t="s">
        <v>7</v>
      </c>
      <c r="D21" s="31" t="s">
        <v>35</v>
      </c>
      <c r="E21" s="31" t="s">
        <v>111</v>
      </c>
      <c r="F21" s="31" t="s">
        <v>180</v>
      </c>
      <c r="G21" s="31" t="s">
        <v>235</v>
      </c>
      <c r="H21" s="31" t="s">
        <v>378</v>
      </c>
      <c r="I21" s="31" t="s">
        <v>301</v>
      </c>
      <c r="J21" s="31" t="s">
        <v>343</v>
      </c>
      <c r="K21" s="31">
        <v>2</v>
      </c>
      <c r="L21" s="79">
        <f t="shared" ref="L21" si="10">K21*5</f>
        <v>10</v>
      </c>
      <c r="M21" s="94" t="s">
        <v>415</v>
      </c>
      <c r="N21" s="85"/>
      <c r="O21" s="55">
        <f t="shared" ref="O21" si="11">N21*L21</f>
        <v>0</v>
      </c>
      <c r="P21" s="31"/>
    </row>
    <row r="22" spans="1:16" x14ac:dyDescent="0.25">
      <c r="A22" s="1"/>
      <c r="B22" s="66">
        <f>ROW(B22) - ROW($B$9)</f>
        <v>13</v>
      </c>
      <c r="C22" s="43" t="s">
        <v>7</v>
      </c>
      <c r="D22" s="30" t="s">
        <v>36</v>
      </c>
      <c r="E22" s="30" t="s">
        <v>112</v>
      </c>
      <c r="F22" s="30" t="s">
        <v>180</v>
      </c>
      <c r="G22" s="30" t="s">
        <v>236</v>
      </c>
      <c r="H22" s="30" t="s">
        <v>378</v>
      </c>
      <c r="I22" s="30" t="s">
        <v>294</v>
      </c>
      <c r="J22" s="30" t="s">
        <v>348</v>
      </c>
      <c r="K22" s="30">
        <v>2</v>
      </c>
      <c r="L22" s="78">
        <f>K22*5</f>
        <v>10</v>
      </c>
      <c r="M22" s="94" t="s">
        <v>415</v>
      </c>
      <c r="N22" s="84"/>
      <c r="O22" s="56">
        <f>N22*L22</f>
        <v>0</v>
      </c>
      <c r="P22" s="30"/>
    </row>
    <row r="23" spans="1:16" x14ac:dyDescent="0.25">
      <c r="A23" s="1"/>
      <c r="B23" s="67">
        <f t="shared" si="0"/>
        <v>14</v>
      </c>
      <c r="C23" s="45" t="s">
        <v>7</v>
      </c>
      <c r="D23" s="31" t="s">
        <v>37</v>
      </c>
      <c r="E23" s="31" t="s">
        <v>113</v>
      </c>
      <c r="F23" s="31" t="s">
        <v>179</v>
      </c>
      <c r="G23" s="31" t="s">
        <v>237</v>
      </c>
      <c r="H23" s="31" t="s">
        <v>378</v>
      </c>
      <c r="I23" s="31" t="s">
        <v>294</v>
      </c>
      <c r="J23" s="31" t="s">
        <v>349</v>
      </c>
      <c r="K23" s="31">
        <v>3</v>
      </c>
      <c r="L23" s="79">
        <f t="shared" ref="L23" si="12">K23*5</f>
        <v>15</v>
      </c>
      <c r="M23" s="94" t="s">
        <v>415</v>
      </c>
      <c r="N23" s="85"/>
      <c r="O23" s="55">
        <f t="shared" ref="O23" si="13">N23*L23</f>
        <v>0</v>
      </c>
      <c r="P23" s="31"/>
    </row>
    <row r="24" spans="1:16" x14ac:dyDescent="0.25">
      <c r="A24" s="1"/>
      <c r="B24" s="66">
        <f>ROW(B24) - ROW($B$9)</f>
        <v>15</v>
      </c>
      <c r="C24" s="43" t="s">
        <v>8</v>
      </c>
      <c r="D24" s="30" t="s">
        <v>38</v>
      </c>
      <c r="E24" s="30" t="s">
        <v>114</v>
      </c>
      <c r="F24" s="30" t="s">
        <v>186</v>
      </c>
      <c r="G24" s="30" t="s">
        <v>238</v>
      </c>
      <c r="H24" s="30" t="s">
        <v>378</v>
      </c>
      <c r="I24" s="30" t="s">
        <v>302</v>
      </c>
      <c r="J24" s="30" t="s">
        <v>378</v>
      </c>
      <c r="K24" s="30">
        <v>1</v>
      </c>
      <c r="L24" s="78">
        <f>K24*5</f>
        <v>5</v>
      </c>
      <c r="M24" s="94" t="s">
        <v>415</v>
      </c>
      <c r="N24" s="84"/>
      <c r="O24" s="56">
        <f>N24*L24</f>
        <v>0</v>
      </c>
      <c r="P24" s="30"/>
    </row>
    <row r="25" spans="1:16" ht="24" x14ac:dyDescent="0.25">
      <c r="A25" s="1"/>
      <c r="B25" s="67">
        <f t="shared" si="0"/>
        <v>16</v>
      </c>
      <c r="C25" s="45" t="s">
        <v>8</v>
      </c>
      <c r="D25" s="31" t="s">
        <v>39</v>
      </c>
      <c r="E25" s="31" t="s">
        <v>115</v>
      </c>
      <c r="F25" s="31" t="s">
        <v>187</v>
      </c>
      <c r="G25" s="31" t="s">
        <v>239</v>
      </c>
      <c r="H25" s="31" t="s">
        <v>378</v>
      </c>
      <c r="I25" s="31" t="s">
        <v>303</v>
      </c>
      <c r="J25" s="31" t="s">
        <v>378</v>
      </c>
      <c r="K25" s="31">
        <v>1</v>
      </c>
      <c r="L25" s="79">
        <f t="shared" ref="L25" si="14">K25*5</f>
        <v>5</v>
      </c>
      <c r="M25" s="94" t="s">
        <v>415</v>
      </c>
      <c r="N25" s="85"/>
      <c r="O25" s="55">
        <f t="shared" ref="O25" si="15">N25*L25</f>
        <v>0</v>
      </c>
      <c r="P25" s="31"/>
    </row>
    <row r="26" spans="1:16" ht="36" x14ac:dyDescent="0.25">
      <c r="A26" s="1"/>
      <c r="B26" s="66">
        <f>ROW(B26) - ROW($B$9)</f>
        <v>17</v>
      </c>
      <c r="C26" s="43" t="s">
        <v>8</v>
      </c>
      <c r="D26" s="30" t="s">
        <v>40</v>
      </c>
      <c r="E26" s="30" t="s">
        <v>116</v>
      </c>
      <c r="F26" s="30" t="s">
        <v>188</v>
      </c>
      <c r="G26" s="30" t="s">
        <v>240</v>
      </c>
      <c r="H26" s="30" t="s">
        <v>378</v>
      </c>
      <c r="I26" s="30" t="s">
        <v>304</v>
      </c>
      <c r="J26" s="30" t="s">
        <v>378</v>
      </c>
      <c r="K26" s="30">
        <v>1</v>
      </c>
      <c r="L26" s="78">
        <f>K26*5</f>
        <v>5</v>
      </c>
      <c r="M26" s="94" t="s">
        <v>415</v>
      </c>
      <c r="N26" s="84"/>
      <c r="O26" s="56">
        <f>N26*L26</f>
        <v>0</v>
      </c>
      <c r="P26" s="30"/>
    </row>
    <row r="27" spans="1:16" ht="24" x14ac:dyDescent="0.25">
      <c r="A27" s="1"/>
      <c r="B27" s="67">
        <f t="shared" si="0"/>
        <v>18</v>
      </c>
      <c r="C27" s="43" t="s">
        <v>8</v>
      </c>
      <c r="D27" s="31" t="s">
        <v>41</v>
      </c>
      <c r="E27" s="31" t="s">
        <v>117</v>
      </c>
      <c r="F27" s="31" t="s">
        <v>191</v>
      </c>
      <c r="G27" s="31" t="s">
        <v>189</v>
      </c>
      <c r="H27" s="31" t="s">
        <v>378</v>
      </c>
      <c r="I27" s="31" t="s">
        <v>305</v>
      </c>
      <c r="J27" s="31" t="s">
        <v>378</v>
      </c>
      <c r="K27" s="31">
        <v>1</v>
      </c>
      <c r="L27" s="79">
        <f t="shared" ref="L27" si="16">K27*5</f>
        <v>5</v>
      </c>
      <c r="M27" s="94" t="s">
        <v>415</v>
      </c>
      <c r="N27" s="85"/>
      <c r="O27" s="55">
        <f t="shared" ref="O27" si="17">N27*L27</f>
        <v>0</v>
      </c>
      <c r="P27" s="31"/>
    </row>
    <row r="28" spans="1:16" ht="24" x14ac:dyDescent="0.25">
      <c r="A28" s="1"/>
      <c r="B28" s="66">
        <f>ROW(B28) - ROW($B$9)</f>
        <v>19</v>
      </c>
      <c r="C28" s="43" t="s">
        <v>8</v>
      </c>
      <c r="D28" s="30" t="s">
        <v>42</v>
      </c>
      <c r="E28" s="30" t="s">
        <v>118</v>
      </c>
      <c r="F28" s="30" t="s">
        <v>190</v>
      </c>
      <c r="G28" s="30" t="s">
        <v>241</v>
      </c>
      <c r="H28" s="30" t="s">
        <v>378</v>
      </c>
      <c r="I28" s="30" t="s">
        <v>306</v>
      </c>
      <c r="J28" s="30" t="s">
        <v>378</v>
      </c>
      <c r="K28" s="30">
        <v>3</v>
      </c>
      <c r="L28" s="78">
        <f>K28*5</f>
        <v>15</v>
      </c>
      <c r="M28" s="94" t="s">
        <v>415</v>
      </c>
      <c r="N28" s="84"/>
      <c r="O28" s="56">
        <f>N28*L28</f>
        <v>0</v>
      </c>
      <c r="P28" s="30"/>
    </row>
    <row r="29" spans="1:16" ht="36" x14ac:dyDescent="0.25">
      <c r="A29" s="1"/>
      <c r="B29" s="67">
        <f t="shared" si="0"/>
        <v>20</v>
      </c>
      <c r="C29" s="45" t="s">
        <v>8</v>
      </c>
      <c r="D29" s="31" t="s">
        <v>43</v>
      </c>
      <c r="E29" s="31" t="s">
        <v>119</v>
      </c>
      <c r="F29" s="31" t="s">
        <v>191</v>
      </c>
      <c r="G29" s="31" t="s">
        <v>242</v>
      </c>
      <c r="H29" s="31" t="s">
        <v>378</v>
      </c>
      <c r="I29" s="31" t="s">
        <v>307</v>
      </c>
      <c r="J29" s="31" t="s">
        <v>378</v>
      </c>
      <c r="K29" s="31">
        <v>2</v>
      </c>
      <c r="L29" s="79">
        <f t="shared" ref="L29" si="18">K29*5</f>
        <v>10</v>
      </c>
      <c r="M29" s="94" t="s">
        <v>415</v>
      </c>
      <c r="N29" s="85"/>
      <c r="O29" s="55">
        <f t="shared" ref="O29" si="19">N29*L29</f>
        <v>0</v>
      </c>
      <c r="P29" s="31"/>
    </row>
    <row r="30" spans="1:16" x14ac:dyDescent="0.25">
      <c r="A30" s="1"/>
      <c r="B30" s="66">
        <f>ROW(B30) - ROW($B$9)</f>
        <v>21</v>
      </c>
      <c r="C30" s="43" t="s">
        <v>8</v>
      </c>
      <c r="D30" s="30" t="s">
        <v>44</v>
      </c>
      <c r="E30" s="30" t="s">
        <v>120</v>
      </c>
      <c r="F30" s="30" t="s">
        <v>192</v>
      </c>
      <c r="G30" s="30" t="s">
        <v>243</v>
      </c>
      <c r="H30" s="30" t="s">
        <v>378</v>
      </c>
      <c r="I30" s="30" t="s">
        <v>308</v>
      </c>
      <c r="J30" s="30" t="s">
        <v>378</v>
      </c>
      <c r="K30" s="30">
        <v>4</v>
      </c>
      <c r="L30" s="78">
        <f>K30*5</f>
        <v>20</v>
      </c>
      <c r="M30" s="94" t="s">
        <v>415</v>
      </c>
      <c r="N30" s="84"/>
      <c r="O30" s="56">
        <f>N30*L30</f>
        <v>0</v>
      </c>
      <c r="P30" s="30"/>
    </row>
    <row r="31" spans="1:16" x14ac:dyDescent="0.25">
      <c r="A31" s="1"/>
      <c r="B31" s="67">
        <f t="shared" si="0"/>
        <v>22</v>
      </c>
      <c r="C31" s="45" t="s">
        <v>8</v>
      </c>
      <c r="D31" s="31" t="s">
        <v>45</v>
      </c>
      <c r="E31" s="31" t="s">
        <v>121</v>
      </c>
      <c r="F31" s="31" t="s">
        <v>187</v>
      </c>
      <c r="G31" s="31" t="s">
        <v>244</v>
      </c>
      <c r="H31" s="31" t="s">
        <v>378</v>
      </c>
      <c r="I31" s="31" t="s">
        <v>309</v>
      </c>
      <c r="J31" s="31" t="s">
        <v>378</v>
      </c>
      <c r="K31" s="31">
        <v>4</v>
      </c>
      <c r="L31" s="79">
        <f t="shared" ref="L31" si="20">K31*5</f>
        <v>20</v>
      </c>
      <c r="M31" s="94" t="s">
        <v>415</v>
      </c>
      <c r="N31" s="85"/>
      <c r="O31" s="55">
        <f t="shared" ref="O31" si="21">N31*L31</f>
        <v>0</v>
      </c>
      <c r="P31" s="31"/>
    </row>
    <row r="32" spans="1:16" x14ac:dyDescent="0.25">
      <c r="A32" s="1"/>
      <c r="B32" s="66">
        <f>ROW(B32) - ROW($B$9)</f>
        <v>23</v>
      </c>
      <c r="C32" s="43" t="s">
        <v>9</v>
      </c>
      <c r="D32" s="30" t="s">
        <v>46</v>
      </c>
      <c r="E32" s="30" t="s">
        <v>122</v>
      </c>
      <c r="F32" s="30" t="s">
        <v>193</v>
      </c>
      <c r="G32" s="30" t="s">
        <v>245</v>
      </c>
      <c r="H32" s="30" t="s">
        <v>378</v>
      </c>
      <c r="I32" s="30" t="s">
        <v>310</v>
      </c>
      <c r="J32" s="30" t="s">
        <v>378</v>
      </c>
      <c r="K32" s="30">
        <v>1</v>
      </c>
      <c r="L32" s="78">
        <f>K32*5</f>
        <v>5</v>
      </c>
      <c r="M32" s="94" t="s">
        <v>415</v>
      </c>
      <c r="N32" s="84"/>
      <c r="O32" s="56">
        <f>N32*L32</f>
        <v>0</v>
      </c>
      <c r="P32" s="30"/>
    </row>
    <row r="33" spans="1:16" ht="24" x14ac:dyDescent="0.25">
      <c r="A33" s="1"/>
      <c r="B33" s="67">
        <f t="shared" si="0"/>
        <v>24</v>
      </c>
      <c r="C33" s="45" t="s">
        <v>9</v>
      </c>
      <c r="D33" s="31" t="s">
        <v>47</v>
      </c>
      <c r="E33" s="31" t="s">
        <v>123</v>
      </c>
      <c r="F33" s="31" t="s">
        <v>194</v>
      </c>
      <c r="G33" s="31" t="s">
        <v>246</v>
      </c>
      <c r="H33" s="31" t="s">
        <v>378</v>
      </c>
      <c r="I33" s="31" t="s">
        <v>311</v>
      </c>
      <c r="J33" s="31" t="s">
        <v>378</v>
      </c>
      <c r="K33" s="31">
        <v>1</v>
      </c>
      <c r="L33" s="79">
        <f t="shared" ref="L33" si="22">K33*5</f>
        <v>5</v>
      </c>
      <c r="M33" s="94" t="s">
        <v>415</v>
      </c>
      <c r="N33" s="85"/>
      <c r="O33" s="55">
        <f t="shared" ref="O33" si="23">N33*L33</f>
        <v>0</v>
      </c>
      <c r="P33" s="31"/>
    </row>
    <row r="34" spans="1:16" ht="24" x14ac:dyDescent="0.25">
      <c r="A34" s="1"/>
      <c r="B34" s="66">
        <f>ROW(B34) - ROW($B$9)</f>
        <v>25</v>
      </c>
      <c r="C34" s="43" t="s">
        <v>9</v>
      </c>
      <c r="D34" s="30" t="s">
        <v>48</v>
      </c>
      <c r="E34" s="30" t="s">
        <v>124</v>
      </c>
      <c r="F34" s="30" t="s">
        <v>195</v>
      </c>
      <c r="G34" s="30" t="s">
        <v>247</v>
      </c>
      <c r="H34" s="30" t="s">
        <v>378</v>
      </c>
      <c r="I34" s="30" t="s">
        <v>312</v>
      </c>
      <c r="J34" s="30" t="s">
        <v>378</v>
      </c>
      <c r="K34" s="30">
        <v>4</v>
      </c>
      <c r="L34" s="78">
        <f>K34*5</f>
        <v>20</v>
      </c>
      <c r="M34" s="94" t="s">
        <v>415</v>
      </c>
      <c r="N34" s="84"/>
      <c r="O34" s="56">
        <f>N34*L34</f>
        <v>0</v>
      </c>
      <c r="P34" s="30"/>
    </row>
    <row r="35" spans="1:16" x14ac:dyDescent="0.25">
      <c r="A35" s="1"/>
      <c r="B35" s="67">
        <f t="shared" si="0"/>
        <v>26</v>
      </c>
      <c r="C35" s="45" t="s">
        <v>10</v>
      </c>
      <c r="D35" s="31" t="s">
        <v>49</v>
      </c>
      <c r="E35" s="31" t="s">
        <v>125</v>
      </c>
      <c r="F35" s="31" t="s">
        <v>196</v>
      </c>
      <c r="G35" s="31" t="s">
        <v>248</v>
      </c>
      <c r="H35" s="53" t="s">
        <v>388</v>
      </c>
      <c r="I35" s="31" t="s">
        <v>295</v>
      </c>
      <c r="J35" s="31" t="s">
        <v>350</v>
      </c>
      <c r="K35" s="31">
        <v>1</v>
      </c>
      <c r="L35" s="79">
        <f t="shared" ref="L35" si="24">K35*5</f>
        <v>5</v>
      </c>
      <c r="M35" s="94" t="s">
        <v>415</v>
      </c>
      <c r="N35" s="85"/>
      <c r="O35" s="55">
        <f t="shared" ref="O35" si="25">N35*L35</f>
        <v>0</v>
      </c>
      <c r="P35" s="31"/>
    </row>
    <row r="36" spans="1:16" ht="48" x14ac:dyDescent="0.25">
      <c r="A36" s="1"/>
      <c r="B36" s="66">
        <f>ROW(B36) - ROW($B$9)</f>
        <v>27</v>
      </c>
      <c r="C36" s="43" t="s">
        <v>11</v>
      </c>
      <c r="D36" s="30" t="s">
        <v>50</v>
      </c>
      <c r="E36" s="30" t="s">
        <v>126</v>
      </c>
      <c r="F36" s="31" t="s">
        <v>379</v>
      </c>
      <c r="G36" s="30" t="s">
        <v>197</v>
      </c>
      <c r="H36" s="30" t="s">
        <v>378</v>
      </c>
      <c r="I36" s="30" t="s">
        <v>313</v>
      </c>
      <c r="J36" s="30" t="s">
        <v>378</v>
      </c>
      <c r="K36" s="30">
        <v>8</v>
      </c>
      <c r="L36" s="78">
        <f>K36*5</f>
        <v>40</v>
      </c>
      <c r="M36" s="94" t="s">
        <v>415</v>
      </c>
      <c r="N36" s="84"/>
      <c r="O36" s="56">
        <f>N36*L36</f>
        <v>0</v>
      </c>
      <c r="P36" s="30"/>
    </row>
    <row r="37" spans="1:16" ht="24" x14ac:dyDescent="0.25">
      <c r="A37" s="1"/>
      <c r="B37" s="67">
        <f t="shared" si="0"/>
        <v>28</v>
      </c>
      <c r="C37" s="45" t="s">
        <v>12</v>
      </c>
      <c r="D37" s="31" t="s">
        <v>51</v>
      </c>
      <c r="E37" s="31" t="s">
        <v>127</v>
      </c>
      <c r="F37" s="31" t="s">
        <v>379</v>
      </c>
      <c r="G37" s="31" t="s">
        <v>249</v>
      </c>
      <c r="H37" s="31" t="s">
        <v>378</v>
      </c>
      <c r="I37" s="31" t="s">
        <v>314</v>
      </c>
      <c r="J37" s="31" t="s">
        <v>378</v>
      </c>
      <c r="K37" s="31">
        <v>1</v>
      </c>
      <c r="L37" s="79">
        <f t="shared" ref="L37" si="26">K37*5</f>
        <v>5</v>
      </c>
      <c r="M37" s="94" t="s">
        <v>415</v>
      </c>
      <c r="N37" s="85"/>
      <c r="O37" s="55">
        <f t="shared" ref="O37" si="27">N37*L37</f>
        <v>0</v>
      </c>
      <c r="P37" s="31"/>
    </row>
    <row r="38" spans="1:16" ht="48" x14ac:dyDescent="0.25">
      <c r="A38" s="1"/>
      <c r="B38" s="66">
        <f>ROW(B38) - ROW($B$9)</f>
        <v>29</v>
      </c>
      <c r="C38" s="43" t="s">
        <v>11</v>
      </c>
      <c r="D38" s="30" t="s">
        <v>52</v>
      </c>
      <c r="E38" s="30" t="s">
        <v>128</v>
      </c>
      <c r="F38" s="31" t="s">
        <v>379</v>
      </c>
      <c r="G38" s="30" t="s">
        <v>198</v>
      </c>
      <c r="H38" s="30" t="s">
        <v>378</v>
      </c>
      <c r="I38" s="30" t="s">
        <v>313</v>
      </c>
      <c r="J38" s="30" t="s">
        <v>378</v>
      </c>
      <c r="K38" s="30">
        <v>4</v>
      </c>
      <c r="L38" s="78">
        <f>K38*5</f>
        <v>20</v>
      </c>
      <c r="M38" s="94" t="s">
        <v>415</v>
      </c>
      <c r="N38" s="84"/>
      <c r="O38" s="56">
        <f>N38*L38</f>
        <v>0</v>
      </c>
      <c r="P38" s="30"/>
    </row>
    <row r="39" spans="1:16" ht="25.5" x14ac:dyDescent="0.25">
      <c r="A39" s="1"/>
      <c r="B39" s="67">
        <f t="shared" si="0"/>
        <v>30</v>
      </c>
      <c r="C39" s="45" t="s">
        <v>380</v>
      </c>
      <c r="D39" s="31" t="s">
        <v>53</v>
      </c>
      <c r="E39" s="31" t="s">
        <v>129</v>
      </c>
      <c r="F39" s="31" t="s">
        <v>379</v>
      </c>
      <c r="G39" s="31" t="s">
        <v>250</v>
      </c>
      <c r="H39" s="31" t="s">
        <v>378</v>
      </c>
      <c r="I39" s="31" t="s">
        <v>315</v>
      </c>
      <c r="J39" s="31" t="s">
        <v>378</v>
      </c>
      <c r="K39" s="31">
        <v>1</v>
      </c>
      <c r="L39" s="79">
        <f t="shared" ref="L39" si="28">K39*5</f>
        <v>5</v>
      </c>
      <c r="M39" s="94" t="s">
        <v>415</v>
      </c>
      <c r="N39" s="85"/>
      <c r="O39" s="55">
        <f t="shared" ref="O39" si="29">N39*L39</f>
        <v>0</v>
      </c>
      <c r="P39" s="31"/>
    </row>
    <row r="40" spans="1:16" ht="36" x14ac:dyDescent="0.25">
      <c r="A40" s="1"/>
      <c r="B40" s="66">
        <f>ROW(B40) - ROW($B$9)</f>
        <v>31</v>
      </c>
      <c r="C40" s="43" t="s">
        <v>13</v>
      </c>
      <c r="D40" s="30" t="s">
        <v>54</v>
      </c>
      <c r="E40" s="30" t="s">
        <v>130</v>
      </c>
      <c r="F40" s="31" t="s">
        <v>379</v>
      </c>
      <c r="G40" s="30" t="s">
        <v>251</v>
      </c>
      <c r="H40" s="30" t="s">
        <v>378</v>
      </c>
      <c r="I40" s="30" t="s">
        <v>316</v>
      </c>
      <c r="J40" s="30" t="s">
        <v>378</v>
      </c>
      <c r="K40" s="30">
        <v>1</v>
      </c>
      <c r="L40" s="78">
        <f>K40*5</f>
        <v>5</v>
      </c>
      <c r="M40" s="94" t="s">
        <v>415</v>
      </c>
      <c r="N40" s="84"/>
      <c r="O40" s="56">
        <f>N40*L40</f>
        <v>0</v>
      </c>
      <c r="P40" s="30"/>
    </row>
    <row r="41" spans="1:16" ht="48" x14ac:dyDescent="0.25">
      <c r="A41" s="1"/>
      <c r="B41" s="67">
        <f t="shared" si="0"/>
        <v>32</v>
      </c>
      <c r="C41" s="45" t="s">
        <v>381</v>
      </c>
      <c r="D41" s="31" t="s">
        <v>55</v>
      </c>
      <c r="E41" s="31" t="s">
        <v>131</v>
      </c>
      <c r="F41" s="31" t="s">
        <v>379</v>
      </c>
      <c r="G41" s="31" t="s">
        <v>252</v>
      </c>
      <c r="H41" s="31"/>
      <c r="I41" s="31" t="s">
        <v>317</v>
      </c>
      <c r="J41" s="31" t="s">
        <v>378</v>
      </c>
      <c r="K41" s="31">
        <v>1</v>
      </c>
      <c r="L41" s="79">
        <f t="shared" ref="L41" si="30">K41*5</f>
        <v>5</v>
      </c>
      <c r="M41" s="94" t="s">
        <v>415</v>
      </c>
      <c r="N41" s="85"/>
      <c r="O41" s="55">
        <f t="shared" ref="O41" si="31">N41*L41</f>
        <v>0</v>
      </c>
      <c r="P41" s="31"/>
    </row>
    <row r="42" spans="1:16" ht="36" x14ac:dyDescent="0.25">
      <c r="A42" s="1"/>
      <c r="B42" s="66">
        <f>ROW(B42) - ROW($B$9)</f>
        <v>33</v>
      </c>
      <c r="C42" s="43" t="s">
        <v>14</v>
      </c>
      <c r="D42" s="30" t="s">
        <v>56</v>
      </c>
      <c r="E42" s="30" t="s">
        <v>132</v>
      </c>
      <c r="F42" s="31" t="s">
        <v>379</v>
      </c>
      <c r="G42" s="30" t="s">
        <v>199</v>
      </c>
      <c r="H42" s="30" t="s">
        <v>378</v>
      </c>
      <c r="I42" s="30" t="s">
        <v>318</v>
      </c>
      <c r="J42" s="30" t="s">
        <v>378</v>
      </c>
      <c r="K42" s="30">
        <v>2</v>
      </c>
      <c r="L42" s="78">
        <f>K42*5</f>
        <v>10</v>
      </c>
      <c r="M42" s="94" t="s">
        <v>415</v>
      </c>
      <c r="N42" s="84"/>
      <c r="O42" s="56">
        <f>N42*L42</f>
        <v>0</v>
      </c>
      <c r="P42" s="30"/>
    </row>
    <row r="43" spans="1:16" x14ac:dyDescent="0.25">
      <c r="A43" s="1"/>
      <c r="B43" s="67">
        <f t="shared" si="0"/>
        <v>34</v>
      </c>
      <c r="C43" s="45" t="s">
        <v>382</v>
      </c>
      <c r="D43" s="31" t="s">
        <v>57</v>
      </c>
      <c r="E43" s="31" t="s">
        <v>401</v>
      </c>
      <c r="F43" s="31" t="s">
        <v>379</v>
      </c>
      <c r="G43" s="31" t="s">
        <v>402</v>
      </c>
      <c r="H43" s="31" t="s">
        <v>378</v>
      </c>
      <c r="I43" s="31" t="s">
        <v>413</v>
      </c>
      <c r="J43" s="31" t="s">
        <v>378</v>
      </c>
      <c r="K43" s="31">
        <v>3</v>
      </c>
      <c r="L43" s="79">
        <f t="shared" ref="L43" si="32">K43*5</f>
        <v>15</v>
      </c>
      <c r="M43" s="94" t="s">
        <v>415</v>
      </c>
      <c r="N43" s="85"/>
      <c r="O43" s="55">
        <f t="shared" ref="O43" si="33">N43*L43</f>
        <v>0</v>
      </c>
      <c r="P43" s="31"/>
    </row>
    <row r="44" spans="1:16" ht="24" x14ac:dyDescent="0.25">
      <c r="A44" s="1"/>
      <c r="B44" s="66">
        <f>ROW(B44) - ROW($B$9)</f>
        <v>35</v>
      </c>
      <c r="C44" s="43" t="s">
        <v>15</v>
      </c>
      <c r="D44" s="30" t="s">
        <v>58</v>
      </c>
      <c r="E44" s="30" t="s">
        <v>133</v>
      </c>
      <c r="F44" s="31" t="s">
        <v>379</v>
      </c>
      <c r="G44" s="30" t="s">
        <v>200</v>
      </c>
      <c r="H44" s="30" t="s">
        <v>378</v>
      </c>
      <c r="I44" s="30" t="s">
        <v>319</v>
      </c>
      <c r="J44" s="30" t="s">
        <v>351</v>
      </c>
      <c r="K44" s="30">
        <v>1</v>
      </c>
      <c r="L44" s="78">
        <f>K44*5</f>
        <v>5</v>
      </c>
      <c r="M44" s="94" t="s">
        <v>415</v>
      </c>
      <c r="N44" s="84"/>
      <c r="O44" s="56">
        <f>N44*L44</f>
        <v>0</v>
      </c>
      <c r="P44" s="30"/>
    </row>
    <row r="45" spans="1:16" x14ac:dyDescent="0.25">
      <c r="A45" s="1"/>
      <c r="B45" s="67">
        <f t="shared" si="0"/>
        <v>36</v>
      </c>
      <c r="C45" s="43" t="s">
        <v>15</v>
      </c>
      <c r="D45" s="31" t="s">
        <v>59</v>
      </c>
      <c r="E45" s="31" t="s">
        <v>134</v>
      </c>
      <c r="F45" s="31" t="s">
        <v>201</v>
      </c>
      <c r="G45" s="31" t="s">
        <v>253</v>
      </c>
      <c r="H45" s="31" t="s">
        <v>378</v>
      </c>
      <c r="I45" s="31" t="s">
        <v>320</v>
      </c>
      <c r="J45" s="31" t="s">
        <v>352</v>
      </c>
      <c r="K45" s="31">
        <v>1</v>
      </c>
      <c r="L45" s="79">
        <f t="shared" ref="L45" si="34">K45*5</f>
        <v>5</v>
      </c>
      <c r="M45" s="94" t="s">
        <v>415</v>
      </c>
      <c r="N45" s="85"/>
      <c r="O45" s="55">
        <f t="shared" ref="O45" si="35">N45*L45</f>
        <v>0</v>
      </c>
      <c r="P45" s="31"/>
    </row>
    <row r="46" spans="1:16" ht="24" x14ac:dyDescent="0.25">
      <c r="A46" s="1"/>
      <c r="B46" s="66">
        <f>ROW(B46) - ROW($B$9)</f>
        <v>37</v>
      </c>
      <c r="C46" s="43" t="s">
        <v>16</v>
      </c>
      <c r="D46" s="30" t="s">
        <v>60</v>
      </c>
      <c r="E46" s="30" t="s">
        <v>135</v>
      </c>
      <c r="F46" s="30" t="s">
        <v>202</v>
      </c>
      <c r="G46" s="30" t="s">
        <v>254</v>
      </c>
      <c r="H46" s="30" t="s">
        <v>378</v>
      </c>
      <c r="I46" s="30" t="s">
        <v>321</v>
      </c>
      <c r="J46" s="30" t="s">
        <v>378</v>
      </c>
      <c r="K46" s="30">
        <v>2</v>
      </c>
      <c r="L46" s="78">
        <f>K46*5</f>
        <v>10</v>
      </c>
      <c r="M46" s="94" t="s">
        <v>415</v>
      </c>
      <c r="N46" s="84"/>
      <c r="O46" s="56">
        <f>N46*L46</f>
        <v>0</v>
      </c>
      <c r="P46" s="30"/>
    </row>
    <row r="47" spans="1:16" ht="24" x14ac:dyDescent="0.25">
      <c r="A47" s="1"/>
      <c r="B47" s="67">
        <f t="shared" si="0"/>
        <v>38</v>
      </c>
      <c r="C47" s="45" t="s">
        <v>16</v>
      </c>
      <c r="D47" s="31" t="s">
        <v>61</v>
      </c>
      <c r="E47" s="31" t="s">
        <v>136</v>
      </c>
      <c r="F47" s="31" t="s">
        <v>203</v>
      </c>
      <c r="G47" s="31" t="s">
        <v>255</v>
      </c>
      <c r="H47" s="53" t="s">
        <v>388</v>
      </c>
      <c r="I47" s="31" t="s">
        <v>321</v>
      </c>
      <c r="J47" s="31" t="s">
        <v>378</v>
      </c>
      <c r="K47" s="31">
        <v>1</v>
      </c>
      <c r="L47" s="79">
        <f t="shared" ref="L47" si="36">K47*5</f>
        <v>5</v>
      </c>
      <c r="M47" s="94" t="s">
        <v>415</v>
      </c>
      <c r="N47" s="85"/>
      <c r="O47" s="55">
        <f t="shared" ref="O47" si="37">N47*L47</f>
        <v>0</v>
      </c>
      <c r="P47" s="31"/>
    </row>
    <row r="48" spans="1:16" x14ac:dyDescent="0.25">
      <c r="A48" s="1"/>
      <c r="B48" s="66">
        <f>ROW(B48) - ROW($B$9)</f>
        <v>39</v>
      </c>
      <c r="C48" s="43" t="s">
        <v>383</v>
      </c>
      <c r="D48" s="44" t="s">
        <v>384</v>
      </c>
      <c r="E48" s="44" t="s">
        <v>137</v>
      </c>
      <c r="F48" s="44" t="s">
        <v>379</v>
      </c>
      <c r="G48" s="44" t="s">
        <v>204</v>
      </c>
      <c r="H48" s="44" t="s">
        <v>378</v>
      </c>
      <c r="I48" s="44" t="s">
        <v>378</v>
      </c>
      <c r="J48" s="44" t="s">
        <v>378</v>
      </c>
      <c r="K48" s="44">
        <v>10</v>
      </c>
      <c r="L48" s="80">
        <f>K48*5</f>
        <v>50</v>
      </c>
      <c r="M48" s="94" t="s">
        <v>415</v>
      </c>
      <c r="N48" s="86"/>
      <c r="O48" s="44" t="s">
        <v>378</v>
      </c>
      <c r="P48" s="30"/>
    </row>
    <row r="49" spans="1:16" x14ac:dyDescent="0.25">
      <c r="A49" s="1"/>
      <c r="B49" s="67">
        <f t="shared" si="0"/>
        <v>40</v>
      </c>
      <c r="C49" s="45" t="s">
        <v>385</v>
      </c>
      <c r="D49" s="31" t="s">
        <v>62</v>
      </c>
      <c r="E49" s="31" t="s">
        <v>138</v>
      </c>
      <c r="F49" s="31" t="s">
        <v>205</v>
      </c>
      <c r="G49" s="31" t="s">
        <v>256</v>
      </c>
      <c r="H49" s="31"/>
      <c r="I49" s="31" t="s">
        <v>322</v>
      </c>
      <c r="J49" s="31" t="s">
        <v>378</v>
      </c>
      <c r="K49" s="31">
        <v>1</v>
      </c>
      <c r="L49" s="79">
        <f t="shared" ref="L49" si="38">K49*5</f>
        <v>5</v>
      </c>
      <c r="M49" s="94" t="s">
        <v>415</v>
      </c>
      <c r="N49" s="85"/>
      <c r="O49" s="55">
        <f t="shared" ref="O49" si="39">N49*L49</f>
        <v>0</v>
      </c>
      <c r="P49" s="31"/>
    </row>
    <row r="50" spans="1:16" x14ac:dyDescent="0.25">
      <c r="A50" s="1"/>
      <c r="B50" s="66">
        <f>ROW(B50) - ROW($B$9)</f>
        <v>41</v>
      </c>
      <c r="C50" s="43" t="s">
        <v>17</v>
      </c>
      <c r="D50" s="30" t="s">
        <v>63</v>
      </c>
      <c r="E50" s="30" t="s">
        <v>139</v>
      </c>
      <c r="F50" s="30" t="s">
        <v>206</v>
      </c>
      <c r="G50" s="44" t="s">
        <v>257</v>
      </c>
      <c r="H50" s="30" t="s">
        <v>389</v>
      </c>
      <c r="I50" s="30" t="s">
        <v>323</v>
      </c>
      <c r="J50" s="30" t="s">
        <v>353</v>
      </c>
      <c r="K50" s="30">
        <v>2</v>
      </c>
      <c r="L50" s="78">
        <f>K50*5</f>
        <v>10</v>
      </c>
      <c r="M50" s="94" t="s">
        <v>415</v>
      </c>
      <c r="N50" s="84"/>
      <c r="O50" s="56">
        <f>N50*L50</f>
        <v>0</v>
      </c>
      <c r="P50" s="30"/>
    </row>
    <row r="51" spans="1:16" x14ac:dyDescent="0.25">
      <c r="A51" s="1"/>
      <c r="B51" s="67">
        <f t="shared" si="0"/>
        <v>42</v>
      </c>
      <c r="C51" s="45" t="s">
        <v>18</v>
      </c>
      <c r="D51" s="31" t="s">
        <v>64</v>
      </c>
      <c r="E51" s="31" t="s">
        <v>140</v>
      </c>
      <c r="F51" s="31" t="s">
        <v>379</v>
      </c>
      <c r="G51" s="31" t="s">
        <v>207</v>
      </c>
      <c r="H51" s="31"/>
      <c r="I51" s="31" t="s">
        <v>324</v>
      </c>
      <c r="J51" s="31" t="s">
        <v>378</v>
      </c>
      <c r="K51" s="31">
        <v>1</v>
      </c>
      <c r="L51" s="79">
        <f t="shared" ref="L51" si="40">K51*5</f>
        <v>5</v>
      </c>
      <c r="M51" s="94" t="s">
        <v>415</v>
      </c>
      <c r="N51" s="85"/>
      <c r="O51" s="55">
        <f t="shared" ref="O51" si="41">N51*L51</f>
        <v>0</v>
      </c>
      <c r="P51" s="31"/>
    </row>
    <row r="52" spans="1:16" x14ac:dyDescent="0.25">
      <c r="A52" s="1"/>
      <c r="B52" s="66">
        <f>ROW(B52) - ROW($B$9)</f>
        <v>43</v>
      </c>
      <c r="C52" s="43" t="s">
        <v>17</v>
      </c>
      <c r="D52" s="30" t="s">
        <v>65</v>
      </c>
      <c r="E52" s="30" t="s">
        <v>141</v>
      </c>
      <c r="F52" s="30" t="s">
        <v>206</v>
      </c>
      <c r="G52" s="30" t="s">
        <v>258</v>
      </c>
      <c r="H52" s="30"/>
      <c r="I52" s="30" t="s">
        <v>294</v>
      </c>
      <c r="J52" s="30" t="s">
        <v>354</v>
      </c>
      <c r="K52" s="30">
        <v>1</v>
      </c>
      <c r="L52" s="78">
        <f>K52*5</f>
        <v>5</v>
      </c>
      <c r="M52" s="94" t="s">
        <v>415</v>
      </c>
      <c r="N52" s="84"/>
      <c r="O52" s="56">
        <f>N52*L52</f>
        <v>0</v>
      </c>
      <c r="P52" s="30"/>
    </row>
    <row r="53" spans="1:16" ht="24" x14ac:dyDescent="0.25">
      <c r="A53" s="1"/>
      <c r="B53" s="67">
        <f t="shared" si="0"/>
        <v>44</v>
      </c>
      <c r="C53" s="45" t="s">
        <v>17</v>
      </c>
      <c r="D53" s="31" t="s">
        <v>403</v>
      </c>
      <c r="E53" s="31" t="s">
        <v>142</v>
      </c>
      <c r="F53" s="31" t="s">
        <v>208</v>
      </c>
      <c r="G53" s="31" t="s">
        <v>259</v>
      </c>
      <c r="H53" s="31"/>
      <c r="I53" s="31" t="s">
        <v>294</v>
      </c>
      <c r="J53" s="31" t="s">
        <v>355</v>
      </c>
      <c r="K53" s="31">
        <v>12</v>
      </c>
      <c r="L53" s="79">
        <f t="shared" ref="L53" si="42">K53*5</f>
        <v>60</v>
      </c>
      <c r="M53" s="94" t="s">
        <v>415</v>
      </c>
      <c r="N53" s="85"/>
      <c r="O53" s="55">
        <f t="shared" ref="O53" si="43">N53*L53</f>
        <v>0</v>
      </c>
      <c r="P53" s="31"/>
    </row>
    <row r="54" spans="1:16" x14ac:dyDescent="0.25">
      <c r="A54" s="1"/>
      <c r="B54" s="66">
        <f>ROW(B54) - ROW($B$9)</f>
        <v>45</v>
      </c>
      <c r="C54" s="45" t="s">
        <v>17</v>
      </c>
      <c r="D54" s="30" t="s">
        <v>66</v>
      </c>
      <c r="E54" s="30" t="s">
        <v>143</v>
      </c>
      <c r="F54" s="30" t="s">
        <v>208</v>
      </c>
      <c r="G54" s="44" t="s">
        <v>260</v>
      </c>
      <c r="H54" s="30" t="s">
        <v>390</v>
      </c>
      <c r="I54" s="30" t="s">
        <v>294</v>
      </c>
      <c r="J54" s="30" t="s">
        <v>356</v>
      </c>
      <c r="K54" s="30">
        <v>7</v>
      </c>
      <c r="L54" s="78">
        <f>K54*5</f>
        <v>35</v>
      </c>
      <c r="M54" s="94" t="s">
        <v>415</v>
      </c>
      <c r="N54" s="84"/>
      <c r="O54" s="56">
        <f>N54*L54</f>
        <v>0</v>
      </c>
      <c r="P54" s="30"/>
    </row>
    <row r="55" spans="1:16" ht="36" x14ac:dyDescent="0.25">
      <c r="A55" s="1"/>
      <c r="B55" s="67">
        <f t="shared" si="0"/>
        <v>46</v>
      </c>
      <c r="C55" s="45" t="s">
        <v>17</v>
      </c>
      <c r="D55" s="31" t="s">
        <v>67</v>
      </c>
      <c r="E55" s="31" t="s">
        <v>144</v>
      </c>
      <c r="F55" s="31" t="s">
        <v>209</v>
      </c>
      <c r="G55" s="31" t="s">
        <v>261</v>
      </c>
      <c r="H55" s="31" t="s">
        <v>378</v>
      </c>
      <c r="I55" s="31" t="s">
        <v>325</v>
      </c>
      <c r="J55" s="31" t="s">
        <v>357</v>
      </c>
      <c r="K55" s="31">
        <v>1</v>
      </c>
      <c r="L55" s="79">
        <f t="shared" ref="L55" si="44">K55*5</f>
        <v>5</v>
      </c>
      <c r="M55" s="94" t="s">
        <v>415</v>
      </c>
      <c r="N55" s="85"/>
      <c r="O55" s="55">
        <f t="shared" ref="O55" si="45">N55*L55</f>
        <v>0</v>
      </c>
      <c r="P55" s="31"/>
    </row>
    <row r="56" spans="1:16" x14ac:dyDescent="0.25">
      <c r="A56" s="1"/>
      <c r="B56" s="66">
        <f>ROW(B56) - ROW($B$9)</f>
        <v>47</v>
      </c>
      <c r="C56" s="45" t="s">
        <v>17</v>
      </c>
      <c r="D56" s="30" t="s">
        <v>68</v>
      </c>
      <c r="E56" s="30" t="s">
        <v>145</v>
      </c>
      <c r="F56" s="30" t="s">
        <v>208</v>
      </c>
      <c r="G56" s="30" t="s">
        <v>262</v>
      </c>
      <c r="H56" s="30" t="s">
        <v>378</v>
      </c>
      <c r="I56" s="30" t="s">
        <v>294</v>
      </c>
      <c r="J56" s="30" t="s">
        <v>358</v>
      </c>
      <c r="K56" s="30">
        <v>2</v>
      </c>
      <c r="L56" s="78">
        <f>K56*5</f>
        <v>10</v>
      </c>
      <c r="M56" s="94" t="s">
        <v>415</v>
      </c>
      <c r="N56" s="84"/>
      <c r="O56" s="56">
        <f>N56*L56</f>
        <v>0</v>
      </c>
      <c r="P56" s="30"/>
    </row>
    <row r="57" spans="1:16" x14ac:dyDescent="0.25">
      <c r="A57" s="1"/>
      <c r="B57" s="67">
        <f t="shared" si="0"/>
        <v>48</v>
      </c>
      <c r="C57" s="45" t="s">
        <v>17</v>
      </c>
      <c r="D57" s="31" t="s">
        <v>404</v>
      </c>
      <c r="E57" s="31" t="s">
        <v>146</v>
      </c>
      <c r="F57" s="31" t="s">
        <v>208</v>
      </c>
      <c r="G57" s="44" t="s">
        <v>263</v>
      </c>
      <c r="H57" s="31" t="s">
        <v>391</v>
      </c>
      <c r="I57" s="31" t="s">
        <v>294</v>
      </c>
      <c r="J57" s="31" t="s">
        <v>359</v>
      </c>
      <c r="K57" s="31">
        <v>2</v>
      </c>
      <c r="L57" s="79">
        <f t="shared" ref="L57" si="46">K57*5</f>
        <v>10</v>
      </c>
      <c r="M57" s="94" t="s">
        <v>415</v>
      </c>
      <c r="N57" s="85"/>
      <c r="O57" s="55">
        <f t="shared" ref="O57" si="47">N57*L57</f>
        <v>0</v>
      </c>
      <c r="P57" s="31"/>
    </row>
    <row r="58" spans="1:16" x14ac:dyDescent="0.25">
      <c r="A58" s="1"/>
      <c r="B58" s="66">
        <f>ROW(B58) - ROW($B$9)</f>
        <v>49</v>
      </c>
      <c r="C58" s="43" t="s">
        <v>17</v>
      </c>
      <c r="D58" s="30" t="s">
        <v>69</v>
      </c>
      <c r="E58" s="30" t="s">
        <v>147</v>
      </c>
      <c r="F58" s="30" t="s">
        <v>206</v>
      </c>
      <c r="G58" s="30" t="s">
        <v>264</v>
      </c>
      <c r="H58" s="30"/>
      <c r="I58" s="30" t="s">
        <v>294</v>
      </c>
      <c r="J58" s="30" t="s">
        <v>360</v>
      </c>
      <c r="K58" s="30">
        <v>2</v>
      </c>
      <c r="L58" s="78">
        <f>K58*5</f>
        <v>10</v>
      </c>
      <c r="M58" s="94" t="s">
        <v>415</v>
      </c>
      <c r="N58" s="84"/>
      <c r="O58" s="56">
        <f>N58*L58</f>
        <v>0</v>
      </c>
      <c r="P58" s="30"/>
    </row>
    <row r="59" spans="1:16" ht="36" x14ac:dyDescent="0.25">
      <c r="A59" s="1"/>
      <c r="B59" s="67">
        <f t="shared" si="0"/>
        <v>50</v>
      </c>
      <c r="C59" s="45" t="s">
        <v>17</v>
      </c>
      <c r="D59" s="31" t="s">
        <v>70</v>
      </c>
      <c r="E59" s="31" t="s">
        <v>148</v>
      </c>
      <c r="F59" s="31" t="s">
        <v>206</v>
      </c>
      <c r="G59" s="31" t="s">
        <v>265</v>
      </c>
      <c r="H59" s="31"/>
      <c r="I59" s="31" t="s">
        <v>294</v>
      </c>
      <c r="J59" s="31" t="s">
        <v>361</v>
      </c>
      <c r="K59" s="31">
        <v>22</v>
      </c>
      <c r="L59" s="79">
        <f t="shared" ref="L59" si="48">K59*5</f>
        <v>110</v>
      </c>
      <c r="M59" s="94" t="s">
        <v>415</v>
      </c>
      <c r="N59" s="85"/>
      <c r="O59" s="55">
        <f t="shared" ref="O59" si="49">N59*L59</f>
        <v>0</v>
      </c>
      <c r="P59" s="31"/>
    </row>
    <row r="60" spans="1:16" x14ac:dyDescent="0.25">
      <c r="A60" s="1"/>
      <c r="B60" s="66">
        <f>ROW(B60) - ROW($B$9)</f>
        <v>51</v>
      </c>
      <c r="C60" s="45" t="s">
        <v>17</v>
      </c>
      <c r="D60" s="30" t="s">
        <v>71</v>
      </c>
      <c r="E60" s="30" t="s">
        <v>149</v>
      </c>
      <c r="F60" s="30" t="s">
        <v>206</v>
      </c>
      <c r="G60" s="30" t="s">
        <v>266</v>
      </c>
      <c r="H60" s="30"/>
      <c r="I60" s="30" t="s">
        <v>294</v>
      </c>
      <c r="J60" s="30" t="s">
        <v>362</v>
      </c>
      <c r="K60" s="30">
        <v>1</v>
      </c>
      <c r="L60" s="78">
        <f>K60*5</f>
        <v>5</v>
      </c>
      <c r="M60" s="94" t="s">
        <v>415</v>
      </c>
      <c r="N60" s="84"/>
      <c r="O60" s="56">
        <f>N60*L60</f>
        <v>0</v>
      </c>
      <c r="P60" s="30"/>
    </row>
    <row r="61" spans="1:16" ht="24" x14ac:dyDescent="0.25">
      <c r="A61" s="1"/>
      <c r="B61" s="66">
        <f>ROW(B61) - ROW($B$9)</f>
        <v>52</v>
      </c>
      <c r="C61" s="43" t="s">
        <v>17</v>
      </c>
      <c r="D61" s="31" t="s">
        <v>405</v>
      </c>
      <c r="E61" s="30" t="s">
        <v>154</v>
      </c>
      <c r="F61" s="30" t="s">
        <v>206</v>
      </c>
      <c r="G61" s="30" t="s">
        <v>271</v>
      </c>
      <c r="H61" s="30"/>
      <c r="I61" s="30" t="s">
        <v>294</v>
      </c>
      <c r="J61" s="30" t="s">
        <v>367</v>
      </c>
      <c r="K61" s="30">
        <v>11</v>
      </c>
      <c r="L61" s="78">
        <f>K61*5</f>
        <v>55</v>
      </c>
      <c r="M61" s="94" t="s">
        <v>415</v>
      </c>
      <c r="N61" s="84"/>
      <c r="O61" s="56">
        <f>N61*L61</f>
        <v>0</v>
      </c>
      <c r="P61" s="31"/>
    </row>
    <row r="62" spans="1:16" x14ac:dyDescent="0.25">
      <c r="A62" s="1"/>
      <c r="B62" s="66">
        <f>ROW(B62) - ROW($B$9)</f>
        <v>53</v>
      </c>
      <c r="C62" s="43" t="s">
        <v>17</v>
      </c>
      <c r="D62" s="30" t="s">
        <v>72</v>
      </c>
      <c r="E62" s="30" t="s">
        <v>150</v>
      </c>
      <c r="F62" s="30" t="s">
        <v>206</v>
      </c>
      <c r="G62" s="30" t="s">
        <v>267</v>
      </c>
      <c r="H62" s="30"/>
      <c r="I62" s="30" t="s">
        <v>294</v>
      </c>
      <c r="J62" s="30" t="s">
        <v>363</v>
      </c>
      <c r="K62" s="30">
        <v>4</v>
      </c>
      <c r="L62" s="78">
        <f>K62*5</f>
        <v>20</v>
      </c>
      <c r="M62" s="94" t="s">
        <v>415</v>
      </c>
      <c r="N62" s="84"/>
      <c r="O62" s="56">
        <f>N62*L62</f>
        <v>0</v>
      </c>
      <c r="P62" s="30"/>
    </row>
    <row r="63" spans="1:16" x14ac:dyDescent="0.25">
      <c r="A63" s="1"/>
      <c r="B63" s="67">
        <f t="shared" si="0"/>
        <v>54</v>
      </c>
      <c r="C63" s="45" t="s">
        <v>17</v>
      </c>
      <c r="D63" s="31" t="s">
        <v>73</v>
      </c>
      <c r="E63" s="31" t="s">
        <v>151</v>
      </c>
      <c r="F63" s="31" t="s">
        <v>209</v>
      </c>
      <c r="G63" s="31" t="s">
        <v>268</v>
      </c>
      <c r="H63" s="31"/>
      <c r="I63" s="31" t="s">
        <v>294</v>
      </c>
      <c r="J63" s="31" t="s">
        <v>364</v>
      </c>
      <c r="K63" s="31">
        <v>1</v>
      </c>
      <c r="L63" s="79">
        <f t="shared" ref="L63" si="50">K63*5</f>
        <v>5</v>
      </c>
      <c r="M63" s="94" t="s">
        <v>415</v>
      </c>
      <c r="N63" s="85"/>
      <c r="O63" s="55">
        <f t="shared" ref="O63" si="51">N63*L63</f>
        <v>0</v>
      </c>
      <c r="P63" s="31"/>
    </row>
    <row r="64" spans="1:16" x14ac:dyDescent="0.25">
      <c r="A64" s="1"/>
      <c r="B64" s="66">
        <f>ROW(B64) - ROW($B$9)</f>
        <v>55</v>
      </c>
      <c r="C64" s="43" t="s">
        <v>17</v>
      </c>
      <c r="D64" s="30" t="s">
        <v>74</v>
      </c>
      <c r="E64" s="30" t="s">
        <v>152</v>
      </c>
      <c r="F64" s="30" t="s">
        <v>206</v>
      </c>
      <c r="G64" s="30" t="s">
        <v>269</v>
      </c>
      <c r="H64" s="30"/>
      <c r="I64" s="30" t="s">
        <v>294</v>
      </c>
      <c r="J64" s="30" t="s">
        <v>365</v>
      </c>
      <c r="K64" s="30">
        <v>1</v>
      </c>
      <c r="L64" s="78">
        <f>K64*5</f>
        <v>5</v>
      </c>
      <c r="M64" s="94" t="s">
        <v>415</v>
      </c>
      <c r="N64" s="84"/>
      <c r="O64" s="56">
        <f>N64*L64</f>
        <v>0</v>
      </c>
      <c r="P64" s="30"/>
    </row>
    <row r="65" spans="1:16" x14ac:dyDescent="0.25">
      <c r="A65" s="1"/>
      <c r="B65" s="67">
        <f t="shared" si="0"/>
        <v>56</v>
      </c>
      <c r="C65" s="43" t="s">
        <v>17</v>
      </c>
      <c r="D65" s="31" t="s">
        <v>75</v>
      </c>
      <c r="E65" s="31" t="s">
        <v>153</v>
      </c>
      <c r="F65" s="31" t="s">
        <v>209</v>
      </c>
      <c r="G65" s="31" t="s">
        <v>270</v>
      </c>
      <c r="H65" s="31"/>
      <c r="I65" s="31" t="s">
        <v>294</v>
      </c>
      <c r="J65" s="31" t="s">
        <v>366</v>
      </c>
      <c r="K65" s="31">
        <v>1</v>
      </c>
      <c r="L65" s="79">
        <f t="shared" ref="L65:L66" si="52">K65*5</f>
        <v>5</v>
      </c>
      <c r="M65" s="94" t="s">
        <v>415</v>
      </c>
      <c r="N65" s="85"/>
      <c r="O65" s="55">
        <f t="shared" ref="O65:O66" si="53">N65*L65</f>
        <v>0</v>
      </c>
      <c r="P65" s="31"/>
    </row>
    <row r="66" spans="1:16" x14ac:dyDescent="0.25">
      <c r="A66" s="1"/>
      <c r="B66" s="67">
        <f t="shared" si="0"/>
        <v>57</v>
      </c>
      <c r="C66" s="43" t="s">
        <v>17</v>
      </c>
      <c r="D66" s="31" t="s">
        <v>76</v>
      </c>
      <c r="E66" s="31" t="s">
        <v>155</v>
      </c>
      <c r="F66" s="31" t="s">
        <v>206</v>
      </c>
      <c r="G66" s="44" t="s">
        <v>272</v>
      </c>
      <c r="H66" s="31" t="s">
        <v>392</v>
      </c>
      <c r="I66" s="31" t="s">
        <v>326</v>
      </c>
      <c r="J66" s="31" t="s">
        <v>368</v>
      </c>
      <c r="K66" s="31">
        <v>4</v>
      </c>
      <c r="L66" s="79">
        <f t="shared" si="52"/>
        <v>20</v>
      </c>
      <c r="M66" s="94" t="s">
        <v>415</v>
      </c>
      <c r="N66" s="85"/>
      <c r="O66" s="55">
        <f t="shared" si="53"/>
        <v>0</v>
      </c>
      <c r="P66" s="30"/>
    </row>
    <row r="67" spans="1:16" x14ac:dyDescent="0.25">
      <c r="A67" s="1"/>
      <c r="B67" s="66">
        <f>ROW(B67) - ROW($B$9)</f>
        <v>58</v>
      </c>
      <c r="C67" s="43" t="s">
        <v>17</v>
      </c>
      <c r="D67" s="30" t="s">
        <v>77</v>
      </c>
      <c r="E67" s="30" t="s">
        <v>156</v>
      </c>
      <c r="F67" s="30" t="s">
        <v>209</v>
      </c>
      <c r="G67" s="30" t="s">
        <v>273</v>
      </c>
      <c r="H67" s="30"/>
      <c r="I67" s="30" t="s">
        <v>294</v>
      </c>
      <c r="J67" s="30" t="s">
        <v>369</v>
      </c>
      <c r="K67" s="30">
        <v>1</v>
      </c>
      <c r="L67" s="78">
        <f>K67*5</f>
        <v>5</v>
      </c>
      <c r="M67" s="94" t="s">
        <v>415</v>
      </c>
      <c r="N67" s="84"/>
      <c r="O67" s="56">
        <f>N67*L67</f>
        <v>0</v>
      </c>
      <c r="P67" s="31"/>
    </row>
    <row r="68" spans="1:16" x14ac:dyDescent="0.25">
      <c r="A68" s="1"/>
      <c r="B68" s="67">
        <f t="shared" si="0"/>
        <v>59</v>
      </c>
      <c r="C68" s="43" t="s">
        <v>17</v>
      </c>
      <c r="D68" s="31" t="s">
        <v>78</v>
      </c>
      <c r="E68" s="31" t="s">
        <v>157</v>
      </c>
      <c r="F68" s="31" t="s">
        <v>206</v>
      </c>
      <c r="G68" s="31" t="s">
        <v>274</v>
      </c>
      <c r="H68" s="31"/>
      <c r="I68" s="31" t="s">
        <v>323</v>
      </c>
      <c r="J68" s="31" t="s">
        <v>370</v>
      </c>
      <c r="K68" s="31">
        <v>1</v>
      </c>
      <c r="L68" s="79">
        <f t="shared" ref="L68" si="54">K68*5</f>
        <v>5</v>
      </c>
      <c r="M68" s="94" t="s">
        <v>415</v>
      </c>
      <c r="N68" s="85"/>
      <c r="O68" s="55">
        <f t="shared" ref="O68" si="55">N68*L68</f>
        <v>0</v>
      </c>
      <c r="P68" s="30"/>
    </row>
    <row r="69" spans="1:16" x14ac:dyDescent="0.25">
      <c r="A69" s="1"/>
      <c r="B69" s="66">
        <f>ROW(B69) - ROW($B$9)</f>
        <v>60</v>
      </c>
      <c r="C69" s="43" t="s">
        <v>17</v>
      </c>
      <c r="D69" s="30" t="s">
        <v>79</v>
      </c>
      <c r="E69" s="30" t="s">
        <v>158</v>
      </c>
      <c r="F69" s="30" t="s">
        <v>209</v>
      </c>
      <c r="G69" s="30" t="s">
        <v>275</v>
      </c>
      <c r="H69" s="30"/>
      <c r="I69" s="30" t="s">
        <v>294</v>
      </c>
      <c r="J69" s="30" t="s">
        <v>371</v>
      </c>
      <c r="K69" s="30">
        <v>2</v>
      </c>
      <c r="L69" s="78">
        <f>K69*5</f>
        <v>10</v>
      </c>
      <c r="M69" s="94" t="s">
        <v>415</v>
      </c>
      <c r="N69" s="84"/>
      <c r="O69" s="56">
        <f>N69*L69</f>
        <v>0</v>
      </c>
      <c r="P69" s="31"/>
    </row>
    <row r="70" spans="1:16" x14ac:dyDescent="0.25">
      <c r="A70" s="1"/>
      <c r="B70" s="67">
        <f t="shared" si="0"/>
        <v>61</v>
      </c>
      <c r="C70" s="45" t="s">
        <v>17</v>
      </c>
      <c r="D70" s="31" t="s">
        <v>80</v>
      </c>
      <c r="E70" s="31" t="s">
        <v>159</v>
      </c>
      <c r="F70" s="31" t="s">
        <v>206</v>
      </c>
      <c r="G70" s="31" t="s">
        <v>276</v>
      </c>
      <c r="H70" s="31"/>
      <c r="I70" s="31" t="s">
        <v>294</v>
      </c>
      <c r="J70" s="31" t="s">
        <v>372</v>
      </c>
      <c r="K70" s="31">
        <v>1</v>
      </c>
      <c r="L70" s="79">
        <f t="shared" ref="L70:L71" si="56">K70*5</f>
        <v>5</v>
      </c>
      <c r="M70" s="94" t="s">
        <v>415</v>
      </c>
      <c r="N70" s="85"/>
      <c r="O70" s="55">
        <f t="shared" ref="O70:O71" si="57">N70*L70</f>
        <v>0</v>
      </c>
      <c r="P70" s="30"/>
    </row>
    <row r="71" spans="1:16" x14ac:dyDescent="0.25">
      <c r="A71" s="1"/>
      <c r="B71" s="67">
        <f t="shared" si="0"/>
        <v>62</v>
      </c>
      <c r="C71" s="45" t="s">
        <v>406</v>
      </c>
      <c r="D71" s="31" t="s">
        <v>407</v>
      </c>
      <c r="E71" s="31" t="s">
        <v>408</v>
      </c>
      <c r="F71" s="31" t="s">
        <v>379</v>
      </c>
      <c r="G71" s="31" t="s">
        <v>409</v>
      </c>
      <c r="H71" s="31" t="s">
        <v>378</v>
      </c>
      <c r="I71" s="31" t="s">
        <v>294</v>
      </c>
      <c r="J71" s="31" t="s">
        <v>355</v>
      </c>
      <c r="K71" s="31">
        <v>5</v>
      </c>
      <c r="L71" s="79">
        <f t="shared" si="56"/>
        <v>25</v>
      </c>
      <c r="M71" s="94" t="s">
        <v>415</v>
      </c>
      <c r="N71" s="85"/>
      <c r="O71" s="55">
        <f t="shared" si="57"/>
        <v>0</v>
      </c>
      <c r="P71" s="31"/>
    </row>
    <row r="72" spans="1:16" x14ac:dyDescent="0.25">
      <c r="A72" s="1"/>
      <c r="B72" s="66">
        <f>ROW(B72) - ROW($B$9)</f>
        <v>63</v>
      </c>
      <c r="C72" s="43" t="s">
        <v>19</v>
      </c>
      <c r="D72" s="46" t="s">
        <v>81</v>
      </c>
      <c r="E72" s="46" t="s">
        <v>160</v>
      </c>
      <c r="F72" s="47" t="s">
        <v>379</v>
      </c>
      <c r="G72" s="46" t="s">
        <v>210</v>
      </c>
      <c r="H72" s="46" t="s">
        <v>378</v>
      </c>
      <c r="I72" s="46" t="s">
        <v>378</v>
      </c>
      <c r="J72" s="46" t="s">
        <v>378</v>
      </c>
      <c r="K72" s="46">
        <v>2</v>
      </c>
      <c r="L72" s="81">
        <f>K72*5</f>
        <v>10</v>
      </c>
      <c r="M72" s="94" t="s">
        <v>415</v>
      </c>
      <c r="N72" s="87"/>
      <c r="O72" s="46" t="s">
        <v>378</v>
      </c>
      <c r="P72" s="30"/>
    </row>
    <row r="73" spans="1:16" ht="24" x14ac:dyDescent="0.25">
      <c r="A73" s="1"/>
      <c r="B73" s="67">
        <f t="shared" si="0"/>
        <v>64</v>
      </c>
      <c r="C73" s="45" t="s">
        <v>20</v>
      </c>
      <c r="D73" s="31" t="s">
        <v>82</v>
      </c>
      <c r="E73" s="31" t="s">
        <v>161</v>
      </c>
      <c r="F73" s="31" t="s">
        <v>379</v>
      </c>
      <c r="G73" s="31" t="s">
        <v>211</v>
      </c>
      <c r="H73" s="31" t="s">
        <v>378</v>
      </c>
      <c r="I73" s="31" t="s">
        <v>327</v>
      </c>
      <c r="J73" s="31" t="s">
        <v>378</v>
      </c>
      <c r="K73" s="31">
        <v>1</v>
      </c>
      <c r="L73" s="79">
        <f t="shared" ref="L73" si="58">K73*5</f>
        <v>5</v>
      </c>
      <c r="M73" s="94" t="s">
        <v>415</v>
      </c>
      <c r="N73" s="85"/>
      <c r="O73" s="55">
        <f t="shared" ref="O73" si="59">N73*L73</f>
        <v>0</v>
      </c>
      <c r="P73" s="31"/>
    </row>
    <row r="74" spans="1:16" x14ac:dyDescent="0.25">
      <c r="A74" s="1"/>
      <c r="B74" s="66">
        <f>ROW(B74) - ROW($B$9)</f>
        <v>65</v>
      </c>
      <c r="C74" s="43" t="s">
        <v>21</v>
      </c>
      <c r="D74" s="30" t="s">
        <v>83</v>
      </c>
      <c r="E74" s="30" t="s">
        <v>162</v>
      </c>
      <c r="F74" s="30" t="s">
        <v>212</v>
      </c>
      <c r="G74" s="30" t="s">
        <v>277</v>
      </c>
      <c r="H74" s="30" t="s">
        <v>378</v>
      </c>
      <c r="I74" s="30" t="s">
        <v>328</v>
      </c>
      <c r="J74" s="30" t="s">
        <v>378</v>
      </c>
      <c r="K74" s="30">
        <v>1</v>
      </c>
      <c r="L74" s="78">
        <f>K74*5</f>
        <v>5</v>
      </c>
      <c r="M74" s="94" t="s">
        <v>415</v>
      </c>
      <c r="N74" s="84"/>
      <c r="O74" s="56">
        <f>N74*L74</f>
        <v>0</v>
      </c>
      <c r="P74" s="30"/>
    </row>
    <row r="75" spans="1:16" x14ac:dyDescent="0.25">
      <c r="A75" s="1"/>
      <c r="B75" s="67">
        <f t="shared" si="0"/>
        <v>66</v>
      </c>
      <c r="C75" s="45" t="s">
        <v>21</v>
      </c>
      <c r="D75" s="31" t="s">
        <v>84</v>
      </c>
      <c r="E75" s="31" t="s">
        <v>163</v>
      </c>
      <c r="F75" s="31" t="s">
        <v>213</v>
      </c>
      <c r="G75" s="31" t="s">
        <v>278</v>
      </c>
      <c r="H75" s="31" t="s">
        <v>378</v>
      </c>
      <c r="I75" s="31" t="s">
        <v>328</v>
      </c>
      <c r="J75" s="31" t="s">
        <v>378</v>
      </c>
      <c r="K75" s="31">
        <v>1</v>
      </c>
      <c r="L75" s="79">
        <f t="shared" ref="L75" si="60">K75*5</f>
        <v>5</v>
      </c>
      <c r="M75" s="94" t="s">
        <v>415</v>
      </c>
      <c r="N75" s="85"/>
      <c r="O75" s="55">
        <f t="shared" ref="O75" si="61">N75*L75</f>
        <v>0</v>
      </c>
      <c r="P75" s="31"/>
    </row>
    <row r="76" spans="1:16" ht="36" x14ac:dyDescent="0.25">
      <c r="A76" s="1"/>
      <c r="B76" s="66">
        <f>ROW(B76) - ROW($B$9)</f>
        <v>67</v>
      </c>
      <c r="C76" s="43" t="s">
        <v>21</v>
      </c>
      <c r="D76" s="30" t="s">
        <v>85</v>
      </c>
      <c r="E76" s="30" t="s">
        <v>164</v>
      </c>
      <c r="F76" s="30" t="s">
        <v>214</v>
      </c>
      <c r="G76" s="30" t="s">
        <v>279</v>
      </c>
      <c r="H76" s="30" t="s">
        <v>378</v>
      </c>
      <c r="I76" s="30" t="s">
        <v>329</v>
      </c>
      <c r="J76" s="30" t="s">
        <v>378</v>
      </c>
      <c r="K76" s="30">
        <v>1</v>
      </c>
      <c r="L76" s="78">
        <f>K76*5</f>
        <v>5</v>
      </c>
      <c r="M76" s="94" t="s">
        <v>415</v>
      </c>
      <c r="N76" s="84"/>
      <c r="O76" s="56">
        <f>N76*L76</f>
        <v>0</v>
      </c>
      <c r="P76" s="30"/>
    </row>
    <row r="77" spans="1:16" x14ac:dyDescent="0.25">
      <c r="A77" s="1"/>
      <c r="B77" s="67">
        <f t="shared" si="0"/>
        <v>68</v>
      </c>
      <c r="C77" s="45" t="s">
        <v>21</v>
      </c>
      <c r="D77" s="31" t="s">
        <v>86</v>
      </c>
      <c r="E77" s="31" t="s">
        <v>165</v>
      </c>
      <c r="F77" s="31" t="s">
        <v>215</v>
      </c>
      <c r="G77" s="31" t="s">
        <v>280</v>
      </c>
      <c r="H77" s="31" t="s">
        <v>378</v>
      </c>
      <c r="I77" s="31" t="s">
        <v>330</v>
      </c>
      <c r="J77" s="31" t="s">
        <v>378</v>
      </c>
      <c r="K77" s="31">
        <v>1</v>
      </c>
      <c r="L77" s="79">
        <f t="shared" ref="L77" si="62">K77*5</f>
        <v>5</v>
      </c>
      <c r="M77" s="94" t="s">
        <v>415</v>
      </c>
      <c r="N77" s="85"/>
      <c r="O77" s="55">
        <f t="shared" ref="O77" si="63">N77*L77</f>
        <v>0</v>
      </c>
      <c r="P77" s="31"/>
    </row>
    <row r="78" spans="1:16" x14ac:dyDescent="0.25">
      <c r="A78" s="1"/>
      <c r="B78" s="66">
        <f>ROW(B78) - ROW($B$9)</f>
        <v>69</v>
      </c>
      <c r="C78" s="43" t="s">
        <v>21</v>
      </c>
      <c r="D78" s="30" t="s">
        <v>87</v>
      </c>
      <c r="E78" s="30" t="s">
        <v>166</v>
      </c>
      <c r="F78" s="30" t="s">
        <v>216</v>
      </c>
      <c r="G78" s="30" t="s">
        <v>281</v>
      </c>
      <c r="H78" s="30"/>
      <c r="I78" s="30" t="s">
        <v>331</v>
      </c>
      <c r="J78" s="30" t="s">
        <v>378</v>
      </c>
      <c r="K78" s="30">
        <v>1</v>
      </c>
      <c r="L78" s="78">
        <f>K78*5</f>
        <v>5</v>
      </c>
      <c r="M78" s="94" t="s">
        <v>415</v>
      </c>
      <c r="N78" s="84"/>
      <c r="O78" s="56">
        <f>N78*L78</f>
        <v>0</v>
      </c>
      <c r="P78" s="30"/>
    </row>
    <row r="79" spans="1:16" x14ac:dyDescent="0.25">
      <c r="A79" s="1"/>
      <c r="B79" s="68">
        <f t="shared" si="0"/>
        <v>70</v>
      </c>
      <c r="C79" s="48" t="s">
        <v>21</v>
      </c>
      <c r="D79" s="49" t="s">
        <v>88</v>
      </c>
      <c r="E79" s="49" t="s">
        <v>167</v>
      </c>
      <c r="F79" s="49" t="s">
        <v>217</v>
      </c>
      <c r="G79" s="49" t="s">
        <v>282</v>
      </c>
      <c r="H79" s="49" t="s">
        <v>378</v>
      </c>
      <c r="I79" s="49" t="s">
        <v>332</v>
      </c>
      <c r="J79" s="49" t="s">
        <v>378</v>
      </c>
      <c r="K79" s="49">
        <v>1</v>
      </c>
      <c r="L79" s="82">
        <f t="shared" ref="L79" si="64">K79*5</f>
        <v>5</v>
      </c>
      <c r="M79" s="94" t="s">
        <v>415</v>
      </c>
      <c r="N79" s="88"/>
      <c r="O79" s="57">
        <f t="shared" ref="O79" si="65">N79*L79</f>
        <v>0</v>
      </c>
      <c r="P79" s="31"/>
    </row>
    <row r="80" spans="1:16" x14ac:dyDescent="0.25">
      <c r="A80" s="1"/>
      <c r="B80" s="69">
        <f>ROW(B80) - ROW($B$9)</f>
        <v>71</v>
      </c>
      <c r="C80" s="50" t="s">
        <v>21</v>
      </c>
      <c r="D80" s="51" t="s">
        <v>89</v>
      </c>
      <c r="E80" s="51" t="s">
        <v>168</v>
      </c>
      <c r="F80" s="51" t="s">
        <v>218</v>
      </c>
      <c r="G80" s="51" t="s">
        <v>283</v>
      </c>
      <c r="H80" s="51" t="s">
        <v>378</v>
      </c>
      <c r="I80" s="51" t="s">
        <v>330</v>
      </c>
      <c r="J80" s="51" t="s">
        <v>378</v>
      </c>
      <c r="K80" s="51">
        <v>1</v>
      </c>
      <c r="L80" s="83">
        <f>K80*5</f>
        <v>5</v>
      </c>
      <c r="M80" s="94" t="s">
        <v>415</v>
      </c>
      <c r="N80" s="89"/>
      <c r="O80" s="58">
        <f>N80*L80</f>
        <v>0</v>
      </c>
      <c r="P80" s="30"/>
    </row>
    <row r="81" spans="1:16" x14ac:dyDescent="0.25">
      <c r="A81" s="1"/>
      <c r="B81" s="67">
        <f t="shared" si="0"/>
        <v>72</v>
      </c>
      <c r="C81" s="45" t="s">
        <v>21</v>
      </c>
      <c r="D81" s="31" t="s">
        <v>90</v>
      </c>
      <c r="E81" s="31" t="s">
        <v>169</v>
      </c>
      <c r="F81" s="31" t="s">
        <v>219</v>
      </c>
      <c r="G81" s="31" t="s">
        <v>284</v>
      </c>
      <c r="H81" s="31"/>
      <c r="I81" s="31" t="s">
        <v>333</v>
      </c>
      <c r="J81" s="31" t="s">
        <v>378</v>
      </c>
      <c r="K81" s="31">
        <v>1</v>
      </c>
      <c r="L81" s="79">
        <f t="shared" ref="L81" si="66">K81*5</f>
        <v>5</v>
      </c>
      <c r="M81" s="94" t="s">
        <v>415</v>
      </c>
      <c r="N81" s="85"/>
      <c r="O81" s="55">
        <f t="shared" ref="O81" si="67">N81*L81</f>
        <v>0</v>
      </c>
      <c r="P81" s="31"/>
    </row>
    <row r="82" spans="1:16" x14ac:dyDescent="0.25">
      <c r="A82" s="1"/>
      <c r="B82" s="69">
        <f>ROW(B82) - ROW($B$9)</f>
        <v>73</v>
      </c>
      <c r="C82" s="50" t="s">
        <v>21</v>
      </c>
      <c r="D82" s="51" t="s">
        <v>91</v>
      </c>
      <c r="E82" s="51" t="s">
        <v>170</v>
      </c>
      <c r="F82" s="51" t="s">
        <v>220</v>
      </c>
      <c r="G82" s="51" t="s">
        <v>285</v>
      </c>
      <c r="H82" s="51" t="s">
        <v>378</v>
      </c>
      <c r="I82" s="51" t="s">
        <v>334</v>
      </c>
      <c r="J82" s="51" t="s">
        <v>378</v>
      </c>
      <c r="K82" s="51">
        <v>1</v>
      </c>
      <c r="L82" s="83">
        <f>K82*5</f>
        <v>5</v>
      </c>
      <c r="M82" s="94" t="s">
        <v>415</v>
      </c>
      <c r="N82" s="89"/>
      <c r="O82" s="58">
        <f>N82*L82</f>
        <v>0</v>
      </c>
      <c r="P82" s="30"/>
    </row>
    <row r="83" spans="1:16" x14ac:dyDescent="0.25">
      <c r="A83" s="1"/>
      <c r="B83" s="67">
        <f t="shared" si="0"/>
        <v>74</v>
      </c>
      <c r="C83" s="45" t="s">
        <v>21</v>
      </c>
      <c r="D83" s="31" t="s">
        <v>92</v>
      </c>
      <c r="E83" s="31" t="s">
        <v>171</v>
      </c>
      <c r="F83" s="31" t="s">
        <v>221</v>
      </c>
      <c r="G83" s="31" t="s">
        <v>286</v>
      </c>
      <c r="H83" s="31" t="s">
        <v>378</v>
      </c>
      <c r="I83" s="31" t="s">
        <v>330</v>
      </c>
      <c r="J83" s="31" t="s">
        <v>378</v>
      </c>
      <c r="K83" s="31">
        <v>3</v>
      </c>
      <c r="L83" s="79">
        <f t="shared" ref="L83" si="68">K83*5</f>
        <v>15</v>
      </c>
      <c r="M83" s="94" t="s">
        <v>415</v>
      </c>
      <c r="N83" s="85"/>
      <c r="O83" s="55">
        <f t="shared" ref="O83" si="69">N83*L83</f>
        <v>0</v>
      </c>
      <c r="P83" s="31"/>
    </row>
    <row r="84" spans="1:16" ht="60" x14ac:dyDescent="0.25">
      <c r="A84" s="1"/>
      <c r="B84" s="66">
        <f>ROW(B84) - ROW($B$9)</f>
        <v>75</v>
      </c>
      <c r="C84" s="43" t="s">
        <v>21</v>
      </c>
      <c r="D84" s="30" t="s">
        <v>93</v>
      </c>
      <c r="E84" s="30" t="s">
        <v>172</v>
      </c>
      <c r="F84" s="30" t="s">
        <v>222</v>
      </c>
      <c r="G84" s="30" t="s">
        <v>287</v>
      </c>
      <c r="H84" s="30" t="s">
        <v>378</v>
      </c>
      <c r="I84" s="30" t="s">
        <v>335</v>
      </c>
      <c r="J84" s="30" t="s">
        <v>378</v>
      </c>
      <c r="K84" s="30">
        <v>1</v>
      </c>
      <c r="L84" s="78">
        <f>K84*5</f>
        <v>5</v>
      </c>
      <c r="M84" s="94" t="s">
        <v>415</v>
      </c>
      <c r="N84" s="84"/>
      <c r="O84" s="56">
        <f>N84*L84</f>
        <v>0</v>
      </c>
      <c r="P84" s="30"/>
    </row>
    <row r="85" spans="1:16" x14ac:dyDescent="0.25">
      <c r="A85" s="1"/>
      <c r="B85" s="67">
        <f t="shared" si="0"/>
        <v>76</v>
      </c>
      <c r="C85" s="45" t="s">
        <v>21</v>
      </c>
      <c r="D85" s="31" t="s">
        <v>94</v>
      </c>
      <c r="E85" s="31" t="s">
        <v>173</v>
      </c>
      <c r="F85" s="31" t="s">
        <v>223</v>
      </c>
      <c r="G85" s="31" t="s">
        <v>288</v>
      </c>
      <c r="H85" s="31" t="s">
        <v>378</v>
      </c>
      <c r="I85" s="31" t="s">
        <v>328</v>
      </c>
      <c r="J85" s="31" t="s">
        <v>378</v>
      </c>
      <c r="K85" s="31">
        <v>1</v>
      </c>
      <c r="L85" s="79">
        <f t="shared" ref="L85" si="70">K85*5</f>
        <v>5</v>
      </c>
      <c r="M85" s="94" t="s">
        <v>415</v>
      </c>
      <c r="N85" s="85"/>
      <c r="O85" s="55">
        <f t="shared" ref="O85" si="71">N85*L85</f>
        <v>0</v>
      </c>
      <c r="P85" s="31"/>
    </row>
    <row r="86" spans="1:16" x14ac:dyDescent="0.25">
      <c r="A86" s="1"/>
      <c r="B86" s="66">
        <f>ROW(B86) - ROW($B$9)</f>
        <v>77</v>
      </c>
      <c r="C86" s="43" t="s">
        <v>21</v>
      </c>
      <c r="D86" s="30" t="s">
        <v>95</v>
      </c>
      <c r="E86" s="30" t="s">
        <v>174</v>
      </c>
      <c r="F86" s="30" t="s">
        <v>224</v>
      </c>
      <c r="G86" s="30" t="s">
        <v>289</v>
      </c>
      <c r="H86" s="30" t="s">
        <v>378</v>
      </c>
      <c r="I86" s="30" t="s">
        <v>329</v>
      </c>
      <c r="J86" s="30" t="s">
        <v>378</v>
      </c>
      <c r="K86" s="30">
        <v>1</v>
      </c>
      <c r="L86" s="78">
        <f>K86*5</f>
        <v>5</v>
      </c>
      <c r="M86" s="94" t="s">
        <v>415</v>
      </c>
      <c r="N86" s="84"/>
      <c r="O86" s="56">
        <f>N86*L86</f>
        <v>0</v>
      </c>
      <c r="P86" s="30"/>
    </row>
    <row r="87" spans="1:16" x14ac:dyDescent="0.25">
      <c r="A87" s="1"/>
      <c r="B87" s="67">
        <f t="shared" si="0"/>
        <v>78</v>
      </c>
      <c r="C87" s="45" t="s">
        <v>21</v>
      </c>
      <c r="D87" s="31" t="s">
        <v>96</v>
      </c>
      <c r="E87" s="31" t="s">
        <v>175</v>
      </c>
      <c r="F87" s="31" t="s">
        <v>218</v>
      </c>
      <c r="G87" s="31" t="s">
        <v>290</v>
      </c>
      <c r="H87" s="31" t="s">
        <v>378</v>
      </c>
      <c r="I87" s="31" t="s">
        <v>334</v>
      </c>
      <c r="J87" s="31" t="s">
        <v>378</v>
      </c>
      <c r="K87" s="31">
        <v>1</v>
      </c>
      <c r="L87" s="79">
        <f t="shared" ref="L87" si="72">K87*5</f>
        <v>5</v>
      </c>
      <c r="M87" s="94" t="s">
        <v>415</v>
      </c>
      <c r="N87" s="85"/>
      <c r="O87" s="55">
        <f t="shared" ref="O87" si="73">N87*L87</f>
        <v>0</v>
      </c>
      <c r="P87" s="31"/>
    </row>
    <row r="88" spans="1:16" x14ac:dyDescent="0.25">
      <c r="A88" s="1"/>
      <c r="B88" s="66">
        <f>ROW(B88) - ROW($B$9)</f>
        <v>79</v>
      </c>
      <c r="C88" s="43" t="s">
        <v>21</v>
      </c>
      <c r="D88" s="30" t="s">
        <v>97</v>
      </c>
      <c r="E88" s="30" t="s">
        <v>175</v>
      </c>
      <c r="F88" s="30" t="s">
        <v>218</v>
      </c>
      <c r="G88" s="30" t="s">
        <v>291</v>
      </c>
      <c r="H88" s="30" t="s">
        <v>378</v>
      </c>
      <c r="I88" s="30" t="s">
        <v>334</v>
      </c>
      <c r="J88" s="30" t="s">
        <v>378</v>
      </c>
      <c r="K88" s="30">
        <v>1</v>
      </c>
      <c r="L88" s="78">
        <f>K88*5</f>
        <v>5</v>
      </c>
      <c r="M88" s="94" t="s">
        <v>415</v>
      </c>
      <c r="N88" s="84"/>
      <c r="O88" s="56">
        <f>N88*L88</f>
        <v>0</v>
      </c>
      <c r="P88" s="30"/>
    </row>
    <row r="89" spans="1:16" ht="24" x14ac:dyDescent="0.25">
      <c r="A89" s="1"/>
      <c r="B89" s="67">
        <f t="shared" si="0"/>
        <v>80</v>
      </c>
      <c r="C89" s="45" t="s">
        <v>22</v>
      </c>
      <c r="D89" s="31" t="s">
        <v>98</v>
      </c>
      <c r="E89" s="31" t="s">
        <v>176</v>
      </c>
      <c r="F89" s="31" t="s">
        <v>379</v>
      </c>
      <c r="G89" s="31" t="s">
        <v>292</v>
      </c>
      <c r="H89" s="31" t="s">
        <v>378</v>
      </c>
      <c r="I89" s="31" t="s">
        <v>336</v>
      </c>
      <c r="J89" s="31" t="s">
        <v>373</v>
      </c>
      <c r="K89" s="31">
        <v>1</v>
      </c>
      <c r="L89" s="79">
        <f t="shared" ref="L89" si="74">K89*5</f>
        <v>5</v>
      </c>
      <c r="M89" s="94" t="s">
        <v>415</v>
      </c>
      <c r="N89" s="85"/>
      <c r="O89" s="55">
        <f t="shared" ref="O89" si="75">N89*L89</f>
        <v>0</v>
      </c>
      <c r="P89" s="31"/>
    </row>
    <row r="90" spans="1:16" ht="24.75" thickBot="1" x14ac:dyDescent="0.3">
      <c r="A90" s="1"/>
      <c r="B90" s="66">
        <f>ROW(B90) - ROW($B$9)</f>
        <v>81</v>
      </c>
      <c r="C90" s="43" t="s">
        <v>22</v>
      </c>
      <c r="D90" s="30" t="s">
        <v>99</v>
      </c>
      <c r="E90" s="30" t="s">
        <v>410</v>
      </c>
      <c r="F90" s="30" t="s">
        <v>411</v>
      </c>
      <c r="G90" s="30" t="s">
        <v>412</v>
      </c>
      <c r="H90" s="30"/>
      <c r="I90" s="30" t="s">
        <v>414</v>
      </c>
      <c r="J90" s="30" t="s">
        <v>374</v>
      </c>
      <c r="K90" s="30">
        <v>1</v>
      </c>
      <c r="L90" s="78">
        <f>K90*5</f>
        <v>5</v>
      </c>
      <c r="M90" s="95" t="s">
        <v>415</v>
      </c>
      <c r="N90" s="84"/>
      <c r="O90" s="56">
        <f>N90*L90</f>
        <v>0</v>
      </c>
      <c r="P90" s="31"/>
    </row>
    <row r="91" spans="1:16" ht="19.5" thickBot="1" x14ac:dyDescent="0.3">
      <c r="A91" s="1"/>
      <c r="B91" s="70"/>
      <c r="C91" s="71"/>
      <c r="D91" s="72"/>
      <c r="E91" s="73"/>
      <c r="F91" s="74"/>
      <c r="G91" s="75"/>
      <c r="H91" s="75"/>
      <c r="I91" s="74"/>
      <c r="J91" s="75"/>
      <c r="K91" s="75"/>
      <c r="L91" s="64" t="s">
        <v>399</v>
      </c>
      <c r="M91" s="90"/>
      <c r="N91" s="65"/>
      <c r="O91" s="59">
        <f>SUM(O10:O90)</f>
        <v>32.387500000000003</v>
      </c>
      <c r="P91" s="76"/>
    </row>
    <row r="92" spans="1:16" ht="19.5" thickBot="1" x14ac:dyDescent="0.3">
      <c r="B92" s="24"/>
      <c r="C92" s="38"/>
      <c r="D92" s="8"/>
      <c r="E92" s="9"/>
      <c r="F92" s="9"/>
      <c r="G92" s="9"/>
      <c r="H92" s="9"/>
      <c r="I92" s="9"/>
      <c r="J92" s="9"/>
      <c r="K92" s="9"/>
      <c r="L92" s="64" t="s">
        <v>400</v>
      </c>
      <c r="M92" s="65"/>
      <c r="N92" s="65"/>
      <c r="O92" s="60">
        <f>O91/5</f>
        <v>6.4775000000000009</v>
      </c>
      <c r="P92" s="77"/>
    </row>
  </sheetData>
  <mergeCells count="4">
    <mergeCell ref="J1:P1"/>
    <mergeCell ref="P3:P8"/>
    <mergeCell ref="L91:N91"/>
    <mergeCell ref="L92:N92"/>
  </mergeCells>
  <hyperlinks>
    <hyperlink ref="M11" r:id="rId1"/>
    <hyperlink ref="M12" r:id="rId2"/>
    <hyperlink ref="M13" r:id="rId3"/>
    <hyperlink ref="M15" r:id="rId4"/>
    <hyperlink ref="M18" r:id="rId5"/>
    <hyperlink ref="M19" r:id="rId6"/>
  </hyperlinks>
  <pageMargins left="0.7" right="0.7" top="0.75" bottom="0.75" header="0.3" footer="0.3"/>
  <pageSetup paperSize="9" orientation="portrait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2023-07-04T16:10:15Z</dcterms:modified>
</cp:coreProperties>
</file>