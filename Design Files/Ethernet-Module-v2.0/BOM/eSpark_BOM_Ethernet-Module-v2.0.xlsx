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Ethernet-Module-v2.0\BOM\"/>
    </mc:Choice>
  </mc:AlternateContent>
  <bookViews>
    <workbookView xWindow="28680" yWindow="-120" windowWidth="29040" windowHeight="15840"/>
  </bookViews>
  <sheets>
    <sheet name="5 Boards" sheetId="1" r:id="rId1"/>
    <sheet name="20 Boards" sheetId="2" r:id="rId2"/>
    <sheet name="50 Boards" sheetId="5" r:id="rId3"/>
    <sheet name="100 Boards" sheetId="6" r:id="rId4"/>
    <sheet name="500 Boards" sheetId="3" r:id="rId5"/>
    <sheet name="1000 Boards" sheetId="4" r:id="rId6"/>
  </sheets>
  <calcPr calcId="162913"/>
</workbook>
</file>

<file path=xl/calcChain.xml><?xml version="1.0" encoding="utf-8"?>
<calcChain xmlns="http://schemas.openxmlformats.org/spreadsheetml/2006/main">
  <c r="M11" i="4" l="1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10" i="4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10" i="3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10" i="6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10" i="2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10" i="5"/>
  <c r="Q36" i="3"/>
  <c r="B36" i="3"/>
  <c r="Q35" i="3"/>
  <c r="B35" i="3"/>
  <c r="Q34" i="3"/>
  <c r="B34" i="3"/>
  <c r="Q33" i="3"/>
  <c r="B33" i="3"/>
  <c r="Q32" i="3"/>
  <c r="B32" i="3"/>
  <c r="Q31" i="3"/>
  <c r="B31" i="3"/>
  <c r="Q30" i="3"/>
  <c r="B30" i="3"/>
  <c r="Q29" i="3"/>
  <c r="B29" i="3"/>
  <c r="Q28" i="3"/>
  <c r="B28" i="3"/>
  <c r="Q27" i="3"/>
  <c r="B27" i="3"/>
  <c r="Q26" i="3"/>
  <c r="B26" i="3"/>
  <c r="Q25" i="3"/>
  <c r="B25" i="3"/>
  <c r="Q24" i="3"/>
  <c r="B24" i="3"/>
  <c r="Q23" i="3"/>
  <c r="B23" i="3"/>
  <c r="Q22" i="3"/>
  <c r="B22" i="3"/>
  <c r="B21" i="3"/>
  <c r="Q20" i="3"/>
  <c r="B20" i="3"/>
  <c r="Q19" i="3"/>
  <c r="B19" i="3"/>
  <c r="Q18" i="3"/>
  <c r="B18" i="3"/>
  <c r="Q17" i="3"/>
  <c r="B17" i="3"/>
  <c r="Q16" i="3"/>
  <c r="B16" i="3"/>
  <c r="Q15" i="3"/>
  <c r="B15" i="3"/>
  <c r="Q14" i="3"/>
  <c r="B14" i="3"/>
  <c r="Q13" i="3"/>
  <c r="B13" i="3"/>
  <c r="Q12" i="3"/>
  <c r="B12" i="3"/>
  <c r="Q11" i="3"/>
  <c r="B11" i="3"/>
  <c r="Q10" i="3"/>
  <c r="B10" i="3"/>
  <c r="Q36" i="6"/>
  <c r="B36" i="6"/>
  <c r="Q35" i="6"/>
  <c r="B35" i="6"/>
  <c r="Q34" i="6"/>
  <c r="B34" i="6"/>
  <c r="Q33" i="6"/>
  <c r="B33" i="6"/>
  <c r="Q32" i="6"/>
  <c r="B32" i="6"/>
  <c r="Q31" i="6"/>
  <c r="B31" i="6"/>
  <c r="Q30" i="6"/>
  <c r="B30" i="6"/>
  <c r="Q29" i="6"/>
  <c r="B29" i="6"/>
  <c r="Q28" i="6"/>
  <c r="B28" i="6"/>
  <c r="Q27" i="6"/>
  <c r="B27" i="6"/>
  <c r="Q26" i="6"/>
  <c r="B26" i="6"/>
  <c r="Q25" i="6"/>
  <c r="B25" i="6"/>
  <c r="Q24" i="6"/>
  <c r="B24" i="6"/>
  <c r="Q23" i="6"/>
  <c r="B23" i="6"/>
  <c r="Q22" i="6"/>
  <c r="B22" i="6"/>
  <c r="B21" i="6"/>
  <c r="Q20" i="6"/>
  <c r="B20" i="6"/>
  <c r="Q19" i="6"/>
  <c r="B19" i="6"/>
  <c r="Q18" i="6"/>
  <c r="B18" i="6"/>
  <c r="Q17" i="6"/>
  <c r="B17" i="6"/>
  <c r="Q16" i="6"/>
  <c r="B16" i="6"/>
  <c r="Q15" i="6"/>
  <c r="B15" i="6"/>
  <c r="Q14" i="6"/>
  <c r="B14" i="6"/>
  <c r="Q13" i="6"/>
  <c r="B13" i="6"/>
  <c r="Q12" i="6"/>
  <c r="B12" i="6"/>
  <c r="Q11" i="6"/>
  <c r="B11" i="6"/>
  <c r="Q10" i="6"/>
  <c r="B10" i="6"/>
  <c r="Q36" i="5"/>
  <c r="B36" i="5"/>
  <c r="Q35" i="5"/>
  <c r="B35" i="5"/>
  <c r="Q34" i="5"/>
  <c r="B34" i="5"/>
  <c r="Q33" i="5"/>
  <c r="B33" i="5"/>
  <c r="Q32" i="5"/>
  <c r="B32" i="5"/>
  <c r="Q31" i="5"/>
  <c r="B31" i="5"/>
  <c r="Q30" i="5"/>
  <c r="B30" i="5"/>
  <c r="Q29" i="5"/>
  <c r="B29" i="5"/>
  <c r="Q28" i="5"/>
  <c r="B28" i="5"/>
  <c r="Q27" i="5"/>
  <c r="B27" i="5"/>
  <c r="Q26" i="5"/>
  <c r="B26" i="5"/>
  <c r="Q25" i="5"/>
  <c r="B25" i="5"/>
  <c r="Q24" i="5"/>
  <c r="B24" i="5"/>
  <c r="Q23" i="5"/>
  <c r="B23" i="5"/>
  <c r="Q22" i="5"/>
  <c r="B22" i="5"/>
  <c r="B21" i="5"/>
  <c r="Q20" i="5"/>
  <c r="B20" i="5"/>
  <c r="Q19" i="5"/>
  <c r="B19" i="5"/>
  <c r="Q18" i="5"/>
  <c r="B18" i="5"/>
  <c r="Q17" i="5"/>
  <c r="B17" i="5"/>
  <c r="Q16" i="5"/>
  <c r="B16" i="5"/>
  <c r="Q15" i="5"/>
  <c r="B15" i="5"/>
  <c r="Q14" i="5"/>
  <c r="B14" i="5"/>
  <c r="Q13" i="5"/>
  <c r="B13" i="5"/>
  <c r="Q12" i="5"/>
  <c r="B12" i="5"/>
  <c r="Q11" i="5"/>
  <c r="B11" i="5"/>
  <c r="Q10" i="5"/>
  <c r="B10" i="5"/>
  <c r="Q36" i="4"/>
  <c r="B36" i="4"/>
  <c r="Q35" i="4"/>
  <c r="B35" i="4"/>
  <c r="Q34" i="4"/>
  <c r="B34" i="4"/>
  <c r="Q33" i="4"/>
  <c r="B33" i="4"/>
  <c r="Q32" i="4"/>
  <c r="B32" i="4"/>
  <c r="Q31" i="4"/>
  <c r="B31" i="4"/>
  <c r="Q30" i="4"/>
  <c r="B30" i="4"/>
  <c r="Q29" i="4"/>
  <c r="B29" i="4"/>
  <c r="Q28" i="4"/>
  <c r="B28" i="4"/>
  <c r="Q27" i="4"/>
  <c r="B27" i="4"/>
  <c r="Q26" i="4"/>
  <c r="B26" i="4"/>
  <c r="Q25" i="4"/>
  <c r="B25" i="4"/>
  <c r="Q24" i="4"/>
  <c r="B24" i="4"/>
  <c r="Q23" i="4"/>
  <c r="B23" i="4"/>
  <c r="Q22" i="4"/>
  <c r="B22" i="4"/>
  <c r="B21" i="4"/>
  <c r="Q20" i="4"/>
  <c r="B20" i="4"/>
  <c r="Q19" i="4"/>
  <c r="B19" i="4"/>
  <c r="Q18" i="4"/>
  <c r="B18" i="4"/>
  <c r="Q17" i="4"/>
  <c r="B17" i="4"/>
  <c r="Q16" i="4"/>
  <c r="B16" i="4"/>
  <c r="Q15" i="4"/>
  <c r="B15" i="4"/>
  <c r="Q14" i="4"/>
  <c r="B14" i="4"/>
  <c r="Q13" i="4"/>
  <c r="B13" i="4"/>
  <c r="Q12" i="4"/>
  <c r="B12" i="4"/>
  <c r="Q11" i="4"/>
  <c r="B11" i="4"/>
  <c r="Q10" i="4"/>
  <c r="B10" i="4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37" i="3" l="1"/>
  <c r="Q38" i="3" s="1"/>
  <c r="Q37" i="4"/>
  <c r="Q38" i="4" s="1"/>
  <c r="Q37" i="6"/>
  <c r="Q38" i="6" s="1"/>
  <c r="Q37" i="2"/>
  <c r="Q38" i="2" s="1"/>
  <c r="Q37" i="5"/>
  <c r="Q38" i="5" s="1"/>
  <c r="Q18" i="1"/>
  <c r="M18" i="1"/>
  <c r="B18" i="1"/>
  <c r="Q36" i="1" l="1"/>
  <c r="M36" i="1"/>
  <c r="B36" i="1"/>
  <c r="Q33" i="1" l="1"/>
  <c r="M33" i="1"/>
  <c r="B33" i="1"/>
  <c r="Q35" i="1" l="1"/>
  <c r="M35" i="1"/>
  <c r="B35" i="1"/>
  <c r="Q34" i="1"/>
  <c r="M34" i="1"/>
  <c r="B34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M21" i="1"/>
  <c r="B21" i="1"/>
  <c r="Q20" i="1"/>
  <c r="M20" i="1"/>
  <c r="B20" i="1"/>
  <c r="Q19" i="1"/>
  <c r="M19" i="1"/>
  <c r="B19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 l="1"/>
  <c r="Q10" i="1"/>
  <c r="M11" i="1"/>
  <c r="M10" i="1"/>
  <c r="B11" i="1"/>
  <c r="B10" i="1"/>
  <c r="Q37" i="1" l="1"/>
  <c r="Q38" i="1" s="1"/>
</calcChain>
</file>

<file path=xl/sharedStrings.xml><?xml version="1.0" encoding="utf-8"?>
<sst xmlns="http://schemas.openxmlformats.org/spreadsheetml/2006/main" count="1800" uniqueCount="206">
  <si>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</si>
  <si>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</si>
  <si>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</si>
  <si>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</si>
  <si>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</si>
  <si>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</si>
  <si>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</si>
  <si>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</si>
  <si>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</si>
  <si>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</si>
  <si>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Ferrite Bead</t>
  </si>
  <si>
    <t>Ethernet Connector</t>
  </si>
  <si>
    <t>Mosfet</t>
  </si>
  <si>
    <t>Resistor</t>
  </si>
  <si>
    <t>IC</t>
  </si>
  <si>
    <t>TVS Diode</t>
  </si>
  <si>
    <t>Crystal</t>
  </si>
  <si>
    <t>Designator</t>
  </si>
  <si>
    <t>C1, C9</t>
  </si>
  <si>
    <t>C2, C3, C4, C5, C6, C7, C11</t>
  </si>
  <si>
    <t>C8, C10</t>
  </si>
  <si>
    <t>C12, C13</t>
  </si>
  <si>
    <t>C14</t>
  </si>
  <si>
    <t>C15, C16</t>
  </si>
  <si>
    <t>C17</t>
  </si>
  <si>
    <t>C18, C19</t>
  </si>
  <si>
    <t>FB1, FB2</t>
  </si>
  <si>
    <t>J1</t>
  </si>
  <si>
    <t>Q1</t>
  </si>
  <si>
    <t>Q2</t>
  </si>
  <si>
    <t>R1</t>
  </si>
  <si>
    <t>R4, R5, R15, R16</t>
  </si>
  <si>
    <t>R6</t>
  </si>
  <si>
    <t>R7, R8, R11, R13</t>
  </si>
  <si>
    <t>R10, R14</t>
  </si>
  <si>
    <t>R20</t>
  </si>
  <si>
    <t>R28</t>
  </si>
  <si>
    <t>U1</t>
  </si>
  <si>
    <t>X1</t>
  </si>
  <si>
    <t>Description</t>
  </si>
  <si>
    <t>CAP CER 22UF 10V X5R 0603</t>
  </si>
  <si>
    <t>CAP CER 0.1UF 50V X5R 0603</t>
  </si>
  <si>
    <t>CAP CER 10UF 25V X5R 0603</t>
  </si>
  <si>
    <t>50V 6.8nF X7R ±10% 0603</t>
  </si>
  <si>
    <t>CAP CER 0.022UF 100V X7R 0603</t>
  </si>
  <si>
    <t>CAP CER 10000PF 100V X7R 0603</t>
  </si>
  <si>
    <t>CAP CER, 4.7 µF, 25 V, 0603</t>
  </si>
  <si>
    <t>CAP CER 12PF 100V C0G/NP0 0603</t>
  </si>
  <si>
    <t>FERRITE BEAD 600 OHM 1210 1LN</t>
  </si>
  <si>
    <t>PCI Express Mini Card (Mini PCIe)</t>
  </si>
  <si>
    <t>40V 100mW 100@10mA,1V 200mA 300MHz 300mV@50mA,5mA NPN -55℃~+150℃@(Tj) SOT-723 Bipolar Transistors - BJT ROHS</t>
  </si>
  <si>
    <t>MOSFET P-CH 12V 2.6A SUPERSOT3</t>
  </si>
  <si>
    <t>RES SMD 1K OHM 1% 1/10W 0603</t>
  </si>
  <si>
    <t>RES SMD 0R, 1%, 0.1W, 0603</t>
  </si>
  <si>
    <t>RES 49.9 OHM 1% 1/10W 0603</t>
  </si>
  <si>
    <t>RES SMD 10 OHM 1% 1/10W 0603</t>
  </si>
  <si>
    <t>RES SMD 0603 33 Ohm 1% 1/10W</t>
  </si>
  <si>
    <t>RES  SMD 330R 100 mW 0603</t>
  </si>
  <si>
    <t>RES SMD 1M OHM 1% 1/10W 0603</t>
  </si>
  <si>
    <t>RES SMD 12.4K OHM 1% 1/10W 0603</t>
  </si>
  <si>
    <t>SPI LQFP-48(7x7) Ethernet ICs ROHS</t>
  </si>
  <si>
    <t>SMD3225-4P Crystals ROHS</t>
  </si>
  <si>
    <t>Footprint</t>
  </si>
  <si>
    <t>Cap-0603</t>
  </si>
  <si>
    <t>IND-1210</t>
  </si>
  <si>
    <t>SOT-723</t>
  </si>
  <si>
    <t>SOT-23</t>
  </si>
  <si>
    <t>Res-0603</t>
  </si>
  <si>
    <t>48-LQFP (7x7)_</t>
  </si>
  <si>
    <t>NX3225GA-25MHZ-STD-CRG-2</t>
  </si>
  <si>
    <t>Manufacturer Part Number</t>
  </si>
  <si>
    <t>CC0603MRX5R6BB226</t>
  </si>
  <si>
    <t>CC0603KRX5R9BB104</t>
  </si>
  <si>
    <t>C1608X5R1E106M080AC</t>
  </si>
  <si>
    <t>0603B682K500NT</t>
  </si>
  <si>
    <t>CGA3E2X7R2A223K080AA</t>
  </si>
  <si>
    <t>AC0603KRX7R0BB103</t>
  </si>
  <si>
    <t>C1608X5R1E475KT000E</t>
  </si>
  <si>
    <t>GCM1885C2A120JA16D</t>
  </si>
  <si>
    <t>FBMH3225HM601NT</t>
  </si>
  <si>
    <t>MMBT3904M</t>
  </si>
  <si>
    <t>FDN306P</t>
  </si>
  <si>
    <t>RC0603FR-071KL</t>
  </si>
  <si>
    <t>RC0603FR-070RL</t>
  </si>
  <si>
    <t>RC0603FR-0749R9L</t>
  </si>
  <si>
    <t>RC0603FR-0710RL</t>
  </si>
  <si>
    <t>RC0603FR-0733RL</t>
  </si>
  <si>
    <t>RC0603JR-07330RL</t>
  </si>
  <si>
    <t>RC0603FR-071ML</t>
  </si>
  <si>
    <t>RC0603FR-0712K4L</t>
  </si>
  <si>
    <t>W5500</t>
  </si>
  <si>
    <t>Manufacturer</t>
  </si>
  <si>
    <t>Yageo</t>
  </si>
  <si>
    <t>TDK</t>
  </si>
  <si>
    <t>FH</t>
  </si>
  <si>
    <t>Murata</t>
  </si>
  <si>
    <t>Taiyo Yuden</t>
  </si>
  <si>
    <t>TECH PUBLIC</t>
  </si>
  <si>
    <t>ON Semiconductor / Fairchild</t>
  </si>
  <si>
    <t>WIZNET</t>
  </si>
  <si>
    <t>Littelfuse</t>
  </si>
  <si>
    <t>NDK</t>
  </si>
  <si>
    <t>LCSC Part Number</t>
  </si>
  <si>
    <t>C109447</t>
  </si>
  <si>
    <t>C110022</t>
  </si>
  <si>
    <t>C2168289</t>
  </si>
  <si>
    <t>C1631</t>
  </si>
  <si>
    <t>C149602</t>
  </si>
  <si>
    <t>C76615</t>
  </si>
  <si>
    <t>C268004</t>
  </si>
  <si>
    <t>C2923360</t>
  </si>
  <si>
    <t>C22548</t>
  </si>
  <si>
    <t>C100044</t>
  </si>
  <si>
    <t>C114625</t>
  </si>
  <si>
    <t>C109318</t>
  </si>
  <si>
    <t>C108661</t>
  </si>
  <si>
    <t>C105879</t>
  </si>
  <si>
    <t>C105578</t>
  </si>
  <si>
    <t>C137798</t>
  </si>
  <si>
    <t>C32843</t>
  </si>
  <si>
    <t>C438901</t>
  </si>
  <si>
    <t>22uF</t>
  </si>
  <si>
    <t>0.1uF</t>
  </si>
  <si>
    <t>10uF</t>
  </si>
  <si>
    <t>6.8nF</t>
  </si>
  <si>
    <t>22nF</t>
  </si>
  <si>
    <t>10nF</t>
  </si>
  <si>
    <t>4.7uF</t>
  </si>
  <si>
    <t>12pF</t>
  </si>
  <si>
    <t>1K</t>
  </si>
  <si>
    <t>10K</t>
  </si>
  <si>
    <t>0R</t>
  </si>
  <si>
    <t>49.9R</t>
  </si>
  <si>
    <t>10R</t>
  </si>
  <si>
    <t>33R</t>
  </si>
  <si>
    <t>330R</t>
  </si>
  <si>
    <t>1M</t>
  </si>
  <si>
    <t>12.4K</t>
  </si>
  <si>
    <t>25MHZ</t>
  </si>
  <si>
    <t>Quantity</t>
  </si>
  <si>
    <t>Alternate Part Number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</si>
  <si>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</si>
  <si>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</si>
  <si>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</si>
  <si>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</si>
  <si>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</si>
  <si>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</si>
  <si>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</si>
  <si>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Value</t>
  </si>
  <si>
    <t>Custom</t>
  </si>
  <si>
    <t xml:space="preserve">Mini PCIe SMD Pad </t>
  </si>
  <si>
    <t>-</t>
  </si>
  <si>
    <t>LCSC</t>
  </si>
  <si>
    <t>DO NOT MOUNT</t>
  </si>
  <si>
    <t>Ethernet-Module-v2.0.</t>
  </si>
  <si>
    <t>Bill of Materials for Project [Ethernet-Module-v2.0.]</t>
  </si>
  <si>
    <t>J2</t>
  </si>
  <si>
    <t>RES SMD 10K OHM 1% 1/20W 0201</t>
  </si>
  <si>
    <t>Res-0201</t>
  </si>
  <si>
    <t>RC0201FR-0710KL</t>
  </si>
  <si>
    <t>C106225</t>
  </si>
  <si>
    <t>C426087</t>
  </si>
  <si>
    <t>0603N120J101CT</t>
  </si>
  <si>
    <t>C3858995</t>
  </si>
  <si>
    <t>CONN JACK 1PORT 100 BASE-T PCB</t>
  </si>
  <si>
    <t>ARJM11D7-114-AB-EW2</t>
  </si>
  <si>
    <t>Abracon</t>
  </si>
  <si>
    <t>Mouser</t>
  </si>
  <si>
    <t>R2, R9, R12, R17, R18, R19, R22, R23, R24, R25, R26, R27</t>
  </si>
  <si>
    <t>R3, R21, R29</t>
  </si>
  <si>
    <t>R30</t>
  </si>
  <si>
    <t>RES 4.7K OHM 1% 1/16W 0402</t>
  </si>
  <si>
    <t>Res-0402</t>
  </si>
  <si>
    <t>RC0402FR-074K7L</t>
  </si>
  <si>
    <t>C105871</t>
  </si>
  <si>
    <t>4.7K</t>
  </si>
  <si>
    <t>Peripheral</t>
  </si>
  <si>
    <t>LC-2030C</t>
  </si>
  <si>
    <t>C3011736</t>
  </si>
  <si>
    <t xml:space="preserve">Shengwei </t>
  </si>
  <si>
    <t>Eternet Cable</t>
  </si>
  <si>
    <t>D1, D2</t>
  </si>
  <si>
    <t>TVS DIODE 5.5VWM 8.5VC SOT23-3</t>
  </si>
  <si>
    <t>SP0502BAHTG</t>
  </si>
  <si>
    <t>C207261</t>
  </si>
  <si>
    <t>Quantity (20 Boards)</t>
  </si>
  <si>
    <t>MOQ (20 Boards)</t>
  </si>
  <si>
    <t>Unit Cost (20 Boards)</t>
  </si>
  <si>
    <t>Total Cost (20 Boards)</t>
  </si>
  <si>
    <t>Quantity (50 Boards)</t>
  </si>
  <si>
    <t>MOQ (50 Boards)</t>
  </si>
  <si>
    <t>Unit Cost (50 Boards)</t>
  </si>
  <si>
    <t>Total Cost (50 Boards)</t>
  </si>
  <si>
    <t>Quantity (100 Boards)</t>
  </si>
  <si>
    <t>MOQ (100 Boards)</t>
  </si>
  <si>
    <t>Unit Cost (100 Boards)</t>
  </si>
  <si>
    <t>Total Cost (100 Boards)</t>
  </si>
  <si>
    <t>Quantity (500 Boards)</t>
  </si>
  <si>
    <t>MOQ (500 Boards)</t>
  </si>
  <si>
    <t>Unit Cost (500 Boards)</t>
  </si>
  <si>
    <t>Total Cost (500 Boards)</t>
  </si>
  <si>
    <t>Quantity (1000 Boards)</t>
  </si>
  <si>
    <t>MOQ (1000 Boards)</t>
  </si>
  <si>
    <t>Unit Cost (1000 Boards)</t>
  </si>
  <si>
    <t>Total Cost (1000 Boards)</t>
  </si>
  <si>
    <t>C5236682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</si>
</sst>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1" fillId="4" borderId="17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/>
    </xf>
    <xf numFmtId="165" fontId="18" fillId="2" borderId="17" xfId="0" applyNumberFormat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1" fillId="4" borderId="16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263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263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263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19</xdr:col>
      <xdr:colOff>0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26325" y="620017"/>
          <a:ext cx="1714500" cy="1104008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2</xdr:row>
      <xdr:rowOff>10417</xdr:rowOff>
    </xdr:from>
    <xdr:to>
      <xdr:col>19</xdr:col>
      <xdr:colOff>0</xdr:colOff>
      <xdr:row>7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263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19</xdr:col>
      <xdr:colOff>0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2632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ipolar-Transistors-BJT_TECH-PUBLIC-MMBT3904M_C2923360.html" TargetMode="External"/><Relationship Id="rId13" Type="http://schemas.openxmlformats.org/officeDocument/2006/relationships/hyperlink" Target="https://www.lcsc.com/product-detail/Chip-Resistor-Surface-Mount_YAGEO-RC0603FR-0733RL_C108661.html" TargetMode="External"/><Relationship Id="rId18" Type="http://schemas.openxmlformats.org/officeDocument/2006/relationships/hyperlink" Target="https://www.lcsc.com/product-detail/Crystals_NDK-NX3225GA-25MHZ-STD-CRG-2_C438901.html" TargetMode="External"/><Relationship Id="rId26" Type="http://schemas.openxmlformats.org/officeDocument/2006/relationships/hyperlink" Target="https://www.lcsc.com/product-detail/MOSFETs_UMW-Youtai-Semiconductor-Co-Ltd-FDN306P_C5236682.html" TargetMode="External"/><Relationship Id="rId3" Type="http://schemas.openxmlformats.org/officeDocument/2006/relationships/hyperlink" Target="https://www.lcsc.com/product-detail/Multilayer-Ceramic-Capacitors-MLCC-SMD-SMT_TDK-C1608X5R1E106M080AC_C2168289.html" TargetMode="External"/><Relationship Id="rId21" Type="http://schemas.openxmlformats.org/officeDocument/2006/relationships/hyperlink" Target="https://www.lcsc.com/product-detail/Chip-Resistor-Surface-Mount_YAGEO-RC0201FR-0710KL_C106225.html" TargetMode="External"/><Relationship Id="rId7" Type="http://schemas.openxmlformats.org/officeDocument/2006/relationships/hyperlink" Target="https://www.lcsc.com/product-detail/Ferrite-Beads_Taiyo-Yuden-FBMH3225HM601NT_C268004.html" TargetMode="External"/><Relationship Id="rId12" Type="http://schemas.openxmlformats.org/officeDocument/2006/relationships/hyperlink" Target="https://www.lcsc.com/product-detail/Chip-Resistor-Surface-Mount_YAGEO-RC0603FR-0710RL_C109318.html" TargetMode="External"/><Relationship Id="rId17" Type="http://schemas.openxmlformats.org/officeDocument/2006/relationships/hyperlink" Target="https://www.lcsc.com/product-detail/Ethernet-ICs_WIZNET-W5500_C32843.html" TargetMode="External"/><Relationship Id="rId25" Type="http://schemas.openxmlformats.org/officeDocument/2006/relationships/hyperlink" Target="https://www.lcsc.com/product-detail/TVS_Littelfuse-SP0502BAHTG_C207261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Chip-Resistor-Surface-Mount_YAGEO-RC0603FR-0712K4L_C137798.html" TargetMode="External"/><Relationship Id="rId20" Type="http://schemas.openxmlformats.org/officeDocument/2006/relationships/hyperlink" Target="https://www.lcsc.com/product-detail/Multilayer-Ceramic-Capacitors-MLCC-SMD-SMT_Walsin-Tech-Corp-0603N120J101CT_C3858995.html" TargetMode="External"/><Relationship Id="rId1" Type="http://schemas.openxmlformats.org/officeDocument/2006/relationships/hyperlink" Target="https://www.lcsc.com/product-detail/Multilayer-Ceramic-Capacitors-MLCC-SMD-SMT_YAGEO-CC0603MRX5R6BB226_C109447.html" TargetMode="External"/><Relationship Id="rId6" Type="http://schemas.openxmlformats.org/officeDocument/2006/relationships/hyperlink" Target="https://www.lcsc.com/product-detail/Multilayer-Ceramic-Capacitors-MLCC-SMD-SMT_TDK-C1608X5R1E475KT000E_C76615.html" TargetMode="External"/><Relationship Id="rId11" Type="http://schemas.openxmlformats.org/officeDocument/2006/relationships/hyperlink" Target="https://www.lcsc.com/product-detail/Chip-Resistor-Surface-Mount_YAGEO-RC0603FR-0749R9L_C114625.html" TargetMode="External"/><Relationship Id="rId24" Type="http://schemas.openxmlformats.org/officeDocument/2006/relationships/hyperlink" Target="https://www.lcsc.com/product-detail/Cable_Shengwei-LC-2030C_C3011736.html" TargetMode="External"/><Relationship Id="rId5" Type="http://schemas.openxmlformats.org/officeDocument/2006/relationships/hyperlink" Target="https://www.lcsc.com/product-detail/Multilayer-Ceramic-Capacitors-MLCC-SMD-SMT_YAGEO-AC0603KRX7R0BB103_C149602.html" TargetMode="External"/><Relationship Id="rId15" Type="http://schemas.openxmlformats.org/officeDocument/2006/relationships/hyperlink" Target="https://www.lcsc.com/product-detail/Chip-Resistor-Surface-Mount_YAGEO-RC0603FR-071ML_C105578.html" TargetMode="External"/><Relationship Id="rId23" Type="http://schemas.openxmlformats.org/officeDocument/2006/relationships/hyperlink" Target="https://www.lcsc.com/product-detail/Chip-Resistor-Surface-Mount_YAGEO-RC0402FR-074K7L_C105871.html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lcsc.com/product-detail/Chip-Resistor-Surface-Mount_YAGEO-RC0603FR-070RL_C100044.html" TargetMode="External"/><Relationship Id="rId19" Type="http://schemas.openxmlformats.org/officeDocument/2006/relationships/hyperlink" Target="https://www.lcsc.com/product-detail/Multilayer-Ceramic-Capacitors-MLCC-SMD-SMT_Murata-Electronics-GRM188R72A223KAC4D_C426087.html" TargetMode="External"/><Relationship Id="rId4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9" Type="http://schemas.openxmlformats.org/officeDocument/2006/relationships/hyperlink" Target="https://www.lcsc.com/product-detail/Chip-Resistor-Surface-Mount_YAGEO-RC0603FR-071KL_C22548.html" TargetMode="External"/><Relationship Id="rId14" Type="http://schemas.openxmlformats.org/officeDocument/2006/relationships/hyperlink" Target="https://www.lcsc.com/product-detail/Chip-Resistor-Surface-Mount_YAGEO-RC0603JR-07330RL_C105879.html" TargetMode="External"/><Relationship Id="rId22" Type="http://schemas.openxmlformats.org/officeDocument/2006/relationships/hyperlink" Target="https://eu.mouser.com/ProductDetail/ABRACON/ARJM11D7-114-AB-EW2?qs=YCa%2FAAYMW02ICsJcHu%252BNJg%3D%3D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ipolar-Transistors-BJT_TECH-PUBLIC-MMBT3904M_C2923360.html" TargetMode="External"/><Relationship Id="rId13" Type="http://schemas.openxmlformats.org/officeDocument/2006/relationships/hyperlink" Target="https://www.lcsc.com/product-detail/Chip-Resistor-Surface-Mount_YAGEO-RC0603FR-0733RL_C108661.html" TargetMode="External"/><Relationship Id="rId18" Type="http://schemas.openxmlformats.org/officeDocument/2006/relationships/hyperlink" Target="https://www.lcsc.com/product-detail/Crystals_NDK-NX3225GA-25MHZ-STD-CRG-2_C438901.html" TargetMode="External"/><Relationship Id="rId26" Type="http://schemas.openxmlformats.org/officeDocument/2006/relationships/hyperlink" Target="https://www.lcsc.com/product-detail/MOSFETs_UMW-Youtai-Semiconductor-Co-Ltd-FDN306P_C5236682.html" TargetMode="External"/><Relationship Id="rId3" Type="http://schemas.openxmlformats.org/officeDocument/2006/relationships/hyperlink" Target="https://www.lcsc.com/product-detail/Multilayer-Ceramic-Capacitors-MLCC-SMD-SMT_TDK-C1608X5R1E106M080AC_C2168289.html" TargetMode="External"/><Relationship Id="rId21" Type="http://schemas.openxmlformats.org/officeDocument/2006/relationships/hyperlink" Target="https://www.lcsc.com/product-detail/Chip-Resistor-Surface-Mount_YAGEO-RC0201FR-0710KL_C106225.html" TargetMode="External"/><Relationship Id="rId7" Type="http://schemas.openxmlformats.org/officeDocument/2006/relationships/hyperlink" Target="https://www.lcsc.com/product-detail/Ferrite-Beads_Taiyo-Yuden-FBMH3225HM601NT_C268004.html" TargetMode="External"/><Relationship Id="rId12" Type="http://schemas.openxmlformats.org/officeDocument/2006/relationships/hyperlink" Target="https://www.lcsc.com/product-detail/Chip-Resistor-Surface-Mount_YAGEO-RC0603FR-0710RL_C109318.html" TargetMode="External"/><Relationship Id="rId17" Type="http://schemas.openxmlformats.org/officeDocument/2006/relationships/hyperlink" Target="https://www.lcsc.com/product-detail/Ethernet-ICs_WIZNET-W5500_C32843.html" TargetMode="External"/><Relationship Id="rId25" Type="http://schemas.openxmlformats.org/officeDocument/2006/relationships/hyperlink" Target="https://www.lcsc.com/product-detail/TVS_Littelfuse-SP0502BAHTG_C207261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Chip-Resistor-Surface-Mount_YAGEO-RC0603FR-0712K4L_C137798.html" TargetMode="External"/><Relationship Id="rId20" Type="http://schemas.openxmlformats.org/officeDocument/2006/relationships/hyperlink" Target="https://www.lcsc.com/product-detail/Multilayer-Ceramic-Capacitors-MLCC-SMD-SMT_Walsin-Tech-Corp-0603N120J101CT_C3858995.html" TargetMode="External"/><Relationship Id="rId1" Type="http://schemas.openxmlformats.org/officeDocument/2006/relationships/hyperlink" Target="https://www.lcsc.com/product-detail/Multilayer-Ceramic-Capacitors-MLCC-SMD-SMT_YAGEO-CC0603MRX5R6BB226_C109447.html" TargetMode="External"/><Relationship Id="rId6" Type="http://schemas.openxmlformats.org/officeDocument/2006/relationships/hyperlink" Target="https://www.lcsc.com/product-detail/Multilayer-Ceramic-Capacitors-MLCC-SMD-SMT_TDK-C1608X5R1E475KT000E_C76615.html" TargetMode="External"/><Relationship Id="rId11" Type="http://schemas.openxmlformats.org/officeDocument/2006/relationships/hyperlink" Target="https://www.lcsc.com/product-detail/Chip-Resistor-Surface-Mount_YAGEO-RC0603FR-0749R9L_C114625.html" TargetMode="External"/><Relationship Id="rId24" Type="http://schemas.openxmlformats.org/officeDocument/2006/relationships/hyperlink" Target="https://www.lcsc.com/product-detail/Cable_Shengwei-LC-2030C_C3011736.html" TargetMode="External"/><Relationship Id="rId5" Type="http://schemas.openxmlformats.org/officeDocument/2006/relationships/hyperlink" Target="https://www.lcsc.com/product-detail/Multilayer-Ceramic-Capacitors-MLCC-SMD-SMT_YAGEO-AC0603KRX7R0BB103_C149602.html" TargetMode="External"/><Relationship Id="rId15" Type="http://schemas.openxmlformats.org/officeDocument/2006/relationships/hyperlink" Target="https://www.lcsc.com/product-detail/Chip-Resistor-Surface-Mount_YAGEO-RC0603FR-071ML_C105578.html" TargetMode="External"/><Relationship Id="rId23" Type="http://schemas.openxmlformats.org/officeDocument/2006/relationships/hyperlink" Target="https://www.lcsc.com/product-detail/Chip-Resistor-Surface-Mount_YAGEO-RC0402FR-074K7L_C105871.html" TargetMode="External"/><Relationship Id="rId10" Type="http://schemas.openxmlformats.org/officeDocument/2006/relationships/hyperlink" Target="https://www.lcsc.com/product-detail/Chip-Resistor-Surface-Mount_YAGEO-RC0603FR-070RL_C100044.html" TargetMode="External"/><Relationship Id="rId19" Type="http://schemas.openxmlformats.org/officeDocument/2006/relationships/hyperlink" Target="https://www.lcsc.com/product-detail/Multilayer-Ceramic-Capacitors-MLCC-SMD-SMT_Murata-Electronics-GRM188R72A223KAC4D_C426087.html" TargetMode="External"/><Relationship Id="rId4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9" Type="http://schemas.openxmlformats.org/officeDocument/2006/relationships/hyperlink" Target="https://www.lcsc.com/product-detail/Chip-Resistor-Surface-Mount_YAGEO-RC0603FR-071KL_C22548.html" TargetMode="External"/><Relationship Id="rId14" Type="http://schemas.openxmlformats.org/officeDocument/2006/relationships/hyperlink" Target="https://www.lcsc.com/product-detail/Chip-Resistor-Surface-Mount_YAGEO-RC0603JR-07330RL_C105879.html" TargetMode="External"/><Relationship Id="rId22" Type="http://schemas.openxmlformats.org/officeDocument/2006/relationships/hyperlink" Target="https://eu.mouser.com/ProductDetail/ABRACON/ARJM11D7-114-AB-EW2?qs=YCa%2FAAYMW02ICsJcHu%252BNJg%3D%3D" TargetMode="External"/><Relationship Id="rId27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RC0603FR-071KL_C22548.html" TargetMode="External"/><Relationship Id="rId13" Type="http://schemas.openxmlformats.org/officeDocument/2006/relationships/hyperlink" Target="https://www.lcsc.com/product-detail/Chip-Resistor-Surface-Mount_YAGEO-RC0603JR-07330RL_C105879.html" TargetMode="External"/><Relationship Id="rId18" Type="http://schemas.openxmlformats.org/officeDocument/2006/relationships/hyperlink" Target="https://www.lcsc.com/product-detail/Multilayer-Ceramic-Capacitors-MLCC-SMD-SMT_Murata-Electronics-GRM188R72A223KAC4D_C426087.html" TargetMode="External"/><Relationship Id="rId26" Type="http://schemas.openxmlformats.org/officeDocument/2006/relationships/hyperlink" Target="https://www.lcsc.com/product-detail/MOSFETs_UMW-Youtai-Semiconductor-Co-Ltd-FDN306P_C5236682.html" TargetMode="External"/><Relationship Id="rId3" Type="http://schemas.openxmlformats.org/officeDocument/2006/relationships/hyperlink" Target="https://www.lcsc.com/product-detail/Multilayer-Ceramic-Capacitors-MLCC-SMD-SMT_TDK-C1608X5R1E106M080AC_C2168289.html" TargetMode="External"/><Relationship Id="rId21" Type="http://schemas.openxmlformats.org/officeDocument/2006/relationships/hyperlink" Target="https://eu.mouser.com/ProductDetail/ABRACON/ARJM11D7-114-AB-EW2?qs=YCa%2FAAYMW02ICsJcHu%252BNJg%3D%3D" TargetMode="External"/><Relationship Id="rId7" Type="http://schemas.openxmlformats.org/officeDocument/2006/relationships/hyperlink" Target="https://www.lcsc.com/product-detail/Bipolar-Transistors-BJT_TECH-PUBLIC-MMBT3904M_C2923360.html" TargetMode="External"/><Relationship Id="rId12" Type="http://schemas.openxmlformats.org/officeDocument/2006/relationships/hyperlink" Target="https://www.lcsc.com/product-detail/Chip-Resistor-Surface-Mount_YAGEO-RC0603FR-0733RL_C108661.html" TargetMode="External"/><Relationship Id="rId17" Type="http://schemas.openxmlformats.org/officeDocument/2006/relationships/hyperlink" Target="https://www.lcsc.com/product-detail/Crystals_NDK-NX3225GA-25MHZ-STD-CRG-2_C438901.html" TargetMode="External"/><Relationship Id="rId25" Type="http://schemas.openxmlformats.org/officeDocument/2006/relationships/hyperlink" Target="https://www.lcsc.com/product-detail/TVS_Littelfuse-SP0502BAHTG_C207261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Ethernet-ICs_WIZNET-W5500_C32843.html" TargetMode="External"/><Relationship Id="rId20" Type="http://schemas.openxmlformats.org/officeDocument/2006/relationships/hyperlink" Target="https://www.lcsc.com/product-detail/Chip-Resistor-Surface-Mount_YAGEO-RC0201FR-0710KL_C106225.html" TargetMode="External"/><Relationship Id="rId1" Type="http://schemas.openxmlformats.org/officeDocument/2006/relationships/hyperlink" Target="https://www.lcsc.com/product-detail/Multilayer-Ceramic-Capacitors-MLCC-SMD-SMT_YAGEO-CC0603MRX5R6BB226_C109447.html" TargetMode="External"/><Relationship Id="rId6" Type="http://schemas.openxmlformats.org/officeDocument/2006/relationships/hyperlink" Target="https://www.lcsc.com/product-detail/Multilayer-Ceramic-Capacitors-MLCC-SMD-SMT_TDK-C1608X5R1E475KT000E_C76615.html" TargetMode="External"/><Relationship Id="rId11" Type="http://schemas.openxmlformats.org/officeDocument/2006/relationships/hyperlink" Target="https://www.lcsc.com/product-detail/Chip-Resistor-Surface-Mount_YAGEO-RC0603FR-0710RL_C109318.html" TargetMode="External"/><Relationship Id="rId24" Type="http://schemas.openxmlformats.org/officeDocument/2006/relationships/hyperlink" Target="https://www.lcsc.com/product-detail/Ferrite-Beads_Taiyo-Yuden-FBMH3225HM601NT_C268004.html" TargetMode="External"/><Relationship Id="rId5" Type="http://schemas.openxmlformats.org/officeDocument/2006/relationships/hyperlink" Target="https://www.lcsc.com/product-detail/Multilayer-Ceramic-Capacitors-MLCC-SMD-SMT_YAGEO-AC0603KRX7R0BB103_C149602.html" TargetMode="External"/><Relationship Id="rId15" Type="http://schemas.openxmlformats.org/officeDocument/2006/relationships/hyperlink" Target="https://www.lcsc.com/product-detail/Chip-Resistor-Surface-Mount_YAGEO-RC0603FR-0712K4L_C137798.html" TargetMode="External"/><Relationship Id="rId23" Type="http://schemas.openxmlformats.org/officeDocument/2006/relationships/hyperlink" Target="https://www.lcsc.com/product-detail/Cable_Shengwei-LC-2030C_C3011736.html" TargetMode="External"/><Relationship Id="rId10" Type="http://schemas.openxmlformats.org/officeDocument/2006/relationships/hyperlink" Target="https://www.lcsc.com/product-detail/Chip-Resistor-Surface-Mount_YAGEO-RC0603FR-0749R9L_C114625.html" TargetMode="External"/><Relationship Id="rId19" Type="http://schemas.openxmlformats.org/officeDocument/2006/relationships/hyperlink" Target="https://www.lcsc.com/product-detail/Multilayer-Ceramic-Capacitors-MLCC-SMD-SMT_Walsin-Tech-Corp-0603N120J101CT_C3858995.html" TargetMode="External"/><Relationship Id="rId4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9" Type="http://schemas.openxmlformats.org/officeDocument/2006/relationships/hyperlink" Target="https://www.lcsc.com/product-detail/Chip-Resistor-Surface-Mount_YAGEO-RC0603FR-070RL_C100044.html" TargetMode="External"/><Relationship Id="rId14" Type="http://schemas.openxmlformats.org/officeDocument/2006/relationships/hyperlink" Target="https://www.lcsc.com/product-detail/Chip-Resistor-Surface-Mount_YAGEO-RC0603FR-071ML_C105578.html" TargetMode="External"/><Relationship Id="rId22" Type="http://schemas.openxmlformats.org/officeDocument/2006/relationships/hyperlink" Target="https://www.lcsc.com/product-detail/Chip-Resistor-Surface-Mount_YAGEO-RC0402FR-074K7L_C105871.html" TargetMode="External"/><Relationship Id="rId27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ipolar-Transistors-BJT_TECH-PUBLIC-MMBT3904M_C2923360.html" TargetMode="External"/><Relationship Id="rId13" Type="http://schemas.openxmlformats.org/officeDocument/2006/relationships/hyperlink" Target="https://www.lcsc.com/product-detail/Chip-Resistor-Surface-Mount_YAGEO-RC0603FR-0733RL_C108661.html" TargetMode="External"/><Relationship Id="rId18" Type="http://schemas.openxmlformats.org/officeDocument/2006/relationships/hyperlink" Target="https://www.lcsc.com/product-detail/Crystals_NDK-NX3225GA-25MHZ-STD-CRG-2_C438901.html" TargetMode="External"/><Relationship Id="rId26" Type="http://schemas.openxmlformats.org/officeDocument/2006/relationships/hyperlink" Target="https://www.lcsc.com/product-detail/Bipolar-Transistors-BJT_TECH-PUBLIC-MMBT3904M_C2923360.html" TargetMode="External"/><Relationship Id="rId3" Type="http://schemas.openxmlformats.org/officeDocument/2006/relationships/hyperlink" Target="https://www.lcsc.com/product-detail/Multilayer-Ceramic-Capacitors-MLCC-SMD-SMT_TDK-C1608X5R1E106M080AC_C2168289.html" TargetMode="External"/><Relationship Id="rId21" Type="http://schemas.openxmlformats.org/officeDocument/2006/relationships/hyperlink" Target="https://www.lcsc.com/product-detail/Chip-Resistor-Surface-Mount_YAGEO-RC0201FR-0710KL_C106225.html" TargetMode="External"/><Relationship Id="rId7" Type="http://schemas.openxmlformats.org/officeDocument/2006/relationships/hyperlink" Target="https://www.lcsc.com/product-detail/Ferrite-Beads_Taiyo-Yuden-FBMH3225HM601NT_C268004.html" TargetMode="External"/><Relationship Id="rId12" Type="http://schemas.openxmlformats.org/officeDocument/2006/relationships/hyperlink" Target="https://www.lcsc.com/product-detail/Chip-Resistor-Surface-Mount_YAGEO-RC0603FR-0710RL_C109318.html" TargetMode="External"/><Relationship Id="rId17" Type="http://schemas.openxmlformats.org/officeDocument/2006/relationships/hyperlink" Target="https://www.lcsc.com/product-detail/Ethernet-ICs_WIZNET-W5500_C32843.html" TargetMode="External"/><Relationship Id="rId25" Type="http://schemas.openxmlformats.org/officeDocument/2006/relationships/hyperlink" Target="https://www.lcsc.com/product-detail/TVS_Littelfuse-SP0502BAHTG_C207261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Chip-Resistor-Surface-Mount_YAGEO-RC0603FR-0712K4L_C137798.html" TargetMode="External"/><Relationship Id="rId20" Type="http://schemas.openxmlformats.org/officeDocument/2006/relationships/hyperlink" Target="https://www.lcsc.com/product-detail/Multilayer-Ceramic-Capacitors-MLCC-SMD-SMT_Walsin-Tech-Corp-0603N120J101CT_C3858995.html" TargetMode="External"/><Relationship Id="rId1" Type="http://schemas.openxmlformats.org/officeDocument/2006/relationships/hyperlink" Target="https://www.lcsc.com/product-detail/Multilayer-Ceramic-Capacitors-MLCC-SMD-SMT_YAGEO-CC0603MRX5R6BB226_C109447.html" TargetMode="External"/><Relationship Id="rId6" Type="http://schemas.openxmlformats.org/officeDocument/2006/relationships/hyperlink" Target="https://www.lcsc.com/product-detail/Multilayer-Ceramic-Capacitors-MLCC-SMD-SMT_TDK-C1608X5R1E475KT000E_C76615.html" TargetMode="External"/><Relationship Id="rId11" Type="http://schemas.openxmlformats.org/officeDocument/2006/relationships/hyperlink" Target="https://www.lcsc.com/product-detail/Chip-Resistor-Surface-Mount_YAGEO-RC0603FR-0749R9L_C114625.html" TargetMode="External"/><Relationship Id="rId24" Type="http://schemas.openxmlformats.org/officeDocument/2006/relationships/hyperlink" Target="https://www.lcsc.com/product-detail/Cable_Shengwei-LC-2030C_C3011736.html" TargetMode="External"/><Relationship Id="rId5" Type="http://schemas.openxmlformats.org/officeDocument/2006/relationships/hyperlink" Target="https://www.lcsc.com/product-detail/Multilayer-Ceramic-Capacitors-MLCC-SMD-SMT_YAGEO-AC0603KRX7R0BB103_C149602.html" TargetMode="External"/><Relationship Id="rId15" Type="http://schemas.openxmlformats.org/officeDocument/2006/relationships/hyperlink" Target="https://www.lcsc.com/product-detail/Chip-Resistor-Surface-Mount_YAGEO-RC0603FR-071ML_C105578.html" TargetMode="External"/><Relationship Id="rId23" Type="http://schemas.openxmlformats.org/officeDocument/2006/relationships/hyperlink" Target="https://www.lcsc.com/product-detail/Chip-Resistor-Surface-Mount_YAGEO-RC0402FR-074K7L_C105871.html" TargetMode="External"/><Relationship Id="rId10" Type="http://schemas.openxmlformats.org/officeDocument/2006/relationships/hyperlink" Target="https://www.lcsc.com/product-detail/Chip-Resistor-Surface-Mount_YAGEO-RC0603FR-070RL_C100044.html" TargetMode="External"/><Relationship Id="rId19" Type="http://schemas.openxmlformats.org/officeDocument/2006/relationships/hyperlink" Target="https://www.lcsc.com/product-detail/Multilayer-Ceramic-Capacitors-MLCC-SMD-SMT_Murata-Electronics-GRM188R72A223KAC4D_C426087.html" TargetMode="External"/><Relationship Id="rId4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9" Type="http://schemas.openxmlformats.org/officeDocument/2006/relationships/hyperlink" Target="https://www.lcsc.com/product-detail/Chip-Resistor-Surface-Mount_YAGEO-RC0603FR-071KL_C22548.html" TargetMode="External"/><Relationship Id="rId14" Type="http://schemas.openxmlformats.org/officeDocument/2006/relationships/hyperlink" Target="https://www.lcsc.com/product-detail/Chip-Resistor-Surface-Mount_YAGEO-RC0603JR-07330RL_C105879.html" TargetMode="External"/><Relationship Id="rId22" Type="http://schemas.openxmlformats.org/officeDocument/2006/relationships/hyperlink" Target="https://eu.mouser.com/ProductDetail/ABRACON/ARJM11D7-114-AB-EW2?qs=YCa%2FAAYMW02ICsJcHu%252BNJg%3D%3D" TargetMode="External"/><Relationship Id="rId27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ipolar-Transistors-BJT_TECH-PUBLIC-MMBT3904M_C2923360.html" TargetMode="External"/><Relationship Id="rId13" Type="http://schemas.openxmlformats.org/officeDocument/2006/relationships/hyperlink" Target="https://www.lcsc.com/product-detail/Chip-Resistor-Surface-Mount_YAGEO-RC0603FR-0733RL_C108661.html" TargetMode="External"/><Relationship Id="rId18" Type="http://schemas.openxmlformats.org/officeDocument/2006/relationships/hyperlink" Target="https://www.lcsc.com/product-detail/Crystals_NDK-NX3225GA-25MHZ-STD-CRG-2_C438901.html" TargetMode="External"/><Relationship Id="rId26" Type="http://schemas.openxmlformats.org/officeDocument/2006/relationships/hyperlink" Target="https://www.lcsc.com/product-detail/Bipolar-Transistors-BJT_TECH-PUBLIC-MMBT3904M_C2923360.html" TargetMode="External"/><Relationship Id="rId3" Type="http://schemas.openxmlformats.org/officeDocument/2006/relationships/hyperlink" Target="https://www.lcsc.com/product-detail/Multilayer-Ceramic-Capacitors-MLCC-SMD-SMT_TDK-C1608X5R1E106M080AC_C2168289.html" TargetMode="External"/><Relationship Id="rId21" Type="http://schemas.openxmlformats.org/officeDocument/2006/relationships/hyperlink" Target="https://www.lcsc.com/product-detail/Chip-Resistor-Surface-Mount_YAGEO-RC0201FR-0710KL_C106225.html" TargetMode="External"/><Relationship Id="rId7" Type="http://schemas.openxmlformats.org/officeDocument/2006/relationships/hyperlink" Target="https://www.lcsc.com/product-detail/Ferrite-Beads_Taiyo-Yuden-FBMH3225HM601NT_C268004.html" TargetMode="External"/><Relationship Id="rId12" Type="http://schemas.openxmlformats.org/officeDocument/2006/relationships/hyperlink" Target="https://www.lcsc.com/product-detail/Chip-Resistor-Surface-Mount_YAGEO-RC0603FR-0710RL_C109318.html" TargetMode="External"/><Relationship Id="rId17" Type="http://schemas.openxmlformats.org/officeDocument/2006/relationships/hyperlink" Target="https://www.lcsc.com/product-detail/Ethernet-ICs_WIZNET-W5500_C32843.html" TargetMode="External"/><Relationship Id="rId25" Type="http://schemas.openxmlformats.org/officeDocument/2006/relationships/hyperlink" Target="https://www.lcsc.com/product-detail/TVS_Littelfuse-SP0502BAHTG_C207261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Chip-Resistor-Surface-Mount_YAGEO-RC0603FR-0712K4L_C137798.html" TargetMode="External"/><Relationship Id="rId20" Type="http://schemas.openxmlformats.org/officeDocument/2006/relationships/hyperlink" Target="https://www.lcsc.com/product-detail/Multilayer-Ceramic-Capacitors-MLCC-SMD-SMT_Walsin-Tech-Corp-0603N120J101CT_C3858995.html" TargetMode="External"/><Relationship Id="rId1" Type="http://schemas.openxmlformats.org/officeDocument/2006/relationships/hyperlink" Target="https://www.lcsc.com/product-detail/Multilayer-Ceramic-Capacitors-MLCC-SMD-SMT_YAGEO-CC0603MRX5R6BB226_C109447.html" TargetMode="External"/><Relationship Id="rId6" Type="http://schemas.openxmlformats.org/officeDocument/2006/relationships/hyperlink" Target="https://www.lcsc.com/product-detail/Multilayer-Ceramic-Capacitors-MLCC-SMD-SMT_TDK-C1608X5R1E475KT000E_C76615.html" TargetMode="External"/><Relationship Id="rId11" Type="http://schemas.openxmlformats.org/officeDocument/2006/relationships/hyperlink" Target="https://www.lcsc.com/product-detail/Chip-Resistor-Surface-Mount_YAGEO-RC0603FR-0749R9L_C114625.html" TargetMode="External"/><Relationship Id="rId24" Type="http://schemas.openxmlformats.org/officeDocument/2006/relationships/hyperlink" Target="https://www.lcsc.com/product-detail/Cable_Shengwei-LC-2030C_C3011736.html" TargetMode="External"/><Relationship Id="rId5" Type="http://schemas.openxmlformats.org/officeDocument/2006/relationships/hyperlink" Target="https://www.lcsc.com/product-detail/Multilayer-Ceramic-Capacitors-MLCC-SMD-SMT_YAGEO-AC0603KRX7R0BB103_C149602.html" TargetMode="External"/><Relationship Id="rId15" Type="http://schemas.openxmlformats.org/officeDocument/2006/relationships/hyperlink" Target="https://www.lcsc.com/product-detail/Chip-Resistor-Surface-Mount_YAGEO-RC0603FR-071ML_C105578.html" TargetMode="External"/><Relationship Id="rId23" Type="http://schemas.openxmlformats.org/officeDocument/2006/relationships/hyperlink" Target="https://www.lcsc.com/product-detail/Chip-Resistor-Surface-Mount_YAGEO-RC0402FR-074K7L_C105871.html" TargetMode="External"/><Relationship Id="rId28" Type="http://schemas.openxmlformats.org/officeDocument/2006/relationships/drawing" Target="../drawings/drawing5.xml"/><Relationship Id="rId10" Type="http://schemas.openxmlformats.org/officeDocument/2006/relationships/hyperlink" Target="https://www.lcsc.com/product-detail/Chip-Resistor-Surface-Mount_YAGEO-RC0603FR-070RL_C100044.html" TargetMode="External"/><Relationship Id="rId19" Type="http://schemas.openxmlformats.org/officeDocument/2006/relationships/hyperlink" Target="https://www.lcsc.com/product-detail/Multilayer-Ceramic-Capacitors-MLCC-SMD-SMT_Murata-Electronics-GRM188R72A223KAC4D_C426087.html" TargetMode="External"/><Relationship Id="rId4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9" Type="http://schemas.openxmlformats.org/officeDocument/2006/relationships/hyperlink" Target="https://www.lcsc.com/product-detail/Chip-Resistor-Surface-Mount_YAGEO-RC0603FR-071KL_C22548.html" TargetMode="External"/><Relationship Id="rId14" Type="http://schemas.openxmlformats.org/officeDocument/2006/relationships/hyperlink" Target="https://www.lcsc.com/product-detail/Chip-Resistor-Surface-Mount_YAGEO-RC0603JR-07330RL_C105879.html" TargetMode="External"/><Relationship Id="rId22" Type="http://schemas.openxmlformats.org/officeDocument/2006/relationships/hyperlink" Target="https://eu.mouser.com/ProductDetail/ABRACON/ARJM11D7-114-AB-EW2?qs=YCa%2FAAYMW02ICsJcHu%252BNJg%3D%3D" TargetMode="External"/><Relationship Id="rId27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ipolar-Transistors-BJT_TECH-PUBLIC-MMBT3904M_C2923360.html" TargetMode="External"/><Relationship Id="rId13" Type="http://schemas.openxmlformats.org/officeDocument/2006/relationships/hyperlink" Target="https://www.lcsc.com/product-detail/Chip-Resistor-Surface-Mount_YAGEO-RC0603FR-0733RL_C108661.html" TargetMode="External"/><Relationship Id="rId18" Type="http://schemas.openxmlformats.org/officeDocument/2006/relationships/hyperlink" Target="https://www.lcsc.com/product-detail/Crystals_NDK-NX3225GA-25MHZ-STD-CRG-2_C438901.html" TargetMode="External"/><Relationship Id="rId26" Type="http://schemas.openxmlformats.org/officeDocument/2006/relationships/hyperlink" Target="https://www.lcsc.com/product-detail/Bipolar-Transistors-BJT_TECH-PUBLIC-MMBT3904M_C2923360.html" TargetMode="External"/><Relationship Id="rId3" Type="http://schemas.openxmlformats.org/officeDocument/2006/relationships/hyperlink" Target="https://www.lcsc.com/product-detail/Multilayer-Ceramic-Capacitors-MLCC-SMD-SMT_TDK-C1608X5R1E106M080AC_C2168289.html" TargetMode="External"/><Relationship Id="rId21" Type="http://schemas.openxmlformats.org/officeDocument/2006/relationships/hyperlink" Target="https://www.lcsc.com/product-detail/Chip-Resistor-Surface-Mount_YAGEO-RC0201FR-0710KL_C106225.html" TargetMode="External"/><Relationship Id="rId7" Type="http://schemas.openxmlformats.org/officeDocument/2006/relationships/hyperlink" Target="https://www.lcsc.com/product-detail/Ferrite-Beads_Taiyo-Yuden-FBMH3225HM601NT_C268004.html" TargetMode="External"/><Relationship Id="rId12" Type="http://schemas.openxmlformats.org/officeDocument/2006/relationships/hyperlink" Target="https://www.lcsc.com/product-detail/Chip-Resistor-Surface-Mount_YAGEO-RC0603FR-0710RL_C109318.html" TargetMode="External"/><Relationship Id="rId17" Type="http://schemas.openxmlformats.org/officeDocument/2006/relationships/hyperlink" Target="https://www.lcsc.com/product-detail/Ethernet-ICs_WIZNET-W5500_C32843.html" TargetMode="External"/><Relationship Id="rId25" Type="http://schemas.openxmlformats.org/officeDocument/2006/relationships/hyperlink" Target="https://www.lcsc.com/product-detail/TVS_Littelfuse-SP0502BAHTG_C207261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Chip-Resistor-Surface-Mount_YAGEO-RC0603FR-0712K4L_C137798.html" TargetMode="External"/><Relationship Id="rId20" Type="http://schemas.openxmlformats.org/officeDocument/2006/relationships/hyperlink" Target="https://www.lcsc.com/product-detail/Multilayer-Ceramic-Capacitors-MLCC-SMD-SMT_Walsin-Tech-Corp-0603N120J101CT_C3858995.html" TargetMode="External"/><Relationship Id="rId1" Type="http://schemas.openxmlformats.org/officeDocument/2006/relationships/hyperlink" Target="https://www.lcsc.com/product-detail/Multilayer-Ceramic-Capacitors-MLCC-SMD-SMT_YAGEO-CC0603MRX5R6BB226_C109447.html" TargetMode="External"/><Relationship Id="rId6" Type="http://schemas.openxmlformats.org/officeDocument/2006/relationships/hyperlink" Target="https://www.lcsc.com/product-detail/Multilayer-Ceramic-Capacitors-MLCC-SMD-SMT_TDK-C1608X5R1E475KT000E_C76615.html" TargetMode="External"/><Relationship Id="rId11" Type="http://schemas.openxmlformats.org/officeDocument/2006/relationships/hyperlink" Target="https://www.lcsc.com/product-detail/Chip-Resistor-Surface-Mount_YAGEO-RC0603FR-0749R9L_C114625.html" TargetMode="External"/><Relationship Id="rId24" Type="http://schemas.openxmlformats.org/officeDocument/2006/relationships/hyperlink" Target="https://www.lcsc.com/product-detail/Cable_Shengwei-LC-2030C_C3011736.html" TargetMode="External"/><Relationship Id="rId5" Type="http://schemas.openxmlformats.org/officeDocument/2006/relationships/hyperlink" Target="https://www.lcsc.com/product-detail/Multilayer-Ceramic-Capacitors-MLCC-SMD-SMT_YAGEO-AC0603KRX7R0BB103_C149602.html" TargetMode="External"/><Relationship Id="rId15" Type="http://schemas.openxmlformats.org/officeDocument/2006/relationships/hyperlink" Target="https://www.lcsc.com/product-detail/Chip-Resistor-Surface-Mount_YAGEO-RC0603FR-071ML_C105578.html" TargetMode="External"/><Relationship Id="rId23" Type="http://schemas.openxmlformats.org/officeDocument/2006/relationships/hyperlink" Target="https://www.lcsc.com/product-detail/Chip-Resistor-Surface-Mount_YAGEO-RC0402FR-074K7L_C105871.html" TargetMode="External"/><Relationship Id="rId10" Type="http://schemas.openxmlformats.org/officeDocument/2006/relationships/hyperlink" Target="https://www.lcsc.com/product-detail/Chip-Resistor-Surface-Mount_YAGEO-RC0603FR-070RL_C100044.html" TargetMode="External"/><Relationship Id="rId19" Type="http://schemas.openxmlformats.org/officeDocument/2006/relationships/hyperlink" Target="https://www.lcsc.com/product-detail/Multilayer-Ceramic-Capacitors-MLCC-SMD-SMT_Murata-Electronics-GRM188R72A223KAC4D_C426087.html" TargetMode="External"/><Relationship Id="rId4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9" Type="http://schemas.openxmlformats.org/officeDocument/2006/relationships/hyperlink" Target="https://www.lcsc.com/product-detail/Chip-Resistor-Surface-Mount_YAGEO-RC0603FR-071KL_C22548.html" TargetMode="External"/><Relationship Id="rId14" Type="http://schemas.openxmlformats.org/officeDocument/2006/relationships/hyperlink" Target="https://www.lcsc.com/product-detail/Chip-Resistor-Surface-Mount_YAGEO-RC0603JR-07330RL_C105879.html" TargetMode="External"/><Relationship Id="rId22" Type="http://schemas.openxmlformats.org/officeDocument/2006/relationships/hyperlink" Target="https://eu.mouser.com/ProductDetail/ABRACON/ARJM11D7-114-AB-EW2?qs=YCa%2FAAYMW02ICsJcHu%252BNJg%3D%3D" TargetMode="External"/><Relationship Id="rId27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38"/>
  <sheetViews>
    <sheetView tabSelected="1" topLeftCell="H19" workbookViewId="0">
      <selection activeCell="X12" sqref="X12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16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7.5703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  <col min="20" max="20" width="10.5703125" bestFit="1" customWidth="1"/>
    <col min="21" max="21" width="25.2851562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2"/>
      <c r="L1" s="72"/>
      <c r="M1" s="72"/>
      <c r="N1" s="72"/>
      <c r="O1" s="72"/>
      <c r="P1" s="72"/>
      <c r="Q1" s="72"/>
      <c r="R1" s="72"/>
      <c r="S1" s="7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155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154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4"/>
    </row>
    <row r="4" spans="1:19" x14ac:dyDescent="0.25">
      <c r="A4" s="1"/>
      <c r="B4" s="22"/>
      <c r="C4" s="32"/>
      <c r="D4" s="13" t="s">
        <v>2</v>
      </c>
      <c r="E4" s="13"/>
      <c r="F4" s="57" t="s">
        <v>154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5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5"/>
    </row>
    <row r="9" spans="1:19" ht="15.75" thickBot="1" x14ac:dyDescent="0.3">
      <c r="A9" s="1"/>
      <c r="B9" s="30" t="s">
        <v>4</v>
      </c>
      <c r="C9" s="30" t="s">
        <v>8</v>
      </c>
      <c r="D9" s="30" t="s">
        <v>17</v>
      </c>
      <c r="E9" s="30" t="s">
        <v>39</v>
      </c>
      <c r="F9" s="30" t="s">
        <v>62</v>
      </c>
      <c r="G9" s="30" t="s">
        <v>70</v>
      </c>
      <c r="H9" s="30" t="s">
        <v>91</v>
      </c>
      <c r="I9" s="30" t="s">
        <v>140</v>
      </c>
      <c r="J9" s="30" t="s">
        <v>102</v>
      </c>
      <c r="K9" s="30" t="s">
        <v>148</v>
      </c>
      <c r="L9" s="30" t="s">
        <v>139</v>
      </c>
      <c r="M9" s="30" t="s">
        <v>141</v>
      </c>
      <c r="N9" s="30" t="s">
        <v>142</v>
      </c>
      <c r="O9" s="30" t="s">
        <v>143</v>
      </c>
      <c r="P9" s="30" t="s">
        <v>144</v>
      </c>
      <c r="Q9" s="30" t="s">
        <v>145</v>
      </c>
      <c r="R9" s="30" t="s">
        <v>146</v>
      </c>
      <c r="S9" s="30" t="s">
        <v>147</v>
      </c>
    </row>
    <row r="10" spans="1:19" x14ac:dyDescent="0.25">
      <c r="A10" s="1"/>
      <c r="B10" s="46">
        <f>ROW(B10) - ROW($B$9)</f>
        <v>1</v>
      </c>
      <c r="C10" s="53" t="s">
        <v>9</v>
      </c>
      <c r="D10" s="37" t="s">
        <v>18</v>
      </c>
      <c r="E10" s="37" t="s">
        <v>40</v>
      </c>
      <c r="F10" s="37" t="s">
        <v>63</v>
      </c>
      <c r="G10" s="37" t="s">
        <v>71</v>
      </c>
      <c r="H10" s="37" t="s">
        <v>92</v>
      </c>
      <c r="I10" s="37" t="s">
        <v>151</v>
      </c>
      <c r="J10" s="37" t="s">
        <v>103</v>
      </c>
      <c r="K10" s="37" t="s">
        <v>121</v>
      </c>
      <c r="L10" s="37">
        <v>2</v>
      </c>
      <c r="M10" s="37">
        <f>L10*5</f>
        <v>10</v>
      </c>
      <c r="N10" s="37">
        <v>20</v>
      </c>
      <c r="O10" s="60" t="s">
        <v>152</v>
      </c>
      <c r="P10" s="38">
        <v>3.5200000000000002E-2</v>
      </c>
      <c r="Q10" s="38">
        <f>P10*N10</f>
        <v>0.70400000000000007</v>
      </c>
      <c r="R10" s="37"/>
      <c r="S10" s="50"/>
    </row>
    <row r="11" spans="1:19" x14ac:dyDescent="0.25">
      <c r="A11" s="1"/>
      <c r="B11" s="47">
        <f t="shared" ref="B11:B32" si="0">ROW(B11) - ROW($B$9)</f>
        <v>2</v>
      </c>
      <c r="C11" s="54" t="s">
        <v>9</v>
      </c>
      <c r="D11" s="51" t="s">
        <v>19</v>
      </c>
      <c r="E11" s="51" t="s">
        <v>41</v>
      </c>
      <c r="F11" s="51" t="s">
        <v>63</v>
      </c>
      <c r="G11" s="51" t="s">
        <v>72</v>
      </c>
      <c r="H11" s="51" t="s">
        <v>92</v>
      </c>
      <c r="I11" s="51" t="s">
        <v>151</v>
      </c>
      <c r="J11" s="51" t="s">
        <v>104</v>
      </c>
      <c r="K11" s="51" t="s">
        <v>122</v>
      </c>
      <c r="L11" s="51">
        <v>7</v>
      </c>
      <c r="M11" s="51">
        <f t="shared" ref="M11" si="1">L11*5</f>
        <v>35</v>
      </c>
      <c r="N11" s="51">
        <v>100</v>
      </c>
      <c r="O11" s="60" t="s">
        <v>152</v>
      </c>
      <c r="P11" s="52">
        <v>3.5999999999999999E-3</v>
      </c>
      <c r="Q11" s="52">
        <f t="shared" ref="Q11" si="2">P11*N11</f>
        <v>0.36</v>
      </c>
      <c r="R11" s="51"/>
      <c r="S11" s="51"/>
    </row>
    <row r="12" spans="1:19" x14ac:dyDescent="0.25">
      <c r="A12" s="1"/>
      <c r="B12" s="46">
        <f>ROW(B12) - ROW($B$9)</f>
        <v>3</v>
      </c>
      <c r="C12" s="54" t="s">
        <v>9</v>
      </c>
      <c r="D12" s="37" t="s">
        <v>20</v>
      </c>
      <c r="E12" s="37" t="s">
        <v>42</v>
      </c>
      <c r="F12" s="37" t="s">
        <v>63</v>
      </c>
      <c r="G12" s="37" t="s">
        <v>73</v>
      </c>
      <c r="H12" s="37" t="s">
        <v>93</v>
      </c>
      <c r="I12" s="37" t="s">
        <v>151</v>
      </c>
      <c r="J12" s="37" t="s">
        <v>105</v>
      </c>
      <c r="K12" s="37" t="s">
        <v>123</v>
      </c>
      <c r="L12" s="37">
        <v>2</v>
      </c>
      <c r="M12" s="37">
        <f>L12*5</f>
        <v>10</v>
      </c>
      <c r="N12" s="37">
        <v>11</v>
      </c>
      <c r="O12" s="60" t="s">
        <v>152</v>
      </c>
      <c r="P12" s="38">
        <v>0.75260000000000005</v>
      </c>
      <c r="Q12" s="38">
        <f>P12*N12</f>
        <v>8.2786000000000008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21</v>
      </c>
      <c r="E13" s="51" t="s">
        <v>43</v>
      </c>
      <c r="F13" s="51" t="s">
        <v>63</v>
      </c>
      <c r="G13" s="51" t="s">
        <v>74</v>
      </c>
      <c r="H13" s="51" t="s">
        <v>94</v>
      </c>
      <c r="I13" s="51" t="s">
        <v>151</v>
      </c>
      <c r="J13" s="51" t="s">
        <v>106</v>
      </c>
      <c r="K13" s="51" t="s">
        <v>124</v>
      </c>
      <c r="L13" s="51">
        <v>2</v>
      </c>
      <c r="M13" s="51">
        <f t="shared" ref="M13" si="3">L13*5</f>
        <v>10</v>
      </c>
      <c r="N13" s="51">
        <v>100</v>
      </c>
      <c r="O13" s="60" t="s">
        <v>152</v>
      </c>
      <c r="P13" s="52">
        <v>2.8E-3</v>
      </c>
      <c r="Q13" s="52">
        <f t="shared" ref="Q13" si="4">P13*N13</f>
        <v>0.27999999999999997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22</v>
      </c>
      <c r="E14" s="37" t="s">
        <v>44</v>
      </c>
      <c r="F14" s="37" t="s">
        <v>63</v>
      </c>
      <c r="G14" s="62" t="s">
        <v>75</v>
      </c>
      <c r="H14" s="37" t="s">
        <v>93</v>
      </c>
      <c r="I14" s="37"/>
      <c r="J14" s="37" t="s">
        <v>161</v>
      </c>
      <c r="K14" s="37" t="s">
        <v>125</v>
      </c>
      <c r="L14" s="37">
        <v>1</v>
      </c>
      <c r="M14" s="37">
        <f>L14*5</f>
        <v>5</v>
      </c>
      <c r="N14" s="37">
        <v>50</v>
      </c>
      <c r="O14" s="60" t="s">
        <v>152</v>
      </c>
      <c r="P14" s="38">
        <v>1.5800000000000002E-2</v>
      </c>
      <c r="Q14" s="38">
        <f>P14*N14</f>
        <v>0.79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23</v>
      </c>
      <c r="E15" s="51" t="s">
        <v>45</v>
      </c>
      <c r="F15" s="51" t="s">
        <v>63</v>
      </c>
      <c r="G15" s="51" t="s">
        <v>76</v>
      </c>
      <c r="H15" s="51" t="s">
        <v>92</v>
      </c>
      <c r="I15" s="51" t="s">
        <v>151</v>
      </c>
      <c r="J15" s="51" t="s">
        <v>107</v>
      </c>
      <c r="K15" s="51" t="s">
        <v>126</v>
      </c>
      <c r="L15" s="51">
        <v>2</v>
      </c>
      <c r="M15" s="51">
        <f t="shared" ref="M15" si="5">L15*5</f>
        <v>10</v>
      </c>
      <c r="N15" s="51">
        <v>100</v>
      </c>
      <c r="O15" s="60" t="s">
        <v>152</v>
      </c>
      <c r="P15" s="52">
        <v>7.4000000000000003E-3</v>
      </c>
      <c r="Q15" s="52">
        <f t="shared" ref="Q15" si="6">P15*N15</f>
        <v>0.74</v>
      </c>
      <c r="R15" s="51"/>
      <c r="S15" s="59"/>
    </row>
    <row r="16" spans="1:19" x14ac:dyDescent="0.25">
      <c r="A16" s="1"/>
      <c r="B16" s="46">
        <f>ROW(B16) - ROW($B$9)</f>
        <v>7</v>
      </c>
      <c r="C16" s="54" t="s">
        <v>9</v>
      </c>
      <c r="D16" s="37" t="s">
        <v>24</v>
      </c>
      <c r="E16" s="37" t="s">
        <v>46</v>
      </c>
      <c r="F16" s="37" t="s">
        <v>63</v>
      </c>
      <c r="G16" s="37" t="s">
        <v>77</v>
      </c>
      <c r="H16" s="37" t="s">
        <v>93</v>
      </c>
      <c r="I16" s="37" t="s">
        <v>151</v>
      </c>
      <c r="J16" s="37" t="s">
        <v>108</v>
      </c>
      <c r="K16" s="37" t="s">
        <v>127</v>
      </c>
      <c r="L16" s="37">
        <v>1</v>
      </c>
      <c r="M16" s="37">
        <f>L16*5</f>
        <v>5</v>
      </c>
      <c r="N16" s="37">
        <v>10</v>
      </c>
      <c r="O16" s="60" t="s">
        <v>152</v>
      </c>
      <c r="P16" s="38">
        <v>4.2299999999999997E-2</v>
      </c>
      <c r="Q16" s="38">
        <f>P16*N16</f>
        <v>0.42299999999999999</v>
      </c>
      <c r="R16" s="37"/>
      <c r="S16" s="59"/>
    </row>
    <row r="17" spans="1:23" x14ac:dyDescent="0.25">
      <c r="A17" s="1"/>
      <c r="B17" s="47">
        <f t="shared" si="0"/>
        <v>8</v>
      </c>
      <c r="C17" s="54" t="s">
        <v>9</v>
      </c>
      <c r="D17" s="51" t="s">
        <v>25</v>
      </c>
      <c r="E17" s="51" t="s">
        <v>47</v>
      </c>
      <c r="F17" s="51" t="s">
        <v>63</v>
      </c>
      <c r="G17" s="62" t="s">
        <v>78</v>
      </c>
      <c r="H17" s="51" t="s">
        <v>95</v>
      </c>
      <c r="I17" s="51" t="s">
        <v>162</v>
      </c>
      <c r="J17" s="51" t="s">
        <v>163</v>
      </c>
      <c r="K17" s="51" t="s">
        <v>128</v>
      </c>
      <c r="L17" s="51">
        <v>2</v>
      </c>
      <c r="M17" s="51">
        <f t="shared" ref="M17" si="7">L17*5</f>
        <v>10</v>
      </c>
      <c r="N17" s="51">
        <v>100</v>
      </c>
      <c r="O17" s="60" t="s">
        <v>152</v>
      </c>
      <c r="P17" s="52">
        <v>5.7999999999999996E-3</v>
      </c>
      <c r="Q17" s="52">
        <f t="shared" ref="Q17" si="8">P17*N17</f>
        <v>0.57999999999999996</v>
      </c>
      <c r="R17" s="51"/>
      <c r="S17" s="59"/>
    </row>
    <row r="18" spans="1:23" x14ac:dyDescent="0.25">
      <c r="A18" s="1"/>
      <c r="B18" s="46">
        <f>ROW(B18) - ROW($B$9)</f>
        <v>9</v>
      </c>
      <c r="C18" s="53" t="s">
        <v>15</v>
      </c>
      <c r="D18" s="37" t="s">
        <v>181</v>
      </c>
      <c r="E18" s="37" t="s">
        <v>182</v>
      </c>
      <c r="F18" s="37" t="s">
        <v>66</v>
      </c>
      <c r="G18" s="37" t="s">
        <v>183</v>
      </c>
      <c r="H18" s="37" t="s">
        <v>100</v>
      </c>
      <c r="I18" s="37" t="s">
        <v>151</v>
      </c>
      <c r="J18" s="37" t="s">
        <v>184</v>
      </c>
      <c r="K18" s="37" t="s">
        <v>151</v>
      </c>
      <c r="L18" s="37">
        <v>2</v>
      </c>
      <c r="M18" s="37">
        <f>L18*5</f>
        <v>10</v>
      </c>
      <c r="N18" s="37">
        <v>15</v>
      </c>
      <c r="O18" s="60" t="s">
        <v>152</v>
      </c>
      <c r="P18" s="38">
        <v>0.13789999999999999</v>
      </c>
      <c r="Q18" s="38">
        <f>P18*N18</f>
        <v>2.0684999999999998</v>
      </c>
      <c r="R18" s="37"/>
      <c r="S18" s="59"/>
    </row>
    <row r="19" spans="1:23" x14ac:dyDescent="0.25">
      <c r="A19" s="1"/>
      <c r="B19" s="46">
        <f>ROW(B19) - ROW($B$9)</f>
        <v>10</v>
      </c>
      <c r="C19" s="53" t="s">
        <v>10</v>
      </c>
      <c r="D19" s="37" t="s">
        <v>26</v>
      </c>
      <c r="E19" s="37" t="s">
        <v>48</v>
      </c>
      <c r="F19" s="37" t="s">
        <v>64</v>
      </c>
      <c r="G19" s="37" t="s">
        <v>79</v>
      </c>
      <c r="H19" s="37" t="s">
        <v>96</v>
      </c>
      <c r="I19" s="37" t="s">
        <v>151</v>
      </c>
      <c r="J19" s="37" t="s">
        <v>109</v>
      </c>
      <c r="K19" s="37" t="s">
        <v>151</v>
      </c>
      <c r="L19" s="37">
        <v>2</v>
      </c>
      <c r="M19" s="37">
        <f>L19*5</f>
        <v>10</v>
      </c>
      <c r="N19" s="37">
        <v>15</v>
      </c>
      <c r="O19" s="60" t="s">
        <v>152</v>
      </c>
      <c r="P19" s="38">
        <v>0.18790000000000001</v>
      </c>
      <c r="Q19" s="38">
        <f>P19*N19</f>
        <v>2.8185000000000002</v>
      </c>
      <c r="R19" s="37"/>
      <c r="S19" s="59"/>
    </row>
    <row r="20" spans="1:23" s="71" customFormat="1" x14ac:dyDescent="0.25">
      <c r="A20" s="63"/>
      <c r="B20" s="64">
        <f t="shared" si="0"/>
        <v>11</v>
      </c>
      <c r="C20" s="65" t="s">
        <v>11</v>
      </c>
      <c r="D20" s="66" t="s">
        <v>27</v>
      </c>
      <c r="E20" s="66" t="s">
        <v>164</v>
      </c>
      <c r="F20" s="66" t="s">
        <v>149</v>
      </c>
      <c r="G20" s="66" t="s">
        <v>165</v>
      </c>
      <c r="H20" s="66" t="s">
        <v>166</v>
      </c>
      <c r="I20" s="66" t="s">
        <v>151</v>
      </c>
      <c r="J20" s="66" t="s">
        <v>151</v>
      </c>
      <c r="K20" s="67" t="s">
        <v>151</v>
      </c>
      <c r="L20" s="66">
        <v>1</v>
      </c>
      <c r="M20" s="66">
        <f t="shared" ref="M20" si="9">L20*5</f>
        <v>5</v>
      </c>
      <c r="N20" s="66">
        <v>6</v>
      </c>
      <c r="O20" s="68" t="s">
        <v>167</v>
      </c>
      <c r="P20" s="69">
        <v>3.47</v>
      </c>
      <c r="Q20" s="69">
        <f t="shared" ref="Q20" si="10">P20*N20</f>
        <v>20.82</v>
      </c>
      <c r="R20" s="66"/>
      <c r="S20" s="70"/>
      <c r="T20"/>
      <c r="U20"/>
      <c r="V20"/>
      <c r="W20"/>
    </row>
    <row r="21" spans="1:23" ht="24" x14ac:dyDescent="0.25">
      <c r="A21" s="1"/>
      <c r="B21" s="46">
        <f>ROW(B21) - ROW($B$9)</f>
        <v>12</v>
      </c>
      <c r="C21" s="53" t="s">
        <v>150</v>
      </c>
      <c r="D21" s="62" t="s">
        <v>156</v>
      </c>
      <c r="E21" s="62" t="s">
        <v>49</v>
      </c>
      <c r="F21" s="62" t="s">
        <v>149</v>
      </c>
      <c r="G21" s="62" t="s">
        <v>151</v>
      </c>
      <c r="H21" s="62" t="s">
        <v>151</v>
      </c>
      <c r="I21" s="62" t="s">
        <v>151</v>
      </c>
      <c r="J21" s="62" t="s">
        <v>151</v>
      </c>
      <c r="K21" s="37" t="s">
        <v>151</v>
      </c>
      <c r="L21" s="62">
        <v>1</v>
      </c>
      <c r="M21" s="62">
        <f>L21*5</f>
        <v>5</v>
      </c>
      <c r="N21" s="62" t="s">
        <v>151</v>
      </c>
      <c r="O21" s="62" t="s">
        <v>151</v>
      </c>
      <c r="P21" s="62" t="s">
        <v>151</v>
      </c>
      <c r="Q21" s="62" t="s">
        <v>151</v>
      </c>
      <c r="R21" s="61" t="s">
        <v>153</v>
      </c>
      <c r="S21" s="59"/>
    </row>
    <row r="22" spans="1:23" ht="48" x14ac:dyDescent="0.25">
      <c r="A22" s="1"/>
      <c r="B22" s="47">
        <f t="shared" si="0"/>
        <v>13</v>
      </c>
      <c r="C22" s="54" t="s">
        <v>12</v>
      </c>
      <c r="D22" s="51" t="s">
        <v>28</v>
      </c>
      <c r="E22" s="51" t="s">
        <v>50</v>
      </c>
      <c r="F22" s="51" t="s">
        <v>65</v>
      </c>
      <c r="G22" s="51" t="s">
        <v>80</v>
      </c>
      <c r="H22" s="51" t="s">
        <v>97</v>
      </c>
      <c r="I22" s="51" t="s">
        <v>151</v>
      </c>
      <c r="J22" s="51" t="s">
        <v>110</v>
      </c>
      <c r="K22" s="37" t="s">
        <v>151</v>
      </c>
      <c r="L22" s="51">
        <v>1</v>
      </c>
      <c r="M22" s="51">
        <f t="shared" ref="M22" si="11">L22*5</f>
        <v>5</v>
      </c>
      <c r="N22" s="51">
        <v>20</v>
      </c>
      <c r="O22" s="60" t="s">
        <v>152</v>
      </c>
      <c r="P22" s="52">
        <v>3.3500000000000002E-2</v>
      </c>
      <c r="Q22" s="52">
        <f t="shared" ref="Q22" si="12">P22*N22</f>
        <v>0.67</v>
      </c>
      <c r="R22" s="51"/>
      <c r="S22" s="59"/>
    </row>
    <row r="23" spans="1:23" ht="24" x14ac:dyDescent="0.25">
      <c r="A23" s="1"/>
      <c r="B23" s="46">
        <f>ROW(B23) - ROW($B$9)</f>
        <v>14</v>
      </c>
      <c r="C23" s="54" t="s">
        <v>12</v>
      </c>
      <c r="D23" s="37" t="s">
        <v>29</v>
      </c>
      <c r="E23" s="37" t="s">
        <v>51</v>
      </c>
      <c r="F23" s="37" t="s">
        <v>66</v>
      </c>
      <c r="G23" s="37" t="s">
        <v>81</v>
      </c>
      <c r="H23" s="37" t="s">
        <v>98</v>
      </c>
      <c r="I23" s="37" t="s">
        <v>151</v>
      </c>
      <c r="J23" s="37" t="s">
        <v>205</v>
      </c>
      <c r="K23" s="37" t="s">
        <v>151</v>
      </c>
      <c r="L23" s="37">
        <v>1</v>
      </c>
      <c r="M23" s="37">
        <f>L23*5</f>
        <v>5</v>
      </c>
      <c r="N23" s="37">
        <v>10</v>
      </c>
      <c r="O23" s="60" t="s">
        <v>152</v>
      </c>
      <c r="P23" s="38">
        <v>6.0499999999999998E-2</v>
      </c>
      <c r="Q23" s="38">
        <f>P23*N23</f>
        <v>0.60499999999999998</v>
      </c>
      <c r="R23" s="37"/>
      <c r="S23" s="59"/>
    </row>
    <row r="24" spans="1:23" x14ac:dyDescent="0.25">
      <c r="A24" s="1"/>
      <c r="B24" s="47">
        <f t="shared" si="0"/>
        <v>15</v>
      </c>
      <c r="C24" s="54" t="s">
        <v>13</v>
      </c>
      <c r="D24" s="51" t="s">
        <v>30</v>
      </c>
      <c r="E24" s="51" t="s">
        <v>52</v>
      </c>
      <c r="F24" s="51" t="s">
        <v>67</v>
      </c>
      <c r="G24" s="51" t="s">
        <v>82</v>
      </c>
      <c r="H24" s="51" t="s">
        <v>92</v>
      </c>
      <c r="I24" s="51" t="s">
        <v>151</v>
      </c>
      <c r="J24" s="51" t="s">
        <v>111</v>
      </c>
      <c r="K24" s="51" t="s">
        <v>129</v>
      </c>
      <c r="L24" s="51">
        <v>1</v>
      </c>
      <c r="M24" s="51">
        <f t="shared" ref="M24" si="13">L24*5</f>
        <v>5</v>
      </c>
      <c r="N24" s="51">
        <v>100</v>
      </c>
      <c r="O24" s="60" t="s">
        <v>152</v>
      </c>
      <c r="P24" s="52">
        <v>1E-3</v>
      </c>
      <c r="Q24" s="52">
        <f t="shared" ref="Q24" si="14">P24*N24</f>
        <v>0.1</v>
      </c>
      <c r="R24" s="51"/>
      <c r="S24" s="59"/>
    </row>
    <row r="25" spans="1:23" ht="24" x14ac:dyDescent="0.25">
      <c r="A25" s="1"/>
      <c r="B25" s="46">
        <f>ROW(B25) - ROW($B$9)</f>
        <v>16</v>
      </c>
      <c r="C25" s="53" t="s">
        <v>13</v>
      </c>
      <c r="D25" s="37" t="s">
        <v>168</v>
      </c>
      <c r="E25" s="37" t="s">
        <v>157</v>
      </c>
      <c r="F25" s="37" t="s">
        <v>158</v>
      </c>
      <c r="G25" s="37" t="s">
        <v>159</v>
      </c>
      <c r="H25" s="37" t="s">
        <v>92</v>
      </c>
      <c r="I25" s="37" t="s">
        <v>151</v>
      </c>
      <c r="J25" s="37" t="s">
        <v>160</v>
      </c>
      <c r="K25" s="37" t="s">
        <v>130</v>
      </c>
      <c r="L25" s="37">
        <v>12</v>
      </c>
      <c r="M25" s="37">
        <f>L25*5</f>
        <v>60</v>
      </c>
      <c r="N25" s="37">
        <v>100</v>
      </c>
      <c r="O25" s="60" t="s">
        <v>152</v>
      </c>
      <c r="P25" s="52">
        <v>8.9999999999999998E-4</v>
      </c>
      <c r="Q25" s="38">
        <f>P25*N25</f>
        <v>0.09</v>
      </c>
      <c r="R25" s="37"/>
      <c r="S25" s="59"/>
    </row>
    <row r="26" spans="1:23" x14ac:dyDescent="0.25">
      <c r="A26" s="1"/>
      <c r="B26" s="47">
        <f t="shared" si="0"/>
        <v>17</v>
      </c>
      <c r="C26" s="54" t="s">
        <v>13</v>
      </c>
      <c r="D26" s="51" t="s">
        <v>169</v>
      </c>
      <c r="E26" s="51" t="s">
        <v>53</v>
      </c>
      <c r="F26" s="51" t="s">
        <v>67</v>
      </c>
      <c r="G26" s="51" t="s">
        <v>83</v>
      </c>
      <c r="H26" s="51" t="s">
        <v>92</v>
      </c>
      <c r="I26" s="51" t="s">
        <v>151</v>
      </c>
      <c r="J26" s="51" t="s">
        <v>112</v>
      </c>
      <c r="K26" s="51" t="s">
        <v>131</v>
      </c>
      <c r="L26" s="51">
        <v>3</v>
      </c>
      <c r="M26" s="51">
        <f t="shared" ref="M26" si="15">L26*5</f>
        <v>15</v>
      </c>
      <c r="N26" s="51">
        <v>100</v>
      </c>
      <c r="O26" s="60" t="s">
        <v>152</v>
      </c>
      <c r="P26" s="52">
        <v>1.2999999999999999E-3</v>
      </c>
      <c r="Q26" s="52">
        <f t="shared" ref="Q26" si="16">P26*N26</f>
        <v>0.13</v>
      </c>
      <c r="R26" s="51"/>
      <c r="S26" s="59"/>
    </row>
    <row r="27" spans="1:23" x14ac:dyDescent="0.25">
      <c r="A27" s="1"/>
      <c r="B27" s="46">
        <f>ROW(B27) - ROW($B$9)</f>
        <v>18</v>
      </c>
      <c r="C27" s="53" t="s">
        <v>13</v>
      </c>
      <c r="D27" s="37" t="s">
        <v>31</v>
      </c>
      <c r="E27" s="37" t="s">
        <v>54</v>
      </c>
      <c r="F27" s="37" t="s">
        <v>67</v>
      </c>
      <c r="G27" s="37" t="s">
        <v>84</v>
      </c>
      <c r="H27" s="37" t="s">
        <v>92</v>
      </c>
      <c r="I27" s="37" t="s">
        <v>151</v>
      </c>
      <c r="J27" s="37" t="s">
        <v>113</v>
      </c>
      <c r="K27" s="37" t="s">
        <v>132</v>
      </c>
      <c r="L27" s="37">
        <v>4</v>
      </c>
      <c r="M27" s="37">
        <f>L27*5</f>
        <v>20</v>
      </c>
      <c r="N27" s="37">
        <v>100</v>
      </c>
      <c r="O27" s="60" t="s">
        <v>152</v>
      </c>
      <c r="P27" s="38">
        <v>1.1999999999999999E-3</v>
      </c>
      <c r="Q27" s="38">
        <f>P27*N27</f>
        <v>0.12</v>
      </c>
      <c r="R27" s="37"/>
      <c r="S27" s="59"/>
    </row>
    <row r="28" spans="1:23" x14ac:dyDescent="0.25">
      <c r="A28" s="1"/>
      <c r="B28" s="47">
        <f t="shared" si="0"/>
        <v>19</v>
      </c>
      <c r="C28" s="54" t="s">
        <v>13</v>
      </c>
      <c r="D28" s="51" t="s">
        <v>32</v>
      </c>
      <c r="E28" s="51" t="s">
        <v>55</v>
      </c>
      <c r="F28" s="51" t="s">
        <v>67</v>
      </c>
      <c r="G28" s="51" t="s">
        <v>85</v>
      </c>
      <c r="H28" s="51" t="s">
        <v>92</v>
      </c>
      <c r="I28" s="51" t="s">
        <v>151</v>
      </c>
      <c r="J28" s="51" t="s">
        <v>114</v>
      </c>
      <c r="K28" s="51" t="s">
        <v>133</v>
      </c>
      <c r="L28" s="51">
        <v>1</v>
      </c>
      <c r="M28" s="51">
        <f t="shared" ref="M28" si="17">L28*5</f>
        <v>5</v>
      </c>
      <c r="N28" s="51">
        <v>100</v>
      </c>
      <c r="O28" s="60" t="s">
        <v>152</v>
      </c>
      <c r="P28" s="52">
        <v>3.2000000000000002E-3</v>
      </c>
      <c r="Q28" s="52">
        <f t="shared" ref="Q28" si="18">P28*N28</f>
        <v>0.32</v>
      </c>
      <c r="R28" s="51"/>
      <c r="S28" s="59"/>
    </row>
    <row r="29" spans="1:23" x14ac:dyDescent="0.25">
      <c r="A29" s="1"/>
      <c r="B29" s="46">
        <f>ROW(B29) - ROW($B$9)</f>
        <v>20</v>
      </c>
      <c r="C29" s="53" t="s">
        <v>13</v>
      </c>
      <c r="D29" s="37" t="s">
        <v>33</v>
      </c>
      <c r="E29" s="37" t="s">
        <v>56</v>
      </c>
      <c r="F29" s="37" t="s">
        <v>67</v>
      </c>
      <c r="G29" s="37" t="s">
        <v>86</v>
      </c>
      <c r="H29" s="37" t="s">
        <v>92</v>
      </c>
      <c r="I29" s="37" t="s">
        <v>151</v>
      </c>
      <c r="J29" s="37" t="s">
        <v>115</v>
      </c>
      <c r="K29" s="37" t="s">
        <v>134</v>
      </c>
      <c r="L29" s="37">
        <v>4</v>
      </c>
      <c r="M29" s="37">
        <f>L29*5</f>
        <v>20</v>
      </c>
      <c r="N29" s="37">
        <v>100</v>
      </c>
      <c r="O29" s="60" t="s">
        <v>152</v>
      </c>
      <c r="P29" s="38">
        <v>1.1999999999999999E-3</v>
      </c>
      <c r="Q29" s="38">
        <f>P29*N29</f>
        <v>0.12</v>
      </c>
      <c r="R29" s="37"/>
      <c r="S29" s="59"/>
    </row>
    <row r="30" spans="1:23" x14ac:dyDescent="0.25">
      <c r="A30" s="1"/>
      <c r="B30" s="47">
        <f t="shared" si="0"/>
        <v>21</v>
      </c>
      <c r="C30" s="54" t="s">
        <v>13</v>
      </c>
      <c r="D30" s="51" t="s">
        <v>34</v>
      </c>
      <c r="E30" s="51" t="s">
        <v>57</v>
      </c>
      <c r="F30" s="51" t="s">
        <v>67</v>
      </c>
      <c r="G30" s="51" t="s">
        <v>87</v>
      </c>
      <c r="H30" s="51" t="s">
        <v>92</v>
      </c>
      <c r="I30" s="51" t="s">
        <v>151</v>
      </c>
      <c r="J30" s="51" t="s">
        <v>116</v>
      </c>
      <c r="K30" s="51" t="s">
        <v>135</v>
      </c>
      <c r="L30" s="51">
        <v>2</v>
      </c>
      <c r="M30" s="51">
        <f t="shared" ref="M30" si="19">L30*5</f>
        <v>10</v>
      </c>
      <c r="N30" s="51">
        <v>100</v>
      </c>
      <c r="O30" s="60" t="s">
        <v>152</v>
      </c>
      <c r="P30" s="52">
        <v>1.1000000000000001E-3</v>
      </c>
      <c r="Q30" s="52">
        <f t="shared" ref="Q30" si="20">P30*N30</f>
        <v>0.11</v>
      </c>
      <c r="R30" s="51"/>
      <c r="S30" s="59"/>
    </row>
    <row r="31" spans="1:23" x14ac:dyDescent="0.25">
      <c r="A31" s="1"/>
      <c r="B31" s="46">
        <f>ROW(B31) - ROW($B$9)</f>
        <v>22</v>
      </c>
      <c r="C31" s="54" t="s">
        <v>13</v>
      </c>
      <c r="D31" s="37" t="s">
        <v>35</v>
      </c>
      <c r="E31" s="37" t="s">
        <v>58</v>
      </c>
      <c r="F31" s="37" t="s">
        <v>67</v>
      </c>
      <c r="G31" s="37" t="s">
        <v>88</v>
      </c>
      <c r="H31" s="37" t="s">
        <v>92</v>
      </c>
      <c r="I31" s="51" t="s">
        <v>151</v>
      </c>
      <c r="J31" s="37" t="s">
        <v>117</v>
      </c>
      <c r="K31" s="37" t="s">
        <v>136</v>
      </c>
      <c r="L31" s="37">
        <v>1</v>
      </c>
      <c r="M31" s="37">
        <f>L31*5</f>
        <v>5</v>
      </c>
      <c r="N31" s="37">
        <v>100</v>
      </c>
      <c r="O31" s="60" t="s">
        <v>152</v>
      </c>
      <c r="P31" s="38">
        <v>1.2999999999999999E-3</v>
      </c>
      <c r="Q31" s="38">
        <f>P31*N31</f>
        <v>0.13</v>
      </c>
      <c r="R31" s="37"/>
      <c r="S31" s="59"/>
    </row>
    <row r="32" spans="1:23" x14ac:dyDescent="0.25">
      <c r="A32" s="1"/>
      <c r="B32" s="47">
        <f t="shared" si="0"/>
        <v>23</v>
      </c>
      <c r="C32" s="54" t="s">
        <v>13</v>
      </c>
      <c r="D32" s="51" t="s">
        <v>36</v>
      </c>
      <c r="E32" s="51" t="s">
        <v>59</v>
      </c>
      <c r="F32" s="51" t="s">
        <v>67</v>
      </c>
      <c r="G32" s="51" t="s">
        <v>89</v>
      </c>
      <c r="H32" s="51" t="s">
        <v>92</v>
      </c>
      <c r="I32" s="37" t="s">
        <v>151</v>
      </c>
      <c r="J32" s="51" t="s">
        <v>118</v>
      </c>
      <c r="K32" s="51" t="s">
        <v>137</v>
      </c>
      <c r="L32" s="51">
        <v>1</v>
      </c>
      <c r="M32" s="51">
        <f t="shared" ref="M32" si="21">L32*5</f>
        <v>5</v>
      </c>
      <c r="N32" s="51">
        <v>100</v>
      </c>
      <c r="O32" s="60" t="s">
        <v>152</v>
      </c>
      <c r="P32" s="52">
        <v>1.1999999999999999E-3</v>
      </c>
      <c r="Q32" s="52">
        <f t="shared" ref="Q32" si="22">P32*N32</f>
        <v>0.12</v>
      </c>
      <c r="R32" s="51"/>
      <c r="S32" s="59"/>
    </row>
    <row r="33" spans="1:19" x14ac:dyDescent="0.25">
      <c r="A33" s="1"/>
      <c r="B33" s="46">
        <f>ROW(B33) - ROW($B$9)</f>
        <v>24</v>
      </c>
      <c r="C33" s="53" t="s">
        <v>13</v>
      </c>
      <c r="D33" s="37" t="s">
        <v>170</v>
      </c>
      <c r="E33" s="37" t="s">
        <v>171</v>
      </c>
      <c r="F33" s="37" t="s">
        <v>172</v>
      </c>
      <c r="G33" s="37" t="s">
        <v>173</v>
      </c>
      <c r="H33" s="37" t="s">
        <v>92</v>
      </c>
      <c r="I33" s="37" t="s">
        <v>151</v>
      </c>
      <c r="J33" s="37" t="s">
        <v>174</v>
      </c>
      <c r="K33" s="37" t="s">
        <v>175</v>
      </c>
      <c r="L33" s="37">
        <v>1</v>
      </c>
      <c r="M33" s="37">
        <f>L33*5</f>
        <v>5</v>
      </c>
      <c r="N33" s="37">
        <v>100</v>
      </c>
      <c r="O33" s="60" t="s">
        <v>152</v>
      </c>
      <c r="P33" s="38">
        <v>6.9999999999999999E-4</v>
      </c>
      <c r="Q33" s="38">
        <f>P33*N33</f>
        <v>6.9999999999999993E-2</v>
      </c>
      <c r="R33" s="37"/>
      <c r="S33" s="59"/>
    </row>
    <row r="34" spans="1:19" x14ac:dyDescent="0.25">
      <c r="A34" s="1"/>
      <c r="B34" s="46">
        <f>ROW(B34) - ROW($B$9)</f>
        <v>25</v>
      </c>
      <c r="C34" s="53" t="s">
        <v>14</v>
      </c>
      <c r="D34" s="37" t="s">
        <v>37</v>
      </c>
      <c r="E34" s="37" t="s">
        <v>60</v>
      </c>
      <c r="F34" s="37" t="s">
        <v>68</v>
      </c>
      <c r="G34" s="37" t="s">
        <v>90</v>
      </c>
      <c r="H34" s="37" t="s">
        <v>99</v>
      </c>
      <c r="I34" s="51" t="s">
        <v>151</v>
      </c>
      <c r="J34" s="37" t="s">
        <v>119</v>
      </c>
      <c r="K34" s="37" t="s">
        <v>151</v>
      </c>
      <c r="L34" s="37">
        <v>1</v>
      </c>
      <c r="M34" s="37">
        <f>L34*5</f>
        <v>5</v>
      </c>
      <c r="N34" s="37">
        <v>6</v>
      </c>
      <c r="O34" s="60" t="s">
        <v>152</v>
      </c>
      <c r="P34" s="38">
        <v>2.641</v>
      </c>
      <c r="Q34" s="38">
        <f>P34*N34</f>
        <v>15.846</v>
      </c>
      <c r="R34" s="37"/>
      <c r="S34" s="59"/>
    </row>
    <row r="35" spans="1:19" ht="15.75" thickBot="1" x14ac:dyDescent="0.3">
      <c r="A35" s="1"/>
      <c r="B35" s="46">
        <f>ROW(B35) - ROW($B$9)</f>
        <v>26</v>
      </c>
      <c r="C35" s="53" t="s">
        <v>16</v>
      </c>
      <c r="D35" s="37" t="s">
        <v>38</v>
      </c>
      <c r="E35" s="37" t="s">
        <v>61</v>
      </c>
      <c r="F35" s="37" t="s">
        <v>149</v>
      </c>
      <c r="G35" s="37" t="s">
        <v>69</v>
      </c>
      <c r="H35" s="37" t="s">
        <v>101</v>
      </c>
      <c r="I35" s="51" t="s">
        <v>151</v>
      </c>
      <c r="J35" s="37" t="s">
        <v>120</v>
      </c>
      <c r="K35" s="37" t="s">
        <v>138</v>
      </c>
      <c r="L35" s="37">
        <v>1</v>
      </c>
      <c r="M35" s="37">
        <f>L35*5</f>
        <v>5</v>
      </c>
      <c r="N35" s="37">
        <v>6</v>
      </c>
      <c r="O35" s="60" t="s">
        <v>152</v>
      </c>
      <c r="P35" s="38">
        <v>0.25240000000000001</v>
      </c>
      <c r="Q35" s="38">
        <f>P35*N35</f>
        <v>1.5144000000000002</v>
      </c>
      <c r="R35" s="37"/>
      <c r="S35" s="39"/>
    </row>
    <row r="36" spans="1:19" ht="15.75" thickBot="1" x14ac:dyDescent="0.3">
      <c r="A36" s="1"/>
      <c r="B36" s="46">
        <f>ROW(B36) - ROW($B$9)</f>
        <v>27</v>
      </c>
      <c r="C36" s="53" t="s">
        <v>176</v>
      </c>
      <c r="D36" s="37" t="s">
        <v>151</v>
      </c>
      <c r="E36" s="37" t="s">
        <v>180</v>
      </c>
      <c r="F36" s="37" t="s">
        <v>151</v>
      </c>
      <c r="G36" s="37" t="s">
        <v>177</v>
      </c>
      <c r="H36" s="37" t="s">
        <v>179</v>
      </c>
      <c r="I36" s="51" t="s">
        <v>151</v>
      </c>
      <c r="J36" s="37" t="s">
        <v>178</v>
      </c>
      <c r="K36" s="37" t="s">
        <v>151</v>
      </c>
      <c r="L36" s="37">
        <v>1</v>
      </c>
      <c r="M36" s="37">
        <f>L36*5</f>
        <v>5</v>
      </c>
      <c r="N36" s="37">
        <v>5</v>
      </c>
      <c r="O36" s="60" t="s">
        <v>152</v>
      </c>
      <c r="P36" s="38">
        <v>1.3189</v>
      </c>
      <c r="Q36" s="38">
        <f>P36*N36</f>
        <v>6.5945</v>
      </c>
      <c r="R36" s="37"/>
      <c r="S36" s="39"/>
    </row>
    <row r="37" spans="1:19" ht="19.5" thickBot="1" x14ac:dyDescent="0.3">
      <c r="A37" s="1"/>
      <c r="B37" s="40"/>
      <c r="C37" s="41"/>
      <c r="D37" s="42"/>
      <c r="E37" s="43"/>
      <c r="F37" s="44"/>
      <c r="G37" s="45"/>
      <c r="H37" s="44"/>
      <c r="I37" s="45"/>
      <c r="J37" s="44"/>
      <c r="K37" s="45"/>
      <c r="L37" s="45"/>
      <c r="M37" s="45"/>
      <c r="N37" s="80" t="s">
        <v>5</v>
      </c>
      <c r="O37" s="81"/>
      <c r="P37" s="81"/>
      <c r="Q37" s="48">
        <f>SUM(Q10:Q36)</f>
        <v>64.402500000000003</v>
      </c>
      <c r="R37" s="76"/>
      <c r="S37" s="77"/>
    </row>
    <row r="38" spans="1:19" ht="19.5" thickBot="1" x14ac:dyDescent="0.3">
      <c r="A38" s="1"/>
      <c r="B38" s="25"/>
      <c r="C38" s="36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80" t="s">
        <v>6</v>
      </c>
      <c r="O38" s="81"/>
      <c r="P38" s="81"/>
      <c r="Q38" s="49">
        <f>Q37/5</f>
        <v>12.880500000000001</v>
      </c>
      <c r="R38" s="78"/>
      <c r="S38" s="79"/>
    </row>
  </sheetData>
  <mergeCells count="5">
    <mergeCell ref="K1:S1"/>
    <mergeCell ref="S3:S8"/>
    <mergeCell ref="R37:S38"/>
    <mergeCell ref="N37:P37"/>
    <mergeCell ref="N38:P38"/>
  </mergeCells>
  <hyperlinks>
    <hyperlink ref="O10" r:id="rId1"/>
    <hyperlink ref="O11" r:id="rId2"/>
    <hyperlink ref="O12" r:id="rId3"/>
    <hyperlink ref="O13" r:id="rId4"/>
    <hyperlink ref="O15" r:id="rId5"/>
    <hyperlink ref="O16" r:id="rId6"/>
    <hyperlink ref="O19" r:id="rId7"/>
    <hyperlink ref="O22" r:id="rId8"/>
    <hyperlink ref="O24" r:id="rId9"/>
    <hyperlink ref="O26" r:id="rId10"/>
    <hyperlink ref="O27" r:id="rId11"/>
    <hyperlink ref="O28" r:id="rId12"/>
    <hyperlink ref="O29" r:id="rId13"/>
    <hyperlink ref="O30" r:id="rId14"/>
    <hyperlink ref="O31" r:id="rId15"/>
    <hyperlink ref="O32" r:id="rId16"/>
    <hyperlink ref="O34" r:id="rId17"/>
    <hyperlink ref="O35" r:id="rId18"/>
    <hyperlink ref="O14" r:id="rId19"/>
    <hyperlink ref="O17" r:id="rId20"/>
    <hyperlink ref="O25" r:id="rId21"/>
    <hyperlink ref="O20" r:id="rId22"/>
    <hyperlink ref="O33" r:id="rId23"/>
    <hyperlink ref="O36" r:id="rId24"/>
    <hyperlink ref="O18" r:id="rId25"/>
    <hyperlink ref="O23" r:id="rId26"/>
  </hyperlinks>
  <pageMargins left="0.7" right="0.7" top="0.75" bottom="0.75" header="0.3" footer="0.3"/>
  <pageSetup paperSize="9" orientation="portrait" r:id="rId27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E22" workbookViewId="0">
      <selection activeCell="J23" sqref="J23"/>
    </sheetView>
  </sheetViews>
  <sheetFormatPr defaultRowHeight="15" x14ac:dyDescent="0.25"/>
  <cols>
    <col min="2" max="2" width="3" bestFit="1" customWidth="1"/>
    <col min="3" max="3" width="16.7109375" bestFit="1" customWidth="1"/>
    <col min="4" max="4" width="31.140625" bestFit="1" customWidth="1"/>
    <col min="5" max="5" width="26.42578125" bestFit="1" customWidth="1"/>
    <col min="6" max="6" width="12.85546875" customWidth="1"/>
    <col min="7" max="7" width="25.28515625" bestFit="1" customWidth="1"/>
    <col min="8" max="8" width="16.28515625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7.7109375" bestFit="1" customWidth="1"/>
    <col min="16" max="16" width="19.7109375" bestFit="1" customWidth="1"/>
    <col min="17" max="17" width="20.28515625" bestFit="1" customWidth="1"/>
    <col min="18" max="18" width="8.5703125" bestFit="1" customWidth="1"/>
    <col min="19" max="19" width="26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2"/>
      <c r="L1" s="72"/>
      <c r="M1" s="72"/>
      <c r="N1" s="72"/>
      <c r="O1" s="72"/>
      <c r="P1" s="72"/>
      <c r="Q1" s="72"/>
      <c r="R1" s="72"/>
      <c r="S1" s="7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155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154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4"/>
    </row>
    <row r="4" spans="1:19" x14ac:dyDescent="0.25">
      <c r="A4" s="1"/>
      <c r="B4" s="22"/>
      <c r="C4" s="32"/>
      <c r="D4" s="13" t="s">
        <v>2</v>
      </c>
      <c r="E4" s="13"/>
      <c r="F4" s="57" t="s">
        <v>154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5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5"/>
    </row>
    <row r="9" spans="1:19" ht="15.75" thickBot="1" x14ac:dyDescent="0.3">
      <c r="A9" s="1"/>
      <c r="B9" s="30" t="s">
        <v>4</v>
      </c>
      <c r="C9" s="30" t="s">
        <v>8</v>
      </c>
      <c r="D9" s="30" t="s">
        <v>17</v>
      </c>
      <c r="E9" s="30" t="s">
        <v>39</v>
      </c>
      <c r="F9" s="30" t="s">
        <v>62</v>
      </c>
      <c r="G9" s="30" t="s">
        <v>70</v>
      </c>
      <c r="H9" s="30" t="s">
        <v>91</v>
      </c>
      <c r="I9" s="30" t="s">
        <v>140</v>
      </c>
      <c r="J9" s="30" t="s">
        <v>102</v>
      </c>
      <c r="K9" s="30" t="s">
        <v>148</v>
      </c>
      <c r="L9" s="30" t="s">
        <v>139</v>
      </c>
      <c r="M9" s="30" t="s">
        <v>185</v>
      </c>
      <c r="N9" s="30" t="s">
        <v>186</v>
      </c>
      <c r="O9" s="30" t="s">
        <v>143</v>
      </c>
      <c r="P9" s="30" t="s">
        <v>187</v>
      </c>
      <c r="Q9" s="30" t="s">
        <v>188</v>
      </c>
      <c r="R9" s="30" t="s">
        <v>146</v>
      </c>
      <c r="S9" s="30" t="s">
        <v>147</v>
      </c>
    </row>
    <row r="10" spans="1:19" s="84" customFormat="1" x14ac:dyDescent="0.25">
      <c r="A10" s="82"/>
      <c r="B10" s="46">
        <f>ROW(B10) - ROW($B$9)</f>
        <v>1</v>
      </c>
      <c r="C10" s="53" t="s">
        <v>9</v>
      </c>
      <c r="D10" s="37" t="s">
        <v>18</v>
      </c>
      <c r="E10" s="37" t="s">
        <v>40</v>
      </c>
      <c r="F10" s="37" t="s">
        <v>63</v>
      </c>
      <c r="G10" s="37" t="s">
        <v>71</v>
      </c>
      <c r="H10" s="37" t="s">
        <v>92</v>
      </c>
      <c r="I10" s="37" t="s">
        <v>151</v>
      </c>
      <c r="J10" s="37" t="s">
        <v>103</v>
      </c>
      <c r="K10" s="37" t="s">
        <v>121</v>
      </c>
      <c r="L10" s="37">
        <v>2</v>
      </c>
      <c r="M10" s="37">
        <f>L10*20</f>
        <v>40</v>
      </c>
      <c r="N10" s="37">
        <v>60</v>
      </c>
      <c r="O10" s="60" t="s">
        <v>152</v>
      </c>
      <c r="P10" s="38">
        <v>3.5200000000000002E-2</v>
      </c>
      <c r="Q10" s="38">
        <f>P10*N10</f>
        <v>2.1120000000000001</v>
      </c>
      <c r="R10" s="37"/>
      <c r="S10" s="83"/>
    </row>
    <row r="11" spans="1:19" s="84" customFormat="1" x14ac:dyDescent="0.25">
      <c r="A11" s="82"/>
      <c r="B11" s="47">
        <f t="shared" ref="B11:B32" si="0">ROW(B11) - ROW($B$9)</f>
        <v>2</v>
      </c>
      <c r="C11" s="54" t="s">
        <v>9</v>
      </c>
      <c r="D11" s="51" t="s">
        <v>19</v>
      </c>
      <c r="E11" s="51" t="s">
        <v>41</v>
      </c>
      <c r="F11" s="51" t="s">
        <v>63</v>
      </c>
      <c r="G11" s="51" t="s">
        <v>72</v>
      </c>
      <c r="H11" s="51" t="s">
        <v>92</v>
      </c>
      <c r="I11" s="51" t="s">
        <v>151</v>
      </c>
      <c r="J11" s="51" t="s">
        <v>104</v>
      </c>
      <c r="K11" s="51" t="s">
        <v>122</v>
      </c>
      <c r="L11" s="51">
        <v>7</v>
      </c>
      <c r="M11" s="37">
        <f t="shared" ref="M11:M36" si="1">L11*20</f>
        <v>140</v>
      </c>
      <c r="N11" s="51">
        <v>200</v>
      </c>
      <c r="O11" s="60" t="s">
        <v>152</v>
      </c>
      <c r="P11" s="52">
        <v>3.5999999999999999E-3</v>
      </c>
      <c r="Q11" s="52">
        <f t="shared" ref="Q11" si="2">P11*N11</f>
        <v>0.72</v>
      </c>
      <c r="R11" s="51"/>
      <c r="S11" s="51"/>
    </row>
    <row r="12" spans="1:19" s="84" customFormat="1" x14ac:dyDescent="0.25">
      <c r="A12" s="82"/>
      <c r="B12" s="46">
        <f>ROW(B12) - ROW($B$9)</f>
        <v>3</v>
      </c>
      <c r="C12" s="54" t="s">
        <v>9</v>
      </c>
      <c r="D12" s="37" t="s">
        <v>20</v>
      </c>
      <c r="E12" s="37" t="s">
        <v>42</v>
      </c>
      <c r="F12" s="37" t="s">
        <v>63</v>
      </c>
      <c r="G12" s="37" t="s">
        <v>73</v>
      </c>
      <c r="H12" s="37" t="s">
        <v>93</v>
      </c>
      <c r="I12" s="37" t="s">
        <v>151</v>
      </c>
      <c r="J12" s="37" t="s">
        <v>105</v>
      </c>
      <c r="K12" s="37" t="s">
        <v>123</v>
      </c>
      <c r="L12" s="37">
        <v>2</v>
      </c>
      <c r="M12" s="37">
        <f t="shared" si="1"/>
        <v>40</v>
      </c>
      <c r="N12" s="37">
        <v>41</v>
      </c>
      <c r="O12" s="60" t="s">
        <v>152</v>
      </c>
      <c r="P12" s="38">
        <v>0.73660000000000003</v>
      </c>
      <c r="Q12" s="38">
        <f>P12*N12</f>
        <v>30.200600000000001</v>
      </c>
      <c r="R12" s="37"/>
      <c r="S12" s="59"/>
    </row>
    <row r="13" spans="1:19" s="84" customFormat="1" x14ac:dyDescent="0.25">
      <c r="A13" s="82"/>
      <c r="B13" s="47">
        <f t="shared" si="0"/>
        <v>4</v>
      </c>
      <c r="C13" s="54" t="s">
        <v>9</v>
      </c>
      <c r="D13" s="51" t="s">
        <v>21</v>
      </c>
      <c r="E13" s="51" t="s">
        <v>43</v>
      </c>
      <c r="F13" s="51" t="s">
        <v>63</v>
      </c>
      <c r="G13" s="51" t="s">
        <v>74</v>
      </c>
      <c r="H13" s="51" t="s">
        <v>94</v>
      </c>
      <c r="I13" s="51" t="s">
        <v>151</v>
      </c>
      <c r="J13" s="51" t="s">
        <v>106</v>
      </c>
      <c r="K13" s="51" t="s">
        <v>124</v>
      </c>
      <c r="L13" s="51">
        <v>2</v>
      </c>
      <c r="M13" s="37">
        <f t="shared" si="1"/>
        <v>40</v>
      </c>
      <c r="N13" s="51">
        <v>100</v>
      </c>
      <c r="O13" s="60" t="s">
        <v>152</v>
      </c>
      <c r="P13" s="52">
        <v>2.8E-3</v>
      </c>
      <c r="Q13" s="52">
        <f t="shared" ref="Q13" si="3">P13*N13</f>
        <v>0.27999999999999997</v>
      </c>
      <c r="R13" s="51"/>
      <c r="S13" s="59"/>
    </row>
    <row r="14" spans="1:19" s="84" customFormat="1" x14ac:dyDescent="0.25">
      <c r="A14" s="82"/>
      <c r="B14" s="46">
        <f>ROW(B14) - ROW($B$9)</f>
        <v>5</v>
      </c>
      <c r="C14" s="53" t="s">
        <v>9</v>
      </c>
      <c r="D14" s="37" t="s">
        <v>22</v>
      </c>
      <c r="E14" s="37" t="s">
        <v>44</v>
      </c>
      <c r="F14" s="37" t="s">
        <v>63</v>
      </c>
      <c r="G14" s="62" t="s">
        <v>75</v>
      </c>
      <c r="H14" s="37" t="s">
        <v>93</v>
      </c>
      <c r="I14" s="37"/>
      <c r="J14" s="37" t="s">
        <v>161</v>
      </c>
      <c r="K14" s="37" t="s">
        <v>125</v>
      </c>
      <c r="L14" s="37">
        <v>1</v>
      </c>
      <c r="M14" s="37">
        <f t="shared" si="1"/>
        <v>20</v>
      </c>
      <c r="N14" s="37">
        <v>50</v>
      </c>
      <c r="O14" s="60" t="s">
        <v>152</v>
      </c>
      <c r="P14" s="38">
        <v>1.54E-2</v>
      </c>
      <c r="Q14" s="38">
        <f>P14*N14</f>
        <v>0.77</v>
      </c>
      <c r="R14" s="37"/>
      <c r="S14" s="59"/>
    </row>
    <row r="15" spans="1:19" s="84" customFormat="1" x14ac:dyDescent="0.25">
      <c r="A15" s="82"/>
      <c r="B15" s="47">
        <f t="shared" si="0"/>
        <v>6</v>
      </c>
      <c r="C15" s="54" t="s">
        <v>9</v>
      </c>
      <c r="D15" s="51" t="s">
        <v>23</v>
      </c>
      <c r="E15" s="51" t="s">
        <v>45</v>
      </c>
      <c r="F15" s="51" t="s">
        <v>63</v>
      </c>
      <c r="G15" s="51" t="s">
        <v>76</v>
      </c>
      <c r="H15" s="51" t="s">
        <v>92</v>
      </c>
      <c r="I15" s="51" t="s">
        <v>151</v>
      </c>
      <c r="J15" s="51" t="s">
        <v>107</v>
      </c>
      <c r="K15" s="51" t="s">
        <v>126</v>
      </c>
      <c r="L15" s="51">
        <v>2</v>
      </c>
      <c r="M15" s="37">
        <f t="shared" si="1"/>
        <v>40</v>
      </c>
      <c r="N15" s="51">
        <v>100</v>
      </c>
      <c r="O15" s="60" t="s">
        <v>152</v>
      </c>
      <c r="P15" s="52">
        <v>6.7999999999999996E-3</v>
      </c>
      <c r="Q15" s="52">
        <f t="shared" ref="Q15" si="4">P15*N15</f>
        <v>0.67999999999999994</v>
      </c>
      <c r="R15" s="51"/>
      <c r="S15" s="59"/>
    </row>
    <row r="16" spans="1:19" s="84" customFormat="1" x14ac:dyDescent="0.25">
      <c r="A16" s="82"/>
      <c r="B16" s="46">
        <f>ROW(B16) - ROW($B$9)</f>
        <v>7</v>
      </c>
      <c r="C16" s="54" t="s">
        <v>9</v>
      </c>
      <c r="D16" s="37" t="s">
        <v>24</v>
      </c>
      <c r="E16" s="37" t="s">
        <v>46</v>
      </c>
      <c r="F16" s="37" t="s">
        <v>63</v>
      </c>
      <c r="G16" s="37" t="s">
        <v>77</v>
      </c>
      <c r="H16" s="37" t="s">
        <v>93</v>
      </c>
      <c r="I16" s="37" t="s">
        <v>151</v>
      </c>
      <c r="J16" s="37" t="s">
        <v>108</v>
      </c>
      <c r="K16" s="37" t="s">
        <v>127</v>
      </c>
      <c r="L16" s="37">
        <v>1</v>
      </c>
      <c r="M16" s="37">
        <f t="shared" si="1"/>
        <v>20</v>
      </c>
      <c r="N16" s="37">
        <v>30</v>
      </c>
      <c r="O16" s="60" t="s">
        <v>152</v>
      </c>
      <c r="P16" s="38">
        <v>4.1700000000000001E-2</v>
      </c>
      <c r="Q16" s="38">
        <f>P16*N16</f>
        <v>1.2510000000000001</v>
      </c>
      <c r="R16" s="37"/>
      <c r="S16" s="59"/>
    </row>
    <row r="17" spans="1:19" s="84" customFormat="1" x14ac:dyDescent="0.25">
      <c r="A17" s="82"/>
      <c r="B17" s="47">
        <f t="shared" si="0"/>
        <v>8</v>
      </c>
      <c r="C17" s="54" t="s">
        <v>9</v>
      </c>
      <c r="D17" s="51" t="s">
        <v>25</v>
      </c>
      <c r="E17" s="51" t="s">
        <v>47</v>
      </c>
      <c r="F17" s="51" t="s">
        <v>63</v>
      </c>
      <c r="G17" s="62" t="s">
        <v>78</v>
      </c>
      <c r="H17" s="51" t="s">
        <v>95</v>
      </c>
      <c r="I17" s="51" t="s">
        <v>162</v>
      </c>
      <c r="J17" s="51" t="s">
        <v>163</v>
      </c>
      <c r="K17" s="51" t="s">
        <v>128</v>
      </c>
      <c r="L17" s="51">
        <v>2</v>
      </c>
      <c r="M17" s="37">
        <f t="shared" si="1"/>
        <v>40</v>
      </c>
      <c r="N17" s="51">
        <v>100</v>
      </c>
      <c r="O17" s="60" t="s">
        <v>152</v>
      </c>
      <c r="P17" s="52">
        <v>5.7999999999999996E-3</v>
      </c>
      <c r="Q17" s="52">
        <f t="shared" ref="Q17" si="5">P17*N17</f>
        <v>0.57999999999999996</v>
      </c>
      <c r="R17" s="51"/>
      <c r="S17" s="59"/>
    </row>
    <row r="18" spans="1:19" s="71" customFormat="1" x14ac:dyDescent="0.25">
      <c r="A18" s="63"/>
      <c r="B18" s="85">
        <f>ROW(B18) - ROW($B$9)</f>
        <v>9</v>
      </c>
      <c r="C18" s="86" t="s">
        <v>15</v>
      </c>
      <c r="D18" s="67" t="s">
        <v>181</v>
      </c>
      <c r="E18" s="67" t="s">
        <v>182</v>
      </c>
      <c r="F18" s="67" t="s">
        <v>66</v>
      </c>
      <c r="G18" s="67" t="s">
        <v>183</v>
      </c>
      <c r="H18" s="67" t="s">
        <v>100</v>
      </c>
      <c r="I18" s="67" t="s">
        <v>151</v>
      </c>
      <c r="J18" s="67" t="s">
        <v>184</v>
      </c>
      <c r="K18" s="67"/>
      <c r="L18" s="67">
        <v>2</v>
      </c>
      <c r="M18" s="67">
        <f t="shared" si="1"/>
        <v>40</v>
      </c>
      <c r="N18" s="67">
        <v>45</v>
      </c>
      <c r="O18" s="68" t="s">
        <v>152</v>
      </c>
      <c r="P18" s="87">
        <v>0.13789999999999999</v>
      </c>
      <c r="Q18" s="87">
        <f>P18*N18</f>
        <v>6.2054999999999998</v>
      </c>
      <c r="R18" s="67"/>
      <c r="S18" s="70"/>
    </row>
    <row r="19" spans="1:19" s="84" customFormat="1" x14ac:dyDescent="0.25">
      <c r="A19" s="82"/>
      <c r="B19" s="46">
        <f>ROW(B19) - ROW($B$9)</f>
        <v>10</v>
      </c>
      <c r="C19" s="53" t="s">
        <v>10</v>
      </c>
      <c r="D19" s="37" t="s">
        <v>26</v>
      </c>
      <c r="E19" s="37" t="s">
        <v>48</v>
      </c>
      <c r="F19" s="37" t="s">
        <v>64</v>
      </c>
      <c r="G19" s="37" t="s">
        <v>79</v>
      </c>
      <c r="H19" s="37" t="s">
        <v>96</v>
      </c>
      <c r="I19" s="37" t="s">
        <v>151</v>
      </c>
      <c r="J19" s="37" t="s">
        <v>109</v>
      </c>
      <c r="K19" s="37" t="s">
        <v>151</v>
      </c>
      <c r="L19" s="37">
        <v>2</v>
      </c>
      <c r="M19" s="37">
        <f t="shared" si="1"/>
        <v>40</v>
      </c>
      <c r="N19" s="37">
        <v>45</v>
      </c>
      <c r="O19" s="60" t="s">
        <v>152</v>
      </c>
      <c r="P19" s="38">
        <v>0.14219999999999999</v>
      </c>
      <c r="Q19" s="38">
        <f>P19*N19</f>
        <v>6.399</v>
      </c>
      <c r="R19" s="37"/>
      <c r="S19" s="59"/>
    </row>
    <row r="20" spans="1:19" s="84" customFormat="1" x14ac:dyDescent="0.25">
      <c r="A20" s="82"/>
      <c r="B20" s="47">
        <f t="shared" si="0"/>
        <v>11</v>
      </c>
      <c r="C20" s="54" t="s">
        <v>11</v>
      </c>
      <c r="D20" s="51" t="s">
        <v>27</v>
      </c>
      <c r="E20" s="51" t="s">
        <v>164</v>
      </c>
      <c r="F20" s="51" t="s">
        <v>149</v>
      </c>
      <c r="G20" s="51" t="s">
        <v>165</v>
      </c>
      <c r="H20" s="51" t="s">
        <v>166</v>
      </c>
      <c r="I20" s="51" t="s">
        <v>151</v>
      </c>
      <c r="J20" s="51" t="s">
        <v>151</v>
      </c>
      <c r="K20" s="37" t="s">
        <v>151</v>
      </c>
      <c r="L20" s="51">
        <v>1</v>
      </c>
      <c r="M20" s="37">
        <f t="shared" si="1"/>
        <v>20</v>
      </c>
      <c r="N20" s="51">
        <v>21</v>
      </c>
      <c r="O20" s="60" t="s">
        <v>167</v>
      </c>
      <c r="P20" s="52">
        <v>3.32</v>
      </c>
      <c r="Q20" s="52">
        <f t="shared" ref="Q20" si="6">P20*N20</f>
        <v>69.72</v>
      </c>
      <c r="R20" s="51"/>
      <c r="S20" s="59"/>
    </row>
    <row r="21" spans="1:19" s="84" customFormat="1" ht="24" x14ac:dyDescent="0.25">
      <c r="A21" s="82"/>
      <c r="B21" s="46">
        <f>ROW(B21) - ROW($B$9)</f>
        <v>12</v>
      </c>
      <c r="C21" s="53" t="s">
        <v>150</v>
      </c>
      <c r="D21" s="62" t="s">
        <v>156</v>
      </c>
      <c r="E21" s="62" t="s">
        <v>49</v>
      </c>
      <c r="F21" s="62" t="s">
        <v>149</v>
      </c>
      <c r="G21" s="62" t="s">
        <v>151</v>
      </c>
      <c r="H21" s="62" t="s">
        <v>151</v>
      </c>
      <c r="I21" s="62" t="s">
        <v>151</v>
      </c>
      <c r="J21" s="62" t="s">
        <v>151</v>
      </c>
      <c r="K21" s="37" t="s">
        <v>151</v>
      </c>
      <c r="L21" s="62">
        <v>1</v>
      </c>
      <c r="M21" s="62">
        <f t="shared" si="1"/>
        <v>20</v>
      </c>
      <c r="N21" s="62" t="s">
        <v>151</v>
      </c>
      <c r="O21" s="62" t="s">
        <v>151</v>
      </c>
      <c r="P21" s="62" t="s">
        <v>151</v>
      </c>
      <c r="Q21" s="62" t="s">
        <v>151</v>
      </c>
      <c r="R21" s="61" t="s">
        <v>153</v>
      </c>
      <c r="S21" s="59"/>
    </row>
    <row r="22" spans="1:19" s="84" customFormat="1" ht="60" x14ac:dyDescent="0.25">
      <c r="A22" s="82"/>
      <c r="B22" s="47">
        <f t="shared" si="0"/>
        <v>13</v>
      </c>
      <c r="C22" s="54" t="s">
        <v>12</v>
      </c>
      <c r="D22" s="51" t="s">
        <v>28</v>
      </c>
      <c r="E22" s="51" t="s">
        <v>50</v>
      </c>
      <c r="F22" s="51" t="s">
        <v>65</v>
      </c>
      <c r="G22" s="51" t="s">
        <v>80</v>
      </c>
      <c r="H22" s="51" t="s">
        <v>97</v>
      </c>
      <c r="I22" s="51" t="s">
        <v>151</v>
      </c>
      <c r="J22" s="51" t="s">
        <v>110</v>
      </c>
      <c r="K22" s="37" t="s">
        <v>151</v>
      </c>
      <c r="L22" s="51">
        <v>1</v>
      </c>
      <c r="M22" s="37">
        <f t="shared" si="1"/>
        <v>20</v>
      </c>
      <c r="N22" s="51">
        <v>40</v>
      </c>
      <c r="O22" s="60" t="s">
        <v>152</v>
      </c>
      <c r="P22" s="52">
        <v>3.3500000000000002E-2</v>
      </c>
      <c r="Q22" s="52">
        <f t="shared" ref="Q22" si="7">P22*N22</f>
        <v>1.34</v>
      </c>
      <c r="R22" s="51"/>
      <c r="S22" s="59"/>
    </row>
    <row r="23" spans="1:19" s="84" customFormat="1" ht="24" x14ac:dyDescent="0.25">
      <c r="A23" s="82"/>
      <c r="B23" s="46">
        <f>ROW(B23) - ROW($B$9)</f>
        <v>14</v>
      </c>
      <c r="C23" s="54" t="s">
        <v>12</v>
      </c>
      <c r="D23" s="37" t="s">
        <v>29</v>
      </c>
      <c r="E23" s="37" t="s">
        <v>51</v>
      </c>
      <c r="F23" s="37" t="s">
        <v>66</v>
      </c>
      <c r="G23" s="37" t="s">
        <v>81</v>
      </c>
      <c r="H23" s="37" t="s">
        <v>98</v>
      </c>
      <c r="I23" s="37" t="s">
        <v>151</v>
      </c>
      <c r="J23" s="37" t="s">
        <v>205</v>
      </c>
      <c r="K23" s="37" t="s">
        <v>151</v>
      </c>
      <c r="L23" s="37">
        <v>1</v>
      </c>
      <c r="M23" s="37">
        <f t="shared" si="1"/>
        <v>20</v>
      </c>
      <c r="N23" s="37">
        <v>30</v>
      </c>
      <c r="O23" s="60" t="s">
        <v>152</v>
      </c>
      <c r="P23" s="38">
        <v>6.0499999999999998E-2</v>
      </c>
      <c r="Q23" s="38">
        <f>P23*N23</f>
        <v>1.8149999999999999</v>
      </c>
      <c r="R23" s="37"/>
      <c r="S23" s="59"/>
    </row>
    <row r="24" spans="1:19" s="84" customFormat="1" x14ac:dyDescent="0.25">
      <c r="A24" s="82"/>
      <c r="B24" s="47">
        <f t="shared" si="0"/>
        <v>15</v>
      </c>
      <c r="C24" s="54" t="s">
        <v>13</v>
      </c>
      <c r="D24" s="51" t="s">
        <v>30</v>
      </c>
      <c r="E24" s="51" t="s">
        <v>52</v>
      </c>
      <c r="F24" s="51" t="s">
        <v>67</v>
      </c>
      <c r="G24" s="51" t="s">
        <v>82</v>
      </c>
      <c r="H24" s="51" t="s">
        <v>92</v>
      </c>
      <c r="I24" s="51" t="s">
        <v>151</v>
      </c>
      <c r="J24" s="51" t="s">
        <v>111</v>
      </c>
      <c r="K24" s="51" t="s">
        <v>129</v>
      </c>
      <c r="L24" s="51">
        <v>1</v>
      </c>
      <c r="M24" s="37">
        <f t="shared" si="1"/>
        <v>20</v>
      </c>
      <c r="N24" s="51">
        <v>100</v>
      </c>
      <c r="O24" s="60" t="s">
        <v>152</v>
      </c>
      <c r="P24" s="52">
        <v>1E-3</v>
      </c>
      <c r="Q24" s="52">
        <f t="shared" ref="Q24" si="8">P24*N24</f>
        <v>0.1</v>
      </c>
      <c r="R24" s="51"/>
      <c r="S24" s="59"/>
    </row>
    <row r="25" spans="1:19" s="84" customFormat="1" ht="24" x14ac:dyDescent="0.25">
      <c r="A25" s="82"/>
      <c r="B25" s="46">
        <f>ROW(B25) - ROW($B$9)</f>
        <v>16</v>
      </c>
      <c r="C25" s="53" t="s">
        <v>13</v>
      </c>
      <c r="D25" s="37" t="s">
        <v>168</v>
      </c>
      <c r="E25" s="37" t="s">
        <v>157</v>
      </c>
      <c r="F25" s="37" t="s">
        <v>158</v>
      </c>
      <c r="G25" s="37" t="s">
        <v>159</v>
      </c>
      <c r="H25" s="37" t="s">
        <v>92</v>
      </c>
      <c r="I25" s="37" t="s">
        <v>151</v>
      </c>
      <c r="J25" s="37" t="s">
        <v>160</v>
      </c>
      <c r="K25" s="37" t="s">
        <v>130</v>
      </c>
      <c r="L25" s="37">
        <v>12</v>
      </c>
      <c r="M25" s="37">
        <f t="shared" si="1"/>
        <v>240</v>
      </c>
      <c r="N25" s="37">
        <v>300</v>
      </c>
      <c r="O25" s="60" t="s">
        <v>152</v>
      </c>
      <c r="P25" s="52">
        <v>8.9999999999999998E-4</v>
      </c>
      <c r="Q25" s="38">
        <f>P25*N25</f>
        <v>0.27</v>
      </c>
      <c r="R25" s="37"/>
      <c r="S25" s="59"/>
    </row>
    <row r="26" spans="1:19" s="84" customFormat="1" x14ac:dyDescent="0.25">
      <c r="A26" s="82"/>
      <c r="B26" s="47">
        <f t="shared" si="0"/>
        <v>17</v>
      </c>
      <c r="C26" s="54" t="s">
        <v>13</v>
      </c>
      <c r="D26" s="51" t="s">
        <v>169</v>
      </c>
      <c r="E26" s="51" t="s">
        <v>53</v>
      </c>
      <c r="F26" s="51" t="s">
        <v>67</v>
      </c>
      <c r="G26" s="51" t="s">
        <v>83</v>
      </c>
      <c r="H26" s="51" t="s">
        <v>92</v>
      </c>
      <c r="I26" s="51" t="s">
        <v>151</v>
      </c>
      <c r="J26" s="51" t="s">
        <v>112</v>
      </c>
      <c r="K26" s="51" t="s">
        <v>131</v>
      </c>
      <c r="L26" s="51">
        <v>3</v>
      </c>
      <c r="M26" s="37">
        <f t="shared" si="1"/>
        <v>60</v>
      </c>
      <c r="N26" s="51">
        <v>100</v>
      </c>
      <c r="O26" s="60" t="s">
        <v>152</v>
      </c>
      <c r="P26" s="52">
        <v>1.2999999999999999E-3</v>
      </c>
      <c r="Q26" s="52">
        <f t="shared" ref="Q26" si="9">P26*N26</f>
        <v>0.13</v>
      </c>
      <c r="R26" s="51"/>
      <c r="S26" s="59"/>
    </row>
    <row r="27" spans="1:19" s="84" customFormat="1" x14ac:dyDescent="0.25">
      <c r="A27" s="82"/>
      <c r="B27" s="46">
        <f>ROW(B27) - ROW($B$9)</f>
        <v>18</v>
      </c>
      <c r="C27" s="53" t="s">
        <v>13</v>
      </c>
      <c r="D27" s="37" t="s">
        <v>31</v>
      </c>
      <c r="E27" s="37" t="s">
        <v>54</v>
      </c>
      <c r="F27" s="37" t="s">
        <v>67</v>
      </c>
      <c r="G27" s="37" t="s">
        <v>84</v>
      </c>
      <c r="H27" s="37" t="s">
        <v>92</v>
      </c>
      <c r="I27" s="37" t="s">
        <v>151</v>
      </c>
      <c r="J27" s="37" t="s">
        <v>113</v>
      </c>
      <c r="K27" s="37" t="s">
        <v>132</v>
      </c>
      <c r="L27" s="37">
        <v>4</v>
      </c>
      <c r="M27" s="37">
        <f t="shared" si="1"/>
        <v>80</v>
      </c>
      <c r="N27" s="37">
        <v>100</v>
      </c>
      <c r="O27" s="60" t="s">
        <v>152</v>
      </c>
      <c r="P27" s="38">
        <v>1.1999999999999999E-3</v>
      </c>
      <c r="Q27" s="38">
        <f>P27*N27</f>
        <v>0.12</v>
      </c>
      <c r="R27" s="37"/>
      <c r="S27" s="59"/>
    </row>
    <row r="28" spans="1:19" s="84" customFormat="1" x14ac:dyDescent="0.25">
      <c r="A28" s="82"/>
      <c r="B28" s="47">
        <f t="shared" si="0"/>
        <v>19</v>
      </c>
      <c r="C28" s="54" t="s">
        <v>13</v>
      </c>
      <c r="D28" s="51" t="s">
        <v>32</v>
      </c>
      <c r="E28" s="51" t="s">
        <v>55</v>
      </c>
      <c r="F28" s="51" t="s">
        <v>67</v>
      </c>
      <c r="G28" s="51" t="s">
        <v>85</v>
      </c>
      <c r="H28" s="51" t="s">
        <v>92</v>
      </c>
      <c r="I28" s="51" t="s">
        <v>151</v>
      </c>
      <c r="J28" s="51" t="s">
        <v>114</v>
      </c>
      <c r="K28" s="51" t="s">
        <v>133</v>
      </c>
      <c r="L28" s="51">
        <v>1</v>
      </c>
      <c r="M28" s="37">
        <f t="shared" si="1"/>
        <v>20</v>
      </c>
      <c r="N28" s="51">
        <v>100</v>
      </c>
      <c r="O28" s="60" t="s">
        <v>152</v>
      </c>
      <c r="P28" s="52">
        <v>3.2000000000000002E-3</v>
      </c>
      <c r="Q28" s="52">
        <f t="shared" ref="Q28" si="10">P28*N28</f>
        <v>0.32</v>
      </c>
      <c r="R28" s="51"/>
      <c r="S28" s="59"/>
    </row>
    <row r="29" spans="1:19" s="84" customFormat="1" x14ac:dyDescent="0.25">
      <c r="A29" s="82"/>
      <c r="B29" s="46">
        <f>ROW(B29) - ROW($B$9)</f>
        <v>20</v>
      </c>
      <c r="C29" s="53" t="s">
        <v>13</v>
      </c>
      <c r="D29" s="37" t="s">
        <v>33</v>
      </c>
      <c r="E29" s="37" t="s">
        <v>56</v>
      </c>
      <c r="F29" s="37" t="s">
        <v>67</v>
      </c>
      <c r="G29" s="37" t="s">
        <v>86</v>
      </c>
      <c r="H29" s="37" t="s">
        <v>92</v>
      </c>
      <c r="I29" s="37" t="s">
        <v>151</v>
      </c>
      <c r="J29" s="37" t="s">
        <v>115</v>
      </c>
      <c r="K29" s="37" t="s">
        <v>134</v>
      </c>
      <c r="L29" s="37">
        <v>4</v>
      </c>
      <c r="M29" s="37">
        <f t="shared" si="1"/>
        <v>80</v>
      </c>
      <c r="N29" s="37">
        <v>100</v>
      </c>
      <c r="O29" s="60" t="s">
        <v>152</v>
      </c>
      <c r="P29" s="38">
        <v>1.1999999999999999E-3</v>
      </c>
      <c r="Q29" s="38">
        <f>P29*N29</f>
        <v>0.12</v>
      </c>
      <c r="R29" s="37"/>
      <c r="S29" s="59"/>
    </row>
    <row r="30" spans="1:19" s="84" customFormat="1" x14ac:dyDescent="0.25">
      <c r="A30" s="82"/>
      <c r="B30" s="47">
        <f t="shared" si="0"/>
        <v>21</v>
      </c>
      <c r="C30" s="54" t="s">
        <v>13</v>
      </c>
      <c r="D30" s="51" t="s">
        <v>34</v>
      </c>
      <c r="E30" s="51" t="s">
        <v>57</v>
      </c>
      <c r="F30" s="51" t="s">
        <v>67</v>
      </c>
      <c r="G30" s="51" t="s">
        <v>87</v>
      </c>
      <c r="H30" s="51" t="s">
        <v>92</v>
      </c>
      <c r="I30" s="51" t="s">
        <v>151</v>
      </c>
      <c r="J30" s="51" t="s">
        <v>116</v>
      </c>
      <c r="K30" s="51" t="s">
        <v>135</v>
      </c>
      <c r="L30" s="51">
        <v>2</v>
      </c>
      <c r="M30" s="37">
        <f t="shared" si="1"/>
        <v>40</v>
      </c>
      <c r="N30" s="51">
        <v>100</v>
      </c>
      <c r="O30" s="60" t="s">
        <v>152</v>
      </c>
      <c r="P30" s="52">
        <v>1.1000000000000001E-3</v>
      </c>
      <c r="Q30" s="52">
        <f t="shared" ref="Q30" si="11">P30*N30</f>
        <v>0.11</v>
      </c>
      <c r="R30" s="51"/>
      <c r="S30" s="59"/>
    </row>
    <row r="31" spans="1:19" s="84" customFormat="1" ht="24" x14ac:dyDescent="0.25">
      <c r="A31" s="82"/>
      <c r="B31" s="46">
        <f>ROW(B31) - ROW($B$9)</f>
        <v>22</v>
      </c>
      <c r="C31" s="54" t="s">
        <v>13</v>
      </c>
      <c r="D31" s="37" t="s">
        <v>35</v>
      </c>
      <c r="E31" s="37" t="s">
        <v>58</v>
      </c>
      <c r="F31" s="37" t="s">
        <v>67</v>
      </c>
      <c r="G31" s="37" t="s">
        <v>88</v>
      </c>
      <c r="H31" s="37" t="s">
        <v>92</v>
      </c>
      <c r="I31" s="51" t="s">
        <v>151</v>
      </c>
      <c r="J31" s="37" t="s">
        <v>117</v>
      </c>
      <c r="K31" s="37" t="s">
        <v>136</v>
      </c>
      <c r="L31" s="37">
        <v>1</v>
      </c>
      <c r="M31" s="37">
        <f t="shared" si="1"/>
        <v>20</v>
      </c>
      <c r="N31" s="37">
        <v>100</v>
      </c>
      <c r="O31" s="60" t="s">
        <v>152</v>
      </c>
      <c r="P31" s="38">
        <v>1.2999999999999999E-3</v>
      </c>
      <c r="Q31" s="38">
        <f>P31*N31</f>
        <v>0.13</v>
      </c>
      <c r="R31" s="37"/>
      <c r="S31" s="59"/>
    </row>
    <row r="32" spans="1:19" s="84" customFormat="1" ht="24" x14ac:dyDescent="0.25">
      <c r="A32" s="82"/>
      <c r="B32" s="47">
        <f t="shared" si="0"/>
        <v>23</v>
      </c>
      <c r="C32" s="54" t="s">
        <v>13</v>
      </c>
      <c r="D32" s="51" t="s">
        <v>36</v>
      </c>
      <c r="E32" s="51" t="s">
        <v>59</v>
      </c>
      <c r="F32" s="51" t="s">
        <v>67</v>
      </c>
      <c r="G32" s="51" t="s">
        <v>89</v>
      </c>
      <c r="H32" s="51" t="s">
        <v>92</v>
      </c>
      <c r="I32" s="37" t="s">
        <v>151</v>
      </c>
      <c r="J32" s="51" t="s">
        <v>118</v>
      </c>
      <c r="K32" s="51" t="s">
        <v>137</v>
      </c>
      <c r="L32" s="51">
        <v>1</v>
      </c>
      <c r="M32" s="37">
        <f t="shared" si="1"/>
        <v>20</v>
      </c>
      <c r="N32" s="51">
        <v>100</v>
      </c>
      <c r="O32" s="60" t="s">
        <v>152</v>
      </c>
      <c r="P32" s="52">
        <v>1.1999999999999999E-3</v>
      </c>
      <c r="Q32" s="52">
        <f t="shared" ref="Q32" si="12">P32*N32</f>
        <v>0.12</v>
      </c>
      <c r="R32" s="51"/>
      <c r="S32" s="59"/>
    </row>
    <row r="33" spans="1:19" s="84" customFormat="1" x14ac:dyDescent="0.25">
      <c r="A33" s="82"/>
      <c r="B33" s="46">
        <f>ROW(B33) - ROW($B$9)</f>
        <v>24</v>
      </c>
      <c r="C33" s="53" t="s">
        <v>13</v>
      </c>
      <c r="D33" s="37" t="s">
        <v>170</v>
      </c>
      <c r="E33" s="37" t="s">
        <v>171</v>
      </c>
      <c r="F33" s="37" t="s">
        <v>172</v>
      </c>
      <c r="G33" s="37" t="s">
        <v>173</v>
      </c>
      <c r="H33" s="37" t="s">
        <v>92</v>
      </c>
      <c r="I33" s="37" t="s">
        <v>151</v>
      </c>
      <c r="J33" s="37" t="s">
        <v>174</v>
      </c>
      <c r="K33" s="37" t="s">
        <v>175</v>
      </c>
      <c r="L33" s="37">
        <v>1</v>
      </c>
      <c r="M33" s="37">
        <f t="shared" si="1"/>
        <v>20</v>
      </c>
      <c r="N33" s="37">
        <v>100</v>
      </c>
      <c r="O33" s="60" t="s">
        <v>152</v>
      </c>
      <c r="P33" s="38">
        <v>6.9999999999999999E-4</v>
      </c>
      <c r="Q33" s="38">
        <f>P33*N33</f>
        <v>6.9999999999999993E-2</v>
      </c>
      <c r="R33" s="37"/>
      <c r="S33" s="59"/>
    </row>
    <row r="34" spans="1:19" s="84" customFormat="1" ht="24" x14ac:dyDescent="0.25">
      <c r="A34" s="82"/>
      <c r="B34" s="46">
        <f>ROW(B34) - ROW($B$9)</f>
        <v>25</v>
      </c>
      <c r="C34" s="53" t="s">
        <v>14</v>
      </c>
      <c r="D34" s="37" t="s">
        <v>37</v>
      </c>
      <c r="E34" s="37" t="s">
        <v>60</v>
      </c>
      <c r="F34" s="37" t="s">
        <v>68</v>
      </c>
      <c r="G34" s="37" t="s">
        <v>90</v>
      </c>
      <c r="H34" s="37" t="s">
        <v>99</v>
      </c>
      <c r="I34" s="51" t="s">
        <v>151</v>
      </c>
      <c r="J34" s="37" t="s">
        <v>119</v>
      </c>
      <c r="K34" s="37" t="s">
        <v>151</v>
      </c>
      <c r="L34" s="37">
        <v>1</v>
      </c>
      <c r="M34" s="37">
        <f t="shared" si="1"/>
        <v>20</v>
      </c>
      <c r="N34" s="37">
        <v>21</v>
      </c>
      <c r="O34" s="60" t="s">
        <v>152</v>
      </c>
      <c r="P34" s="38">
        <v>2.3896000000000002</v>
      </c>
      <c r="Q34" s="38">
        <f>P34*N34</f>
        <v>50.181600000000003</v>
      </c>
      <c r="R34" s="37"/>
      <c r="S34" s="59"/>
    </row>
    <row r="35" spans="1:19" s="84" customFormat="1" ht="15.75" thickBot="1" x14ac:dyDescent="0.3">
      <c r="A35" s="82"/>
      <c r="B35" s="46">
        <f>ROW(B35) - ROW($B$9)</f>
        <v>26</v>
      </c>
      <c r="C35" s="53" t="s">
        <v>16</v>
      </c>
      <c r="D35" s="37" t="s">
        <v>38</v>
      </c>
      <c r="E35" s="37" t="s">
        <v>61</v>
      </c>
      <c r="F35" s="37" t="s">
        <v>149</v>
      </c>
      <c r="G35" s="37" t="s">
        <v>69</v>
      </c>
      <c r="H35" s="37" t="s">
        <v>101</v>
      </c>
      <c r="I35" s="51" t="s">
        <v>151</v>
      </c>
      <c r="J35" s="37" t="s">
        <v>120</v>
      </c>
      <c r="K35" s="37" t="s">
        <v>138</v>
      </c>
      <c r="L35" s="37">
        <v>1</v>
      </c>
      <c r="M35" s="37">
        <f t="shared" si="1"/>
        <v>20</v>
      </c>
      <c r="N35" s="37">
        <v>21</v>
      </c>
      <c r="O35" s="60" t="s">
        <v>152</v>
      </c>
      <c r="P35" s="38">
        <v>0.2036</v>
      </c>
      <c r="Q35" s="38">
        <f>P35*N35</f>
        <v>4.2755999999999998</v>
      </c>
      <c r="R35" s="37"/>
      <c r="S35" s="39"/>
    </row>
    <row r="36" spans="1:19" s="84" customFormat="1" ht="15.75" thickBot="1" x14ac:dyDescent="0.3">
      <c r="A36" s="82"/>
      <c r="B36" s="46">
        <f>ROW(B36) - ROW($B$9)</f>
        <v>27</v>
      </c>
      <c r="C36" s="53" t="s">
        <v>176</v>
      </c>
      <c r="D36" s="37" t="s">
        <v>151</v>
      </c>
      <c r="E36" s="37" t="s">
        <v>180</v>
      </c>
      <c r="F36" s="37" t="s">
        <v>151</v>
      </c>
      <c r="G36" s="37" t="s">
        <v>177</v>
      </c>
      <c r="H36" s="37" t="s">
        <v>179</v>
      </c>
      <c r="I36" s="51" t="s">
        <v>151</v>
      </c>
      <c r="J36" s="37" t="s">
        <v>178</v>
      </c>
      <c r="K36" s="37" t="s">
        <v>151</v>
      </c>
      <c r="L36" s="37">
        <v>1</v>
      </c>
      <c r="M36" s="37">
        <f t="shared" si="1"/>
        <v>20</v>
      </c>
      <c r="N36" s="37">
        <v>20</v>
      </c>
      <c r="O36" s="60" t="s">
        <v>152</v>
      </c>
      <c r="P36" s="38">
        <v>1.2712000000000001</v>
      </c>
      <c r="Q36" s="38">
        <f>P36*N36</f>
        <v>25.424000000000003</v>
      </c>
      <c r="R36" s="37"/>
      <c r="S36" s="39"/>
    </row>
    <row r="37" spans="1:19" ht="19.5" thickBot="1" x14ac:dyDescent="0.3">
      <c r="A37" s="1"/>
      <c r="B37" s="40"/>
      <c r="C37" s="41"/>
      <c r="D37" s="42"/>
      <c r="E37" s="43"/>
      <c r="F37" s="44"/>
      <c r="G37" s="45"/>
      <c r="H37" s="44"/>
      <c r="I37" s="45"/>
      <c r="J37" s="44"/>
      <c r="K37" s="45"/>
      <c r="L37" s="45"/>
      <c r="M37" s="45"/>
      <c r="N37" s="80" t="s">
        <v>5</v>
      </c>
      <c r="O37" s="81"/>
      <c r="P37" s="81"/>
      <c r="Q37" s="48">
        <f>SUM(Q10:Q36)</f>
        <v>203.4443</v>
      </c>
      <c r="R37" s="76"/>
      <c r="S37" s="77"/>
    </row>
    <row r="38" spans="1:19" ht="19.5" thickBot="1" x14ac:dyDescent="0.3">
      <c r="A38" s="1"/>
      <c r="B38" s="25"/>
      <c r="C38" s="36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80" t="s">
        <v>6</v>
      </c>
      <c r="O38" s="81"/>
      <c r="P38" s="81"/>
      <c r="Q38" s="49">
        <f>Q37/20</f>
        <v>10.172215</v>
      </c>
      <c r="R38" s="78"/>
      <c r="S38" s="79"/>
    </row>
  </sheetData>
  <mergeCells count="5">
    <mergeCell ref="K1:S1"/>
    <mergeCell ref="S3:S8"/>
    <mergeCell ref="N37:P37"/>
    <mergeCell ref="R37:S38"/>
    <mergeCell ref="N38:P38"/>
  </mergeCells>
  <hyperlinks>
    <hyperlink ref="O10" r:id="rId1"/>
    <hyperlink ref="O11" r:id="rId2"/>
    <hyperlink ref="O12" r:id="rId3"/>
    <hyperlink ref="O13" r:id="rId4"/>
    <hyperlink ref="O15" r:id="rId5"/>
    <hyperlink ref="O16" r:id="rId6"/>
    <hyperlink ref="O19" r:id="rId7"/>
    <hyperlink ref="O22" r:id="rId8"/>
    <hyperlink ref="O24" r:id="rId9"/>
    <hyperlink ref="O26" r:id="rId10"/>
    <hyperlink ref="O27" r:id="rId11"/>
    <hyperlink ref="O28" r:id="rId12"/>
    <hyperlink ref="O29" r:id="rId13"/>
    <hyperlink ref="O30" r:id="rId14"/>
    <hyperlink ref="O31" r:id="rId15"/>
    <hyperlink ref="O32" r:id="rId16"/>
    <hyperlink ref="O34" r:id="rId17"/>
    <hyperlink ref="O35" r:id="rId18"/>
    <hyperlink ref="O14" r:id="rId19"/>
    <hyperlink ref="O17" r:id="rId20"/>
    <hyperlink ref="O25" r:id="rId21"/>
    <hyperlink ref="O20" r:id="rId22"/>
    <hyperlink ref="O33" r:id="rId23"/>
    <hyperlink ref="O36" r:id="rId24"/>
    <hyperlink ref="O18" r:id="rId25"/>
    <hyperlink ref="O23" r:id="rId26"/>
  </hyperlinks>
  <pageMargins left="0.7" right="0.7" top="0.75" bottom="0.75" header="0.3" footer="0.3"/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D10" workbookViewId="0">
      <selection activeCell="Q38" sqref="Q38"/>
    </sheetView>
  </sheetViews>
  <sheetFormatPr defaultRowHeight="15" x14ac:dyDescent="0.25"/>
  <cols>
    <col min="2" max="2" width="3" bestFit="1" customWidth="1"/>
    <col min="3" max="3" width="16.7109375" bestFit="1" customWidth="1"/>
    <col min="4" max="4" width="31.140625" bestFit="1" customWidth="1"/>
    <col min="5" max="5" width="28.85546875" customWidth="1"/>
    <col min="6" max="6" width="13.42578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7.7109375" bestFit="1" customWidth="1"/>
    <col min="16" max="16" width="19.7109375" bestFit="1" customWidth="1"/>
    <col min="17" max="17" width="20.28515625" bestFit="1" customWidth="1"/>
    <col min="18" max="18" width="8.5703125" bestFit="1" customWidth="1"/>
    <col min="19" max="19" width="26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2"/>
      <c r="L1" s="72"/>
      <c r="M1" s="72"/>
      <c r="N1" s="72"/>
      <c r="O1" s="72"/>
      <c r="P1" s="72"/>
      <c r="Q1" s="72"/>
      <c r="R1" s="72"/>
      <c r="S1" s="7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155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154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4"/>
    </row>
    <row r="4" spans="1:19" x14ac:dyDescent="0.25">
      <c r="A4" s="1"/>
      <c r="B4" s="22"/>
      <c r="C4" s="32"/>
      <c r="D4" s="13" t="s">
        <v>2</v>
      </c>
      <c r="E4" s="13"/>
      <c r="F4" s="57" t="s">
        <v>154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5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5"/>
    </row>
    <row r="9" spans="1:19" ht="15.75" thickBot="1" x14ac:dyDescent="0.3">
      <c r="A9" s="1"/>
      <c r="B9" s="30" t="s">
        <v>4</v>
      </c>
      <c r="C9" s="30" t="s">
        <v>8</v>
      </c>
      <c r="D9" s="30" t="s">
        <v>17</v>
      </c>
      <c r="E9" s="30" t="s">
        <v>39</v>
      </c>
      <c r="F9" s="30" t="s">
        <v>62</v>
      </c>
      <c r="G9" s="30" t="s">
        <v>70</v>
      </c>
      <c r="H9" s="30" t="s">
        <v>91</v>
      </c>
      <c r="I9" s="30" t="s">
        <v>140</v>
      </c>
      <c r="J9" s="30" t="s">
        <v>102</v>
      </c>
      <c r="K9" s="30" t="s">
        <v>148</v>
      </c>
      <c r="L9" s="30" t="s">
        <v>139</v>
      </c>
      <c r="M9" s="30" t="s">
        <v>189</v>
      </c>
      <c r="N9" s="30" t="s">
        <v>190</v>
      </c>
      <c r="O9" s="30" t="s">
        <v>143</v>
      </c>
      <c r="P9" s="30" t="s">
        <v>191</v>
      </c>
      <c r="Q9" s="30" t="s">
        <v>192</v>
      </c>
      <c r="R9" s="30" t="s">
        <v>146</v>
      </c>
      <c r="S9" s="30" t="s">
        <v>147</v>
      </c>
    </row>
    <row r="10" spans="1:19" s="84" customFormat="1" x14ac:dyDescent="0.25">
      <c r="A10" s="82"/>
      <c r="B10" s="46">
        <f>ROW(B10) - ROW($B$9)</f>
        <v>1</v>
      </c>
      <c r="C10" s="53" t="s">
        <v>9</v>
      </c>
      <c r="D10" s="37" t="s">
        <v>18</v>
      </c>
      <c r="E10" s="37" t="s">
        <v>40</v>
      </c>
      <c r="F10" s="37" t="s">
        <v>63</v>
      </c>
      <c r="G10" s="37" t="s">
        <v>71</v>
      </c>
      <c r="H10" s="37" t="s">
        <v>92</v>
      </c>
      <c r="I10" s="37" t="s">
        <v>151</v>
      </c>
      <c r="J10" s="37" t="s">
        <v>103</v>
      </c>
      <c r="K10" s="37" t="s">
        <v>121</v>
      </c>
      <c r="L10" s="37">
        <v>2</v>
      </c>
      <c r="M10" s="37">
        <f>L10*50</f>
        <v>100</v>
      </c>
      <c r="N10" s="37">
        <v>120</v>
      </c>
      <c r="O10" s="60" t="s">
        <v>152</v>
      </c>
      <c r="P10" s="38">
        <v>3.5200000000000002E-2</v>
      </c>
      <c r="Q10" s="38">
        <f>P10*N10</f>
        <v>4.2240000000000002</v>
      </c>
      <c r="R10" s="37"/>
      <c r="S10" s="83"/>
    </row>
    <row r="11" spans="1:19" s="84" customFormat="1" x14ac:dyDescent="0.25">
      <c r="A11" s="82"/>
      <c r="B11" s="47">
        <f t="shared" ref="B11:B32" si="0">ROW(B11) - ROW($B$9)</f>
        <v>2</v>
      </c>
      <c r="C11" s="54" t="s">
        <v>9</v>
      </c>
      <c r="D11" s="51" t="s">
        <v>19</v>
      </c>
      <c r="E11" s="51" t="s">
        <v>41</v>
      </c>
      <c r="F11" s="51" t="s">
        <v>63</v>
      </c>
      <c r="G11" s="51" t="s">
        <v>72</v>
      </c>
      <c r="H11" s="51" t="s">
        <v>92</v>
      </c>
      <c r="I11" s="51" t="s">
        <v>151</v>
      </c>
      <c r="J11" s="51" t="s">
        <v>104</v>
      </c>
      <c r="K11" s="51" t="s">
        <v>122</v>
      </c>
      <c r="L11" s="51">
        <v>7</v>
      </c>
      <c r="M11" s="37">
        <f t="shared" ref="M11:M36" si="1">L11*50</f>
        <v>350</v>
      </c>
      <c r="N11" s="51">
        <v>400</v>
      </c>
      <c r="O11" s="60" t="s">
        <v>152</v>
      </c>
      <c r="P11" s="52">
        <v>3.5999999999999999E-3</v>
      </c>
      <c r="Q11" s="52">
        <f t="shared" ref="Q11" si="2">P11*N11</f>
        <v>1.44</v>
      </c>
      <c r="R11" s="51"/>
      <c r="S11" s="51"/>
    </row>
    <row r="12" spans="1:19" s="84" customFormat="1" x14ac:dyDescent="0.25">
      <c r="A12" s="82"/>
      <c r="B12" s="46">
        <f>ROW(B12) - ROW($B$9)</f>
        <v>3</v>
      </c>
      <c r="C12" s="54" t="s">
        <v>9</v>
      </c>
      <c r="D12" s="37" t="s">
        <v>20</v>
      </c>
      <c r="E12" s="37" t="s">
        <v>42</v>
      </c>
      <c r="F12" s="37" t="s">
        <v>63</v>
      </c>
      <c r="G12" s="37" t="s">
        <v>73</v>
      </c>
      <c r="H12" s="37" t="s">
        <v>93</v>
      </c>
      <c r="I12" s="37" t="s">
        <v>151</v>
      </c>
      <c r="J12" s="37" t="s">
        <v>105</v>
      </c>
      <c r="K12" s="37" t="s">
        <v>123</v>
      </c>
      <c r="L12" s="37">
        <v>2</v>
      </c>
      <c r="M12" s="37">
        <f t="shared" si="1"/>
        <v>100</v>
      </c>
      <c r="N12" s="37">
        <v>101</v>
      </c>
      <c r="O12" s="60" t="s">
        <v>152</v>
      </c>
      <c r="P12" s="38">
        <v>0.67459999999999998</v>
      </c>
      <c r="Q12" s="38">
        <f>P12*N12</f>
        <v>68.134599999999992</v>
      </c>
      <c r="R12" s="37"/>
      <c r="S12" s="59"/>
    </row>
    <row r="13" spans="1:19" s="84" customFormat="1" x14ac:dyDescent="0.25">
      <c r="A13" s="82"/>
      <c r="B13" s="47">
        <f t="shared" si="0"/>
        <v>4</v>
      </c>
      <c r="C13" s="54" t="s">
        <v>9</v>
      </c>
      <c r="D13" s="51" t="s">
        <v>21</v>
      </c>
      <c r="E13" s="51" t="s">
        <v>43</v>
      </c>
      <c r="F13" s="51" t="s">
        <v>63</v>
      </c>
      <c r="G13" s="51" t="s">
        <v>74</v>
      </c>
      <c r="H13" s="51" t="s">
        <v>94</v>
      </c>
      <c r="I13" s="51" t="s">
        <v>151</v>
      </c>
      <c r="J13" s="51" t="s">
        <v>106</v>
      </c>
      <c r="K13" s="51" t="s">
        <v>124</v>
      </c>
      <c r="L13" s="51">
        <v>2</v>
      </c>
      <c r="M13" s="37">
        <f t="shared" si="1"/>
        <v>100</v>
      </c>
      <c r="N13" s="51">
        <v>200</v>
      </c>
      <c r="O13" s="60" t="s">
        <v>152</v>
      </c>
      <c r="P13" s="52">
        <v>2.8E-3</v>
      </c>
      <c r="Q13" s="52">
        <f t="shared" ref="Q13" si="3">P13*N13</f>
        <v>0.55999999999999994</v>
      </c>
      <c r="R13" s="51"/>
      <c r="S13" s="59"/>
    </row>
    <row r="14" spans="1:19" s="84" customFormat="1" x14ac:dyDescent="0.25">
      <c r="A14" s="82"/>
      <c r="B14" s="46">
        <f>ROW(B14) - ROW($B$9)</f>
        <v>5</v>
      </c>
      <c r="C14" s="53" t="s">
        <v>9</v>
      </c>
      <c r="D14" s="37" t="s">
        <v>22</v>
      </c>
      <c r="E14" s="37" t="s">
        <v>44</v>
      </c>
      <c r="F14" s="37" t="s">
        <v>63</v>
      </c>
      <c r="G14" s="62" t="s">
        <v>75</v>
      </c>
      <c r="H14" s="37" t="s">
        <v>93</v>
      </c>
      <c r="I14" s="37"/>
      <c r="J14" s="37" t="s">
        <v>161</v>
      </c>
      <c r="K14" s="37" t="s">
        <v>125</v>
      </c>
      <c r="L14" s="37">
        <v>1</v>
      </c>
      <c r="M14" s="37">
        <f t="shared" si="1"/>
        <v>50</v>
      </c>
      <c r="N14" s="37">
        <v>100</v>
      </c>
      <c r="O14" s="60" t="s">
        <v>152</v>
      </c>
      <c r="P14" s="38">
        <v>1.54E-2</v>
      </c>
      <c r="Q14" s="38">
        <f>P14*N14</f>
        <v>1.54</v>
      </c>
      <c r="R14" s="37"/>
      <c r="S14" s="59"/>
    </row>
    <row r="15" spans="1:19" s="84" customFormat="1" x14ac:dyDescent="0.25">
      <c r="A15" s="82"/>
      <c r="B15" s="47">
        <f t="shared" si="0"/>
        <v>6</v>
      </c>
      <c r="C15" s="54" t="s">
        <v>9</v>
      </c>
      <c r="D15" s="51" t="s">
        <v>23</v>
      </c>
      <c r="E15" s="51" t="s">
        <v>45</v>
      </c>
      <c r="F15" s="51" t="s">
        <v>63</v>
      </c>
      <c r="G15" s="51" t="s">
        <v>76</v>
      </c>
      <c r="H15" s="51" t="s">
        <v>92</v>
      </c>
      <c r="I15" s="51" t="s">
        <v>151</v>
      </c>
      <c r="J15" s="51" t="s">
        <v>107</v>
      </c>
      <c r="K15" s="51" t="s">
        <v>126</v>
      </c>
      <c r="L15" s="51">
        <v>2</v>
      </c>
      <c r="M15" s="37">
        <f t="shared" si="1"/>
        <v>100</v>
      </c>
      <c r="N15" s="51">
        <v>200</v>
      </c>
      <c r="O15" s="60" t="s">
        <v>152</v>
      </c>
      <c r="P15" s="52">
        <v>6.7999999999999996E-3</v>
      </c>
      <c r="Q15" s="52">
        <f t="shared" ref="Q15" si="4">P15*N15</f>
        <v>1.3599999999999999</v>
      </c>
      <c r="R15" s="51"/>
      <c r="S15" s="59"/>
    </row>
    <row r="16" spans="1:19" s="84" customFormat="1" x14ac:dyDescent="0.25">
      <c r="A16" s="82"/>
      <c r="B16" s="46">
        <f>ROW(B16) - ROW($B$9)</f>
        <v>7</v>
      </c>
      <c r="C16" s="54" t="s">
        <v>9</v>
      </c>
      <c r="D16" s="37" t="s">
        <v>24</v>
      </c>
      <c r="E16" s="37" t="s">
        <v>46</v>
      </c>
      <c r="F16" s="37" t="s">
        <v>63</v>
      </c>
      <c r="G16" s="37" t="s">
        <v>77</v>
      </c>
      <c r="H16" s="37" t="s">
        <v>93</v>
      </c>
      <c r="I16" s="37" t="s">
        <v>151</v>
      </c>
      <c r="J16" s="37" t="s">
        <v>108</v>
      </c>
      <c r="K16" s="37" t="s">
        <v>127</v>
      </c>
      <c r="L16" s="37">
        <v>1</v>
      </c>
      <c r="M16" s="37">
        <f t="shared" si="1"/>
        <v>50</v>
      </c>
      <c r="N16" s="37">
        <v>60</v>
      </c>
      <c r="O16" s="60" t="s">
        <v>152</v>
      </c>
      <c r="P16" s="38">
        <v>4.1700000000000001E-2</v>
      </c>
      <c r="Q16" s="38">
        <f>P16*N16</f>
        <v>2.5020000000000002</v>
      </c>
      <c r="R16" s="37"/>
      <c r="S16" s="59"/>
    </row>
    <row r="17" spans="1:19" s="84" customFormat="1" x14ac:dyDescent="0.25">
      <c r="A17" s="82"/>
      <c r="B17" s="47">
        <f t="shared" si="0"/>
        <v>8</v>
      </c>
      <c r="C17" s="54" t="s">
        <v>9</v>
      </c>
      <c r="D17" s="51" t="s">
        <v>25</v>
      </c>
      <c r="E17" s="51" t="s">
        <v>47</v>
      </c>
      <c r="F17" s="51" t="s">
        <v>63</v>
      </c>
      <c r="G17" s="62" t="s">
        <v>78</v>
      </c>
      <c r="H17" s="51" t="s">
        <v>95</v>
      </c>
      <c r="I17" s="51" t="s">
        <v>162</v>
      </c>
      <c r="J17" s="51" t="s">
        <v>163</v>
      </c>
      <c r="K17" s="51" t="s">
        <v>128</v>
      </c>
      <c r="L17" s="51">
        <v>2</v>
      </c>
      <c r="M17" s="37">
        <f t="shared" si="1"/>
        <v>100</v>
      </c>
      <c r="N17" s="51">
        <v>200</v>
      </c>
      <c r="O17" s="60" t="s">
        <v>152</v>
      </c>
      <c r="P17" s="52">
        <v>5.7999999999999996E-3</v>
      </c>
      <c r="Q17" s="52">
        <f t="shared" ref="Q17" si="5">P17*N17</f>
        <v>1.1599999999999999</v>
      </c>
      <c r="R17" s="51"/>
      <c r="S17" s="59"/>
    </row>
    <row r="18" spans="1:19" s="84" customFormat="1" ht="24" x14ac:dyDescent="0.25">
      <c r="A18" s="82"/>
      <c r="B18" s="46">
        <f>ROW(B18) - ROW($B$9)</f>
        <v>9</v>
      </c>
      <c r="C18" s="53" t="s">
        <v>15</v>
      </c>
      <c r="D18" s="37" t="s">
        <v>181</v>
      </c>
      <c r="E18" s="37" t="s">
        <v>182</v>
      </c>
      <c r="F18" s="37" t="s">
        <v>66</v>
      </c>
      <c r="G18" s="37" t="s">
        <v>183</v>
      </c>
      <c r="H18" s="37" t="s">
        <v>100</v>
      </c>
      <c r="I18" s="37" t="s">
        <v>151</v>
      </c>
      <c r="J18" s="37" t="s">
        <v>184</v>
      </c>
      <c r="K18" s="37"/>
      <c r="L18" s="37">
        <v>2</v>
      </c>
      <c r="M18" s="37">
        <f t="shared" si="1"/>
        <v>100</v>
      </c>
      <c r="N18" s="37">
        <v>105</v>
      </c>
      <c r="O18" s="68" t="s">
        <v>152</v>
      </c>
      <c r="P18" s="87">
        <v>0.1108</v>
      </c>
      <c r="Q18" s="38">
        <f>P18*N18</f>
        <v>11.634</v>
      </c>
      <c r="R18" s="37"/>
      <c r="S18" s="59"/>
    </row>
    <row r="19" spans="1:19" s="84" customFormat="1" x14ac:dyDescent="0.25">
      <c r="A19" s="82"/>
      <c r="B19" s="46">
        <f>ROW(B19) - ROW($B$9)</f>
        <v>10</v>
      </c>
      <c r="C19" s="53" t="s">
        <v>10</v>
      </c>
      <c r="D19" s="37" t="s">
        <v>26</v>
      </c>
      <c r="E19" s="37" t="s">
        <v>48</v>
      </c>
      <c r="F19" s="37" t="s">
        <v>64</v>
      </c>
      <c r="G19" s="37" t="s">
        <v>79</v>
      </c>
      <c r="H19" s="37" t="s">
        <v>96</v>
      </c>
      <c r="I19" s="37" t="s">
        <v>151</v>
      </c>
      <c r="J19" s="37" t="s">
        <v>109</v>
      </c>
      <c r="K19" s="37" t="s">
        <v>151</v>
      </c>
      <c r="L19" s="37">
        <v>2</v>
      </c>
      <c r="M19" s="37">
        <f t="shared" si="1"/>
        <v>100</v>
      </c>
      <c r="N19" s="37">
        <v>105</v>
      </c>
      <c r="O19" s="60" t="s">
        <v>152</v>
      </c>
      <c r="P19" s="38">
        <v>0.1179</v>
      </c>
      <c r="Q19" s="38">
        <f>P19*N19</f>
        <v>12.3795</v>
      </c>
      <c r="R19" s="37"/>
      <c r="S19" s="59"/>
    </row>
    <row r="20" spans="1:19" s="84" customFormat="1" x14ac:dyDescent="0.25">
      <c r="A20" s="82"/>
      <c r="B20" s="47">
        <f t="shared" si="0"/>
        <v>11</v>
      </c>
      <c r="C20" s="54" t="s">
        <v>11</v>
      </c>
      <c r="D20" s="51" t="s">
        <v>27</v>
      </c>
      <c r="E20" s="51" t="s">
        <v>164</v>
      </c>
      <c r="F20" s="51" t="s">
        <v>149</v>
      </c>
      <c r="G20" s="51" t="s">
        <v>165</v>
      </c>
      <c r="H20" s="51" t="s">
        <v>166</v>
      </c>
      <c r="I20" s="51" t="s">
        <v>151</v>
      </c>
      <c r="J20" s="51" t="s">
        <v>151</v>
      </c>
      <c r="K20" s="37" t="s">
        <v>151</v>
      </c>
      <c r="L20" s="51">
        <v>1</v>
      </c>
      <c r="M20" s="37">
        <f t="shared" si="1"/>
        <v>50</v>
      </c>
      <c r="N20" s="51">
        <v>51</v>
      </c>
      <c r="O20" s="60" t="s">
        <v>167</v>
      </c>
      <c r="P20" s="52">
        <v>2.9</v>
      </c>
      <c r="Q20" s="52">
        <f t="shared" ref="Q20" si="6">P20*N20</f>
        <v>147.9</v>
      </c>
      <c r="R20" s="51"/>
      <c r="S20" s="59"/>
    </row>
    <row r="21" spans="1:19" s="84" customFormat="1" ht="24" x14ac:dyDescent="0.25">
      <c r="A21" s="82"/>
      <c r="B21" s="46">
        <f>ROW(B21) - ROW($B$9)</f>
        <v>12</v>
      </c>
      <c r="C21" s="53" t="s">
        <v>150</v>
      </c>
      <c r="D21" s="62" t="s">
        <v>156</v>
      </c>
      <c r="E21" s="62" t="s">
        <v>49</v>
      </c>
      <c r="F21" s="62" t="s">
        <v>149</v>
      </c>
      <c r="G21" s="62" t="s">
        <v>151</v>
      </c>
      <c r="H21" s="62" t="s">
        <v>151</v>
      </c>
      <c r="I21" s="62" t="s">
        <v>151</v>
      </c>
      <c r="J21" s="62" t="s">
        <v>151</v>
      </c>
      <c r="K21" s="37" t="s">
        <v>151</v>
      </c>
      <c r="L21" s="62">
        <v>1</v>
      </c>
      <c r="M21" s="62">
        <f t="shared" si="1"/>
        <v>50</v>
      </c>
      <c r="N21" s="62" t="s">
        <v>151</v>
      </c>
      <c r="O21" s="62" t="s">
        <v>151</v>
      </c>
      <c r="P21" s="62" t="s">
        <v>151</v>
      </c>
      <c r="Q21" s="62" t="s">
        <v>151</v>
      </c>
      <c r="R21" s="61" t="s">
        <v>153</v>
      </c>
      <c r="S21" s="59"/>
    </row>
    <row r="22" spans="1:19" s="84" customFormat="1" ht="60" x14ac:dyDescent="0.25">
      <c r="A22" s="82"/>
      <c r="B22" s="47">
        <f t="shared" si="0"/>
        <v>13</v>
      </c>
      <c r="C22" s="54" t="s">
        <v>12</v>
      </c>
      <c r="D22" s="51" t="s">
        <v>28</v>
      </c>
      <c r="E22" s="51" t="s">
        <v>50</v>
      </c>
      <c r="F22" s="51" t="s">
        <v>65</v>
      </c>
      <c r="G22" s="51" t="s">
        <v>80</v>
      </c>
      <c r="H22" s="51" t="s">
        <v>97</v>
      </c>
      <c r="I22" s="51" t="s">
        <v>151</v>
      </c>
      <c r="J22" s="51" t="s">
        <v>110</v>
      </c>
      <c r="K22" s="37" t="s">
        <v>151</v>
      </c>
      <c r="L22" s="51">
        <v>1</v>
      </c>
      <c r="M22" s="37">
        <f t="shared" si="1"/>
        <v>50</v>
      </c>
      <c r="N22" s="51">
        <v>60</v>
      </c>
      <c r="O22" s="60" t="s">
        <v>152</v>
      </c>
      <c r="P22" s="52">
        <v>3.3500000000000002E-2</v>
      </c>
      <c r="Q22" s="52">
        <f t="shared" ref="Q22" si="7">P22*N22</f>
        <v>2.0100000000000002</v>
      </c>
      <c r="R22" s="51"/>
      <c r="S22" s="59"/>
    </row>
    <row r="23" spans="1:19" s="84" customFormat="1" ht="36" x14ac:dyDescent="0.25">
      <c r="A23" s="82"/>
      <c r="B23" s="46">
        <f>ROW(B23) - ROW($B$9)</f>
        <v>14</v>
      </c>
      <c r="C23" s="54" t="s">
        <v>12</v>
      </c>
      <c r="D23" s="37" t="s">
        <v>29</v>
      </c>
      <c r="E23" s="37" t="s">
        <v>51</v>
      </c>
      <c r="F23" s="37" t="s">
        <v>66</v>
      </c>
      <c r="G23" s="37" t="s">
        <v>81</v>
      </c>
      <c r="H23" s="37" t="s">
        <v>98</v>
      </c>
      <c r="I23" s="37"/>
      <c r="J23" s="37" t="s">
        <v>205</v>
      </c>
      <c r="K23" s="37" t="s">
        <v>151</v>
      </c>
      <c r="L23" s="37">
        <v>1</v>
      </c>
      <c r="M23" s="37">
        <f t="shared" si="1"/>
        <v>50</v>
      </c>
      <c r="N23" s="37">
        <v>60</v>
      </c>
      <c r="O23" s="60" t="s">
        <v>152</v>
      </c>
      <c r="P23" s="38">
        <v>6.0499999999999998E-2</v>
      </c>
      <c r="Q23" s="38">
        <f>P23*N23</f>
        <v>3.63</v>
      </c>
      <c r="R23" s="37"/>
      <c r="S23" s="59"/>
    </row>
    <row r="24" spans="1:19" s="84" customFormat="1" x14ac:dyDescent="0.25">
      <c r="A24" s="82"/>
      <c r="B24" s="47">
        <f t="shared" si="0"/>
        <v>15</v>
      </c>
      <c r="C24" s="54" t="s">
        <v>13</v>
      </c>
      <c r="D24" s="51" t="s">
        <v>30</v>
      </c>
      <c r="E24" s="51" t="s">
        <v>52</v>
      </c>
      <c r="F24" s="51" t="s">
        <v>67</v>
      </c>
      <c r="G24" s="51" t="s">
        <v>82</v>
      </c>
      <c r="H24" s="51" t="s">
        <v>92</v>
      </c>
      <c r="I24" s="51" t="s">
        <v>151</v>
      </c>
      <c r="J24" s="51" t="s">
        <v>111</v>
      </c>
      <c r="K24" s="51" t="s">
        <v>129</v>
      </c>
      <c r="L24" s="51">
        <v>1</v>
      </c>
      <c r="M24" s="37">
        <f t="shared" si="1"/>
        <v>50</v>
      </c>
      <c r="N24" s="51">
        <v>100</v>
      </c>
      <c r="O24" s="60" t="s">
        <v>152</v>
      </c>
      <c r="P24" s="52">
        <v>1E-3</v>
      </c>
      <c r="Q24" s="52">
        <f t="shared" ref="Q24" si="8">P24*N24</f>
        <v>0.1</v>
      </c>
      <c r="R24" s="51"/>
      <c r="S24" s="59"/>
    </row>
    <row r="25" spans="1:19" s="84" customFormat="1" ht="24" x14ac:dyDescent="0.25">
      <c r="A25" s="82"/>
      <c r="B25" s="46">
        <f>ROW(B25) - ROW($B$9)</f>
        <v>16</v>
      </c>
      <c r="C25" s="53" t="s">
        <v>13</v>
      </c>
      <c r="D25" s="37" t="s">
        <v>168</v>
      </c>
      <c r="E25" s="37" t="s">
        <v>157</v>
      </c>
      <c r="F25" s="37" t="s">
        <v>158</v>
      </c>
      <c r="G25" s="37" t="s">
        <v>159</v>
      </c>
      <c r="H25" s="37" t="s">
        <v>92</v>
      </c>
      <c r="I25" s="37" t="s">
        <v>151</v>
      </c>
      <c r="J25" s="37" t="s">
        <v>160</v>
      </c>
      <c r="K25" s="37" t="s">
        <v>130</v>
      </c>
      <c r="L25" s="37">
        <v>12</v>
      </c>
      <c r="M25" s="37">
        <f t="shared" si="1"/>
        <v>600</v>
      </c>
      <c r="N25" s="37">
        <v>700</v>
      </c>
      <c r="O25" s="60" t="s">
        <v>152</v>
      </c>
      <c r="P25" s="52">
        <v>8.9999999999999998E-4</v>
      </c>
      <c r="Q25" s="38">
        <f>P25*N25</f>
        <v>0.63</v>
      </c>
      <c r="R25" s="37"/>
      <c r="S25" s="59"/>
    </row>
    <row r="26" spans="1:19" s="84" customFormat="1" x14ac:dyDescent="0.25">
      <c r="A26" s="82"/>
      <c r="B26" s="47">
        <f t="shared" si="0"/>
        <v>17</v>
      </c>
      <c r="C26" s="54" t="s">
        <v>13</v>
      </c>
      <c r="D26" s="51" t="s">
        <v>169</v>
      </c>
      <c r="E26" s="51" t="s">
        <v>53</v>
      </c>
      <c r="F26" s="51" t="s">
        <v>67</v>
      </c>
      <c r="G26" s="51" t="s">
        <v>83</v>
      </c>
      <c r="H26" s="51" t="s">
        <v>92</v>
      </c>
      <c r="I26" s="51" t="s">
        <v>151</v>
      </c>
      <c r="J26" s="51" t="s">
        <v>112</v>
      </c>
      <c r="K26" s="51" t="s">
        <v>131</v>
      </c>
      <c r="L26" s="51">
        <v>3</v>
      </c>
      <c r="M26" s="37">
        <f t="shared" si="1"/>
        <v>150</v>
      </c>
      <c r="N26" s="51">
        <v>200</v>
      </c>
      <c r="O26" s="60" t="s">
        <v>152</v>
      </c>
      <c r="P26" s="52">
        <v>1.2999999999999999E-3</v>
      </c>
      <c r="Q26" s="52">
        <f t="shared" ref="Q26" si="9">P26*N26</f>
        <v>0.26</v>
      </c>
      <c r="R26" s="51"/>
      <c r="S26" s="59"/>
    </row>
    <row r="27" spans="1:19" s="84" customFormat="1" x14ac:dyDescent="0.25">
      <c r="A27" s="82"/>
      <c r="B27" s="46">
        <f>ROW(B27) - ROW($B$9)</f>
        <v>18</v>
      </c>
      <c r="C27" s="53" t="s">
        <v>13</v>
      </c>
      <c r="D27" s="37" t="s">
        <v>31</v>
      </c>
      <c r="E27" s="37" t="s">
        <v>54</v>
      </c>
      <c r="F27" s="37" t="s">
        <v>67</v>
      </c>
      <c r="G27" s="37" t="s">
        <v>84</v>
      </c>
      <c r="H27" s="37" t="s">
        <v>92</v>
      </c>
      <c r="I27" s="37" t="s">
        <v>151</v>
      </c>
      <c r="J27" s="37" t="s">
        <v>113</v>
      </c>
      <c r="K27" s="37" t="s">
        <v>132</v>
      </c>
      <c r="L27" s="37">
        <v>4</v>
      </c>
      <c r="M27" s="37">
        <f t="shared" si="1"/>
        <v>200</v>
      </c>
      <c r="N27" s="37">
        <v>300</v>
      </c>
      <c r="O27" s="60" t="s">
        <v>152</v>
      </c>
      <c r="P27" s="38">
        <v>1.1999999999999999E-3</v>
      </c>
      <c r="Q27" s="38">
        <f>P27*N27</f>
        <v>0.36</v>
      </c>
      <c r="R27" s="37"/>
      <c r="S27" s="59"/>
    </row>
    <row r="28" spans="1:19" s="84" customFormat="1" x14ac:dyDescent="0.25">
      <c r="A28" s="82"/>
      <c r="B28" s="47">
        <f t="shared" si="0"/>
        <v>19</v>
      </c>
      <c r="C28" s="54" t="s">
        <v>13</v>
      </c>
      <c r="D28" s="51" t="s">
        <v>32</v>
      </c>
      <c r="E28" s="51" t="s">
        <v>55</v>
      </c>
      <c r="F28" s="51" t="s">
        <v>67</v>
      </c>
      <c r="G28" s="51" t="s">
        <v>85</v>
      </c>
      <c r="H28" s="51" t="s">
        <v>92</v>
      </c>
      <c r="I28" s="51" t="s">
        <v>151</v>
      </c>
      <c r="J28" s="51" t="s">
        <v>114</v>
      </c>
      <c r="K28" s="51" t="s">
        <v>133</v>
      </c>
      <c r="L28" s="51">
        <v>1</v>
      </c>
      <c r="M28" s="37">
        <f t="shared" si="1"/>
        <v>50</v>
      </c>
      <c r="N28" s="51">
        <v>100</v>
      </c>
      <c r="O28" s="60" t="s">
        <v>152</v>
      </c>
      <c r="P28" s="52">
        <v>3.0000000000000001E-3</v>
      </c>
      <c r="Q28" s="52">
        <f t="shared" ref="Q28" si="10">P28*N28</f>
        <v>0.3</v>
      </c>
      <c r="R28" s="51"/>
      <c r="S28" s="59"/>
    </row>
    <row r="29" spans="1:19" s="84" customFormat="1" x14ac:dyDescent="0.25">
      <c r="A29" s="82"/>
      <c r="B29" s="46">
        <f>ROW(B29) - ROW($B$9)</f>
        <v>20</v>
      </c>
      <c r="C29" s="53" t="s">
        <v>13</v>
      </c>
      <c r="D29" s="37" t="s">
        <v>33</v>
      </c>
      <c r="E29" s="37" t="s">
        <v>56</v>
      </c>
      <c r="F29" s="37" t="s">
        <v>67</v>
      </c>
      <c r="G29" s="37" t="s">
        <v>86</v>
      </c>
      <c r="H29" s="37" t="s">
        <v>92</v>
      </c>
      <c r="I29" s="37" t="s">
        <v>151</v>
      </c>
      <c r="J29" s="37" t="s">
        <v>115</v>
      </c>
      <c r="K29" s="37" t="s">
        <v>134</v>
      </c>
      <c r="L29" s="37">
        <v>4</v>
      </c>
      <c r="M29" s="37">
        <f t="shared" si="1"/>
        <v>200</v>
      </c>
      <c r="N29" s="37">
        <v>300</v>
      </c>
      <c r="O29" s="60" t="s">
        <v>152</v>
      </c>
      <c r="P29" s="38">
        <v>1.1999999999999999E-3</v>
      </c>
      <c r="Q29" s="38">
        <f>P29*N29</f>
        <v>0.36</v>
      </c>
      <c r="R29" s="37"/>
      <c r="S29" s="59"/>
    </row>
    <row r="30" spans="1:19" s="84" customFormat="1" x14ac:dyDescent="0.25">
      <c r="A30" s="82"/>
      <c r="B30" s="47">
        <f t="shared" si="0"/>
        <v>21</v>
      </c>
      <c r="C30" s="54" t="s">
        <v>13</v>
      </c>
      <c r="D30" s="51" t="s">
        <v>34</v>
      </c>
      <c r="E30" s="51" t="s">
        <v>57</v>
      </c>
      <c r="F30" s="51" t="s">
        <v>67</v>
      </c>
      <c r="G30" s="51" t="s">
        <v>87</v>
      </c>
      <c r="H30" s="51" t="s">
        <v>92</v>
      </c>
      <c r="I30" s="51" t="s">
        <v>151</v>
      </c>
      <c r="J30" s="51" t="s">
        <v>116</v>
      </c>
      <c r="K30" s="51" t="s">
        <v>135</v>
      </c>
      <c r="L30" s="51">
        <v>2</v>
      </c>
      <c r="M30" s="37">
        <f t="shared" si="1"/>
        <v>100</v>
      </c>
      <c r="N30" s="51">
        <v>200</v>
      </c>
      <c r="O30" s="60" t="s">
        <v>152</v>
      </c>
      <c r="P30" s="52">
        <v>1.1000000000000001E-3</v>
      </c>
      <c r="Q30" s="52">
        <f t="shared" ref="Q30" si="11">P30*N30</f>
        <v>0.22</v>
      </c>
      <c r="R30" s="51"/>
      <c r="S30" s="59"/>
    </row>
    <row r="31" spans="1:19" s="71" customFormat="1" x14ac:dyDescent="0.25">
      <c r="A31" s="63"/>
      <c r="B31" s="85">
        <f>ROW(B31) - ROW($B$9)</f>
        <v>22</v>
      </c>
      <c r="C31" s="65" t="s">
        <v>13</v>
      </c>
      <c r="D31" s="67" t="s">
        <v>35</v>
      </c>
      <c r="E31" s="67" t="s">
        <v>58</v>
      </c>
      <c r="F31" s="67" t="s">
        <v>67</v>
      </c>
      <c r="G31" s="67" t="s">
        <v>88</v>
      </c>
      <c r="H31" s="67" t="s">
        <v>92</v>
      </c>
      <c r="I31" s="66" t="s">
        <v>151</v>
      </c>
      <c r="J31" s="67" t="s">
        <v>117</v>
      </c>
      <c r="K31" s="67" t="s">
        <v>136</v>
      </c>
      <c r="L31" s="67">
        <v>1</v>
      </c>
      <c r="M31" s="67">
        <f t="shared" si="1"/>
        <v>50</v>
      </c>
      <c r="N31" s="67">
        <v>100</v>
      </c>
      <c r="O31" s="68" t="s">
        <v>152</v>
      </c>
      <c r="P31" s="87">
        <v>1.1999999999999999E-3</v>
      </c>
      <c r="Q31" s="87">
        <f>P31*N31</f>
        <v>0.12</v>
      </c>
      <c r="R31" s="67"/>
      <c r="S31" s="70"/>
    </row>
    <row r="32" spans="1:19" s="71" customFormat="1" x14ac:dyDescent="0.25">
      <c r="A32" s="63"/>
      <c r="B32" s="64">
        <f t="shared" si="0"/>
        <v>23</v>
      </c>
      <c r="C32" s="65" t="s">
        <v>13</v>
      </c>
      <c r="D32" s="66" t="s">
        <v>36</v>
      </c>
      <c r="E32" s="66" t="s">
        <v>59</v>
      </c>
      <c r="F32" s="66" t="s">
        <v>67</v>
      </c>
      <c r="G32" s="66" t="s">
        <v>89</v>
      </c>
      <c r="H32" s="66" t="s">
        <v>92</v>
      </c>
      <c r="I32" s="67" t="s">
        <v>151</v>
      </c>
      <c r="J32" s="66" t="s">
        <v>118</v>
      </c>
      <c r="K32" s="66" t="s">
        <v>137</v>
      </c>
      <c r="L32" s="66">
        <v>1</v>
      </c>
      <c r="M32" s="67">
        <f t="shared" si="1"/>
        <v>50</v>
      </c>
      <c r="N32" s="66">
        <v>100</v>
      </c>
      <c r="O32" s="68" t="s">
        <v>152</v>
      </c>
      <c r="P32" s="69">
        <v>1.1999999999999999E-3</v>
      </c>
      <c r="Q32" s="69">
        <f t="shared" ref="Q32" si="12">P32*N32</f>
        <v>0.12</v>
      </c>
      <c r="R32" s="66"/>
      <c r="S32" s="70"/>
    </row>
    <row r="33" spans="1:19" s="84" customFormat="1" x14ac:dyDescent="0.25">
      <c r="A33" s="82"/>
      <c r="B33" s="46">
        <f>ROW(B33) - ROW($B$9)</f>
        <v>24</v>
      </c>
      <c r="C33" s="53" t="s">
        <v>13</v>
      </c>
      <c r="D33" s="37" t="s">
        <v>170</v>
      </c>
      <c r="E33" s="37" t="s">
        <v>171</v>
      </c>
      <c r="F33" s="37" t="s">
        <v>172</v>
      </c>
      <c r="G33" s="37" t="s">
        <v>173</v>
      </c>
      <c r="H33" s="37" t="s">
        <v>92</v>
      </c>
      <c r="I33" s="37" t="s">
        <v>151</v>
      </c>
      <c r="J33" s="37" t="s">
        <v>174</v>
      </c>
      <c r="K33" s="37" t="s">
        <v>175</v>
      </c>
      <c r="L33" s="37">
        <v>1</v>
      </c>
      <c r="M33" s="37">
        <f t="shared" si="1"/>
        <v>50</v>
      </c>
      <c r="N33" s="37">
        <v>100</v>
      </c>
      <c r="O33" s="60" t="s">
        <v>152</v>
      </c>
      <c r="P33" s="38">
        <v>6.9999999999999999E-4</v>
      </c>
      <c r="Q33" s="38">
        <f>P33*N33</f>
        <v>6.9999999999999993E-2</v>
      </c>
      <c r="R33" s="37"/>
      <c r="S33" s="59"/>
    </row>
    <row r="34" spans="1:19" s="71" customFormat="1" x14ac:dyDescent="0.25">
      <c r="A34" s="63"/>
      <c r="B34" s="85">
        <f>ROW(B34) - ROW($B$9)</f>
        <v>25</v>
      </c>
      <c r="C34" s="86" t="s">
        <v>14</v>
      </c>
      <c r="D34" s="67" t="s">
        <v>37</v>
      </c>
      <c r="E34" s="67" t="s">
        <v>60</v>
      </c>
      <c r="F34" s="67" t="s">
        <v>68</v>
      </c>
      <c r="G34" s="67" t="s">
        <v>90</v>
      </c>
      <c r="H34" s="67" t="s">
        <v>99</v>
      </c>
      <c r="I34" s="66" t="s">
        <v>151</v>
      </c>
      <c r="J34" s="67" t="s">
        <v>119</v>
      </c>
      <c r="K34" s="67" t="s">
        <v>151</v>
      </c>
      <c r="L34" s="67">
        <v>1</v>
      </c>
      <c r="M34" s="67">
        <f t="shared" si="1"/>
        <v>50</v>
      </c>
      <c r="N34" s="67">
        <v>51</v>
      </c>
      <c r="O34" s="68" t="s">
        <v>152</v>
      </c>
      <c r="P34" s="87">
        <v>2.2336999999999998</v>
      </c>
      <c r="Q34" s="87">
        <f>P34*N34</f>
        <v>113.91869999999999</v>
      </c>
      <c r="R34" s="67"/>
      <c r="S34" s="70"/>
    </row>
    <row r="35" spans="1:19" s="84" customFormat="1" ht="15.75" thickBot="1" x14ac:dyDescent="0.3">
      <c r="A35" s="82"/>
      <c r="B35" s="46">
        <f>ROW(B35) - ROW($B$9)</f>
        <v>26</v>
      </c>
      <c r="C35" s="53" t="s">
        <v>16</v>
      </c>
      <c r="D35" s="37" t="s">
        <v>38</v>
      </c>
      <c r="E35" s="37" t="s">
        <v>61</v>
      </c>
      <c r="F35" s="37" t="s">
        <v>149</v>
      </c>
      <c r="G35" s="37" t="s">
        <v>69</v>
      </c>
      <c r="H35" s="37" t="s">
        <v>101</v>
      </c>
      <c r="I35" s="51" t="s">
        <v>151</v>
      </c>
      <c r="J35" s="37" t="s">
        <v>120</v>
      </c>
      <c r="K35" s="37" t="s">
        <v>138</v>
      </c>
      <c r="L35" s="37">
        <v>1</v>
      </c>
      <c r="M35" s="37">
        <f t="shared" si="1"/>
        <v>50</v>
      </c>
      <c r="N35" s="37">
        <v>51</v>
      </c>
      <c r="O35" s="60" t="s">
        <v>152</v>
      </c>
      <c r="P35" s="38">
        <v>0.1827</v>
      </c>
      <c r="Q35" s="38">
        <f>P35*N35</f>
        <v>9.3177000000000003</v>
      </c>
      <c r="R35" s="37"/>
      <c r="S35" s="39"/>
    </row>
    <row r="36" spans="1:19" s="84" customFormat="1" ht="15.75" thickBot="1" x14ac:dyDescent="0.3">
      <c r="A36" s="82"/>
      <c r="B36" s="46">
        <f>ROW(B36) - ROW($B$9)</f>
        <v>27</v>
      </c>
      <c r="C36" s="53" t="s">
        <v>176</v>
      </c>
      <c r="D36" s="37" t="s">
        <v>151</v>
      </c>
      <c r="E36" s="37" t="s">
        <v>180</v>
      </c>
      <c r="F36" s="37" t="s">
        <v>151</v>
      </c>
      <c r="G36" s="37" t="s">
        <v>177</v>
      </c>
      <c r="H36" s="37" t="s">
        <v>179</v>
      </c>
      <c r="I36" s="51" t="s">
        <v>151</v>
      </c>
      <c r="J36" s="37" t="s">
        <v>178</v>
      </c>
      <c r="K36" s="37" t="s">
        <v>151</v>
      </c>
      <c r="L36" s="37">
        <v>1</v>
      </c>
      <c r="M36" s="37">
        <f t="shared" si="1"/>
        <v>50</v>
      </c>
      <c r="N36" s="37">
        <v>50</v>
      </c>
      <c r="O36" s="60" t="s">
        <v>152</v>
      </c>
      <c r="P36" s="38">
        <v>1.2712000000000001</v>
      </c>
      <c r="Q36" s="38">
        <f>P36*N36</f>
        <v>63.56</v>
      </c>
      <c r="R36" s="37"/>
      <c r="S36" s="39"/>
    </row>
    <row r="37" spans="1:19" ht="19.5" thickBot="1" x14ac:dyDescent="0.3">
      <c r="A37" s="1"/>
      <c r="B37" s="40"/>
      <c r="C37" s="41"/>
      <c r="D37" s="42"/>
      <c r="E37" s="43"/>
      <c r="F37" s="44"/>
      <c r="G37" s="45"/>
      <c r="H37" s="44"/>
      <c r="I37" s="45"/>
      <c r="J37" s="44"/>
      <c r="K37" s="45"/>
      <c r="L37" s="45"/>
      <c r="M37" s="45"/>
      <c r="N37" s="80" t="s">
        <v>5</v>
      </c>
      <c r="O37" s="81"/>
      <c r="P37" s="81"/>
      <c r="Q37" s="48">
        <f>SUM(Q10:Q36)</f>
        <v>447.8105000000001</v>
      </c>
      <c r="R37" s="76"/>
      <c r="S37" s="77"/>
    </row>
    <row r="38" spans="1:19" ht="19.5" thickBot="1" x14ac:dyDescent="0.3">
      <c r="A38" s="1"/>
      <c r="B38" s="25"/>
      <c r="C38" s="36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80" t="s">
        <v>6</v>
      </c>
      <c r="O38" s="81"/>
      <c r="P38" s="81"/>
      <c r="Q38" s="49">
        <f>Q37/50</f>
        <v>8.9562100000000022</v>
      </c>
      <c r="R38" s="78"/>
      <c r="S38" s="79"/>
    </row>
  </sheetData>
  <mergeCells count="5">
    <mergeCell ref="K1:S1"/>
    <mergeCell ref="S3:S8"/>
    <mergeCell ref="N37:P37"/>
    <mergeCell ref="R37:S38"/>
    <mergeCell ref="N38:P38"/>
  </mergeCells>
  <hyperlinks>
    <hyperlink ref="O10" r:id="rId1"/>
    <hyperlink ref="O11" r:id="rId2"/>
    <hyperlink ref="O12" r:id="rId3"/>
    <hyperlink ref="O13" r:id="rId4"/>
    <hyperlink ref="O15" r:id="rId5"/>
    <hyperlink ref="O16" r:id="rId6"/>
    <hyperlink ref="O22" r:id="rId7"/>
    <hyperlink ref="O24" r:id="rId8"/>
    <hyperlink ref="O26" r:id="rId9"/>
    <hyperlink ref="O27" r:id="rId10"/>
    <hyperlink ref="O28" r:id="rId11"/>
    <hyperlink ref="O29" r:id="rId12"/>
    <hyperlink ref="O30" r:id="rId13"/>
    <hyperlink ref="O31" r:id="rId14"/>
    <hyperlink ref="O32" r:id="rId15"/>
    <hyperlink ref="O34" r:id="rId16"/>
    <hyperlink ref="O35" r:id="rId17"/>
    <hyperlink ref="O14" r:id="rId18"/>
    <hyperlink ref="O17" r:id="rId19"/>
    <hyperlink ref="O25" r:id="rId20"/>
    <hyperlink ref="O20" r:id="rId21"/>
    <hyperlink ref="O33" r:id="rId22"/>
    <hyperlink ref="O36" r:id="rId23"/>
    <hyperlink ref="O19" r:id="rId24"/>
    <hyperlink ref="O18" r:id="rId25"/>
    <hyperlink ref="O23" r:id="rId26"/>
  </hyperlinks>
  <pageMargins left="0.7" right="0.7" top="0.75" bottom="0.75" header="0.3" footer="0.3"/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D5" workbookViewId="0">
      <selection activeCell="P24" sqref="P24:P36"/>
    </sheetView>
  </sheetViews>
  <sheetFormatPr defaultRowHeight="15" x14ac:dyDescent="0.25"/>
  <cols>
    <col min="2" max="2" width="3" bestFit="1" customWidth="1"/>
    <col min="3" max="3" width="16.7109375" bestFit="1" customWidth="1"/>
    <col min="4" max="4" width="31.140625" bestFit="1" customWidth="1"/>
    <col min="5" max="5" width="29.42578125" customWidth="1"/>
    <col min="6" max="6" width="14.710937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0.28515625" bestFit="1" customWidth="1"/>
    <col min="14" max="14" width="17.28515625" bestFit="1" customWidth="1"/>
    <col min="15" max="15" width="7.7109375" bestFit="1" customWidth="1"/>
    <col min="16" max="16" width="20.7109375" bestFit="1" customWidth="1"/>
    <col min="17" max="17" width="21.42578125" bestFit="1" customWidth="1"/>
    <col min="18" max="18" width="8.5703125" bestFit="1" customWidth="1"/>
    <col min="19" max="19" width="26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2"/>
      <c r="L1" s="72"/>
      <c r="M1" s="72"/>
      <c r="N1" s="72"/>
      <c r="O1" s="72"/>
      <c r="P1" s="72"/>
      <c r="Q1" s="72"/>
      <c r="R1" s="72"/>
      <c r="S1" s="7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155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154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4"/>
    </row>
    <row r="4" spans="1:19" x14ac:dyDescent="0.25">
      <c r="A4" s="1"/>
      <c r="B4" s="22"/>
      <c r="C4" s="32"/>
      <c r="D4" s="13" t="s">
        <v>2</v>
      </c>
      <c r="E4" s="13"/>
      <c r="F4" s="57" t="s">
        <v>154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5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5"/>
    </row>
    <row r="9" spans="1:19" ht="15.75" thickBot="1" x14ac:dyDescent="0.3">
      <c r="A9" s="1"/>
      <c r="B9" s="30" t="s">
        <v>4</v>
      </c>
      <c r="C9" s="30" t="s">
        <v>8</v>
      </c>
      <c r="D9" s="30" t="s">
        <v>17</v>
      </c>
      <c r="E9" s="30" t="s">
        <v>39</v>
      </c>
      <c r="F9" s="30" t="s">
        <v>62</v>
      </c>
      <c r="G9" s="30" t="s">
        <v>70</v>
      </c>
      <c r="H9" s="30" t="s">
        <v>91</v>
      </c>
      <c r="I9" s="30" t="s">
        <v>140</v>
      </c>
      <c r="J9" s="30" t="s">
        <v>102</v>
      </c>
      <c r="K9" s="30" t="s">
        <v>148</v>
      </c>
      <c r="L9" s="30" t="s">
        <v>139</v>
      </c>
      <c r="M9" s="30" t="s">
        <v>193</v>
      </c>
      <c r="N9" s="30" t="s">
        <v>194</v>
      </c>
      <c r="O9" s="30" t="s">
        <v>143</v>
      </c>
      <c r="P9" s="30" t="s">
        <v>195</v>
      </c>
      <c r="Q9" s="30" t="s">
        <v>196</v>
      </c>
      <c r="R9" s="30" t="s">
        <v>146</v>
      </c>
      <c r="S9" s="30" t="s">
        <v>147</v>
      </c>
    </row>
    <row r="10" spans="1:19" s="84" customFormat="1" x14ac:dyDescent="0.25">
      <c r="A10" s="82"/>
      <c r="B10" s="46">
        <f>ROW(B10) - ROW($B$9)</f>
        <v>1</v>
      </c>
      <c r="C10" s="53" t="s">
        <v>9</v>
      </c>
      <c r="D10" s="37" t="s">
        <v>18</v>
      </c>
      <c r="E10" s="37" t="s">
        <v>40</v>
      </c>
      <c r="F10" s="37" t="s">
        <v>63</v>
      </c>
      <c r="G10" s="37" t="s">
        <v>71</v>
      </c>
      <c r="H10" s="37" t="s">
        <v>92</v>
      </c>
      <c r="I10" s="37" t="s">
        <v>151</v>
      </c>
      <c r="J10" s="37" t="s">
        <v>103</v>
      </c>
      <c r="K10" s="37" t="s">
        <v>121</v>
      </c>
      <c r="L10" s="37">
        <v>2</v>
      </c>
      <c r="M10" s="37">
        <f>L10*100</f>
        <v>200</v>
      </c>
      <c r="N10" s="37">
        <v>220</v>
      </c>
      <c r="O10" s="60" t="s">
        <v>152</v>
      </c>
      <c r="P10" s="38">
        <v>2.8899999999999999E-2</v>
      </c>
      <c r="Q10" s="38">
        <f>P10*N10</f>
        <v>6.3579999999999997</v>
      </c>
      <c r="R10" s="37"/>
      <c r="S10" s="83"/>
    </row>
    <row r="11" spans="1:19" s="84" customFormat="1" x14ac:dyDescent="0.25">
      <c r="A11" s="82"/>
      <c r="B11" s="47">
        <f t="shared" ref="B11:B32" si="0">ROW(B11) - ROW($B$9)</f>
        <v>2</v>
      </c>
      <c r="C11" s="54" t="s">
        <v>9</v>
      </c>
      <c r="D11" s="51" t="s">
        <v>19</v>
      </c>
      <c r="E11" s="51" t="s">
        <v>41</v>
      </c>
      <c r="F11" s="51" t="s">
        <v>63</v>
      </c>
      <c r="G11" s="51" t="s">
        <v>72</v>
      </c>
      <c r="H11" s="51" t="s">
        <v>92</v>
      </c>
      <c r="I11" s="51" t="s">
        <v>151</v>
      </c>
      <c r="J11" s="51" t="s">
        <v>104</v>
      </c>
      <c r="K11" s="51" t="s">
        <v>122</v>
      </c>
      <c r="L11" s="51">
        <v>7</v>
      </c>
      <c r="M11" s="37">
        <f t="shared" ref="M11:M36" si="1">L11*100</f>
        <v>700</v>
      </c>
      <c r="N11" s="51">
        <v>800</v>
      </c>
      <c r="O11" s="60" t="s">
        <v>152</v>
      </c>
      <c r="P11" s="52">
        <v>3.5999999999999999E-3</v>
      </c>
      <c r="Q11" s="52">
        <f t="shared" ref="Q11" si="2">P11*N11</f>
        <v>2.88</v>
      </c>
      <c r="R11" s="51"/>
      <c r="S11" s="51"/>
    </row>
    <row r="12" spans="1:19" s="84" customFormat="1" x14ac:dyDescent="0.25">
      <c r="A12" s="82"/>
      <c r="B12" s="46">
        <f>ROW(B12) - ROW($B$9)</f>
        <v>3</v>
      </c>
      <c r="C12" s="54" t="s">
        <v>9</v>
      </c>
      <c r="D12" s="37" t="s">
        <v>20</v>
      </c>
      <c r="E12" s="37" t="s">
        <v>42</v>
      </c>
      <c r="F12" s="37" t="s">
        <v>63</v>
      </c>
      <c r="G12" s="37" t="s">
        <v>73</v>
      </c>
      <c r="H12" s="37" t="s">
        <v>93</v>
      </c>
      <c r="I12" s="37" t="s">
        <v>151</v>
      </c>
      <c r="J12" s="37" t="s">
        <v>105</v>
      </c>
      <c r="K12" s="37" t="s">
        <v>123</v>
      </c>
      <c r="L12" s="37">
        <v>2</v>
      </c>
      <c r="M12" s="37">
        <f t="shared" si="1"/>
        <v>200</v>
      </c>
      <c r="N12" s="37">
        <v>202</v>
      </c>
      <c r="O12" s="60" t="s">
        <v>152</v>
      </c>
      <c r="P12" s="38">
        <v>0.67459999999999998</v>
      </c>
      <c r="Q12" s="38">
        <f>P12*N12</f>
        <v>136.26919999999998</v>
      </c>
      <c r="R12" s="37"/>
      <c r="S12" s="59"/>
    </row>
    <row r="13" spans="1:19" s="84" customFormat="1" x14ac:dyDescent="0.25">
      <c r="A13" s="82"/>
      <c r="B13" s="47">
        <f t="shared" si="0"/>
        <v>4</v>
      </c>
      <c r="C13" s="54" t="s">
        <v>9</v>
      </c>
      <c r="D13" s="51" t="s">
        <v>21</v>
      </c>
      <c r="E13" s="51" t="s">
        <v>43</v>
      </c>
      <c r="F13" s="51" t="s">
        <v>63</v>
      </c>
      <c r="G13" s="51" t="s">
        <v>74</v>
      </c>
      <c r="H13" s="51" t="s">
        <v>94</v>
      </c>
      <c r="I13" s="51" t="s">
        <v>151</v>
      </c>
      <c r="J13" s="51" t="s">
        <v>106</v>
      </c>
      <c r="K13" s="51" t="s">
        <v>124</v>
      </c>
      <c r="L13" s="51">
        <v>2</v>
      </c>
      <c r="M13" s="37">
        <f t="shared" si="1"/>
        <v>200</v>
      </c>
      <c r="N13" s="51">
        <v>300</v>
      </c>
      <c r="O13" s="60" t="s">
        <v>152</v>
      </c>
      <c r="P13" s="52">
        <v>2.8E-3</v>
      </c>
      <c r="Q13" s="52">
        <f t="shared" ref="Q13" si="3">P13*N13</f>
        <v>0.84</v>
      </c>
      <c r="R13" s="51"/>
      <c r="S13" s="59"/>
    </row>
    <row r="14" spans="1:19" s="84" customFormat="1" x14ac:dyDescent="0.25">
      <c r="A14" s="82"/>
      <c r="B14" s="46">
        <f>ROW(B14) - ROW($B$9)</f>
        <v>5</v>
      </c>
      <c r="C14" s="53" t="s">
        <v>9</v>
      </c>
      <c r="D14" s="37" t="s">
        <v>22</v>
      </c>
      <c r="E14" s="37" t="s">
        <v>44</v>
      </c>
      <c r="F14" s="37" t="s">
        <v>63</v>
      </c>
      <c r="G14" s="62" t="s">
        <v>75</v>
      </c>
      <c r="H14" s="37" t="s">
        <v>93</v>
      </c>
      <c r="I14" s="37"/>
      <c r="J14" s="37" t="s">
        <v>161</v>
      </c>
      <c r="K14" s="37" t="s">
        <v>125</v>
      </c>
      <c r="L14" s="37">
        <v>1</v>
      </c>
      <c r="M14" s="37">
        <f t="shared" si="1"/>
        <v>100</v>
      </c>
      <c r="N14" s="37">
        <v>150</v>
      </c>
      <c r="O14" s="60" t="s">
        <v>152</v>
      </c>
      <c r="P14" s="38">
        <v>1.5800000000000002E-2</v>
      </c>
      <c r="Q14" s="38">
        <f>P14*N14</f>
        <v>2.37</v>
      </c>
      <c r="R14" s="37"/>
      <c r="S14" s="59"/>
    </row>
    <row r="15" spans="1:19" s="84" customFormat="1" x14ac:dyDescent="0.25">
      <c r="A15" s="82"/>
      <c r="B15" s="47">
        <f t="shared" si="0"/>
        <v>6</v>
      </c>
      <c r="C15" s="54" t="s">
        <v>9</v>
      </c>
      <c r="D15" s="51" t="s">
        <v>23</v>
      </c>
      <c r="E15" s="51" t="s">
        <v>45</v>
      </c>
      <c r="F15" s="51" t="s">
        <v>63</v>
      </c>
      <c r="G15" s="51" t="s">
        <v>76</v>
      </c>
      <c r="H15" s="51" t="s">
        <v>92</v>
      </c>
      <c r="I15" s="51" t="s">
        <v>151</v>
      </c>
      <c r="J15" s="51" t="s">
        <v>107</v>
      </c>
      <c r="K15" s="51" t="s">
        <v>126</v>
      </c>
      <c r="L15" s="51">
        <v>2</v>
      </c>
      <c r="M15" s="37">
        <f t="shared" si="1"/>
        <v>200</v>
      </c>
      <c r="N15" s="51">
        <v>300</v>
      </c>
      <c r="O15" s="60" t="s">
        <v>152</v>
      </c>
      <c r="P15" s="52">
        <v>7.4000000000000003E-3</v>
      </c>
      <c r="Q15" s="52">
        <f t="shared" ref="Q15" si="4">P15*N15</f>
        <v>2.2200000000000002</v>
      </c>
      <c r="R15" s="51"/>
      <c r="S15" s="59"/>
    </row>
    <row r="16" spans="1:19" s="84" customFormat="1" x14ac:dyDescent="0.25">
      <c r="A16" s="82"/>
      <c r="B16" s="46">
        <f>ROW(B16) - ROW($B$9)</f>
        <v>7</v>
      </c>
      <c r="C16" s="54" t="s">
        <v>9</v>
      </c>
      <c r="D16" s="37" t="s">
        <v>24</v>
      </c>
      <c r="E16" s="37" t="s">
        <v>46</v>
      </c>
      <c r="F16" s="37" t="s">
        <v>63</v>
      </c>
      <c r="G16" s="37" t="s">
        <v>77</v>
      </c>
      <c r="H16" s="37" t="s">
        <v>93</v>
      </c>
      <c r="I16" s="37" t="s">
        <v>151</v>
      </c>
      <c r="J16" s="37" t="s">
        <v>108</v>
      </c>
      <c r="K16" s="37" t="s">
        <v>127</v>
      </c>
      <c r="L16" s="37">
        <v>1</v>
      </c>
      <c r="M16" s="37">
        <f t="shared" si="1"/>
        <v>100</v>
      </c>
      <c r="N16" s="37">
        <v>110</v>
      </c>
      <c r="O16" s="60" t="s">
        <v>152</v>
      </c>
      <c r="P16" s="38">
        <v>3.5000000000000003E-2</v>
      </c>
      <c r="Q16" s="38">
        <f>P16*N16</f>
        <v>3.8500000000000005</v>
      </c>
      <c r="R16" s="37"/>
      <c r="S16" s="59"/>
    </row>
    <row r="17" spans="1:19" s="84" customFormat="1" x14ac:dyDescent="0.25">
      <c r="A17" s="82"/>
      <c r="B17" s="47">
        <f t="shared" si="0"/>
        <v>8</v>
      </c>
      <c r="C17" s="54" t="s">
        <v>9</v>
      </c>
      <c r="D17" s="51" t="s">
        <v>25</v>
      </c>
      <c r="E17" s="51" t="s">
        <v>47</v>
      </c>
      <c r="F17" s="51" t="s">
        <v>63</v>
      </c>
      <c r="G17" s="62" t="s">
        <v>78</v>
      </c>
      <c r="H17" s="51" t="s">
        <v>95</v>
      </c>
      <c r="I17" s="51" t="s">
        <v>162</v>
      </c>
      <c r="J17" s="51" t="s">
        <v>163</v>
      </c>
      <c r="K17" s="51" t="s">
        <v>128</v>
      </c>
      <c r="L17" s="51">
        <v>2</v>
      </c>
      <c r="M17" s="37">
        <f t="shared" si="1"/>
        <v>200</v>
      </c>
      <c r="N17" s="51">
        <v>300</v>
      </c>
      <c r="O17" s="60" t="s">
        <v>152</v>
      </c>
      <c r="P17" s="52">
        <v>5.7999999999999996E-3</v>
      </c>
      <c r="Q17" s="52">
        <f t="shared" ref="Q17" si="5">P17*N17</f>
        <v>1.7399999999999998</v>
      </c>
      <c r="R17" s="51"/>
      <c r="S17" s="59"/>
    </row>
    <row r="18" spans="1:19" s="84" customFormat="1" ht="24" x14ac:dyDescent="0.25">
      <c r="A18" s="82"/>
      <c r="B18" s="46">
        <f>ROW(B18) - ROW($B$9)</f>
        <v>9</v>
      </c>
      <c r="C18" s="53" t="s">
        <v>15</v>
      </c>
      <c r="D18" s="37" t="s">
        <v>181</v>
      </c>
      <c r="E18" s="37" t="s">
        <v>182</v>
      </c>
      <c r="F18" s="37" t="s">
        <v>66</v>
      </c>
      <c r="G18" s="37" t="s">
        <v>183</v>
      </c>
      <c r="H18" s="37" t="s">
        <v>100</v>
      </c>
      <c r="I18" s="37" t="s">
        <v>151</v>
      </c>
      <c r="J18" s="37" t="s">
        <v>184</v>
      </c>
      <c r="K18" s="37"/>
      <c r="L18" s="37">
        <v>2</v>
      </c>
      <c r="M18" s="37">
        <f t="shared" si="1"/>
        <v>200</v>
      </c>
      <c r="N18" s="37">
        <v>205</v>
      </c>
      <c r="O18" s="68" t="s">
        <v>152</v>
      </c>
      <c r="P18" s="38">
        <v>9.9199999999999997E-2</v>
      </c>
      <c r="Q18" s="38">
        <f>P18*N18</f>
        <v>20.335999999999999</v>
      </c>
      <c r="R18" s="37"/>
      <c r="S18" s="59"/>
    </row>
    <row r="19" spans="1:19" s="84" customFormat="1" x14ac:dyDescent="0.25">
      <c r="A19" s="82"/>
      <c r="B19" s="46">
        <f>ROW(B19) - ROW($B$9)</f>
        <v>10</v>
      </c>
      <c r="C19" s="53" t="s">
        <v>10</v>
      </c>
      <c r="D19" s="37" t="s">
        <v>26</v>
      </c>
      <c r="E19" s="37" t="s">
        <v>48</v>
      </c>
      <c r="F19" s="37" t="s">
        <v>64</v>
      </c>
      <c r="G19" s="37" t="s">
        <v>79</v>
      </c>
      <c r="H19" s="37" t="s">
        <v>96</v>
      </c>
      <c r="I19" s="37" t="s">
        <v>151</v>
      </c>
      <c r="J19" s="37" t="s">
        <v>109</v>
      </c>
      <c r="K19" s="37" t="s">
        <v>151</v>
      </c>
      <c r="L19" s="37">
        <v>2</v>
      </c>
      <c r="M19" s="37">
        <f t="shared" si="1"/>
        <v>200</v>
      </c>
      <c r="N19" s="37">
        <v>205</v>
      </c>
      <c r="O19" s="60" t="s">
        <v>152</v>
      </c>
      <c r="P19" s="38">
        <v>0.10580000000000001</v>
      </c>
      <c r="Q19" s="38">
        <f>P19*N19</f>
        <v>21.689</v>
      </c>
      <c r="R19" s="37"/>
      <c r="S19" s="59"/>
    </row>
    <row r="20" spans="1:19" s="84" customFormat="1" x14ac:dyDescent="0.25">
      <c r="A20" s="82"/>
      <c r="B20" s="47">
        <f t="shared" si="0"/>
        <v>11</v>
      </c>
      <c r="C20" s="54" t="s">
        <v>11</v>
      </c>
      <c r="D20" s="51" t="s">
        <v>27</v>
      </c>
      <c r="E20" s="51" t="s">
        <v>164</v>
      </c>
      <c r="F20" s="51" t="s">
        <v>149</v>
      </c>
      <c r="G20" s="51" t="s">
        <v>165</v>
      </c>
      <c r="H20" s="51" t="s">
        <v>166</v>
      </c>
      <c r="I20" s="51" t="s">
        <v>151</v>
      </c>
      <c r="J20" s="51" t="s">
        <v>151</v>
      </c>
      <c r="K20" s="37" t="s">
        <v>151</v>
      </c>
      <c r="L20" s="51">
        <v>1</v>
      </c>
      <c r="M20" s="37">
        <f t="shared" si="1"/>
        <v>100</v>
      </c>
      <c r="N20" s="51">
        <v>101</v>
      </c>
      <c r="O20" s="60" t="s">
        <v>167</v>
      </c>
      <c r="P20" s="52">
        <v>2.76</v>
      </c>
      <c r="Q20" s="52">
        <f t="shared" ref="Q20" si="6">P20*N20</f>
        <v>278.76</v>
      </c>
      <c r="R20" s="51"/>
      <c r="S20" s="59"/>
    </row>
    <row r="21" spans="1:19" s="84" customFormat="1" ht="24" x14ac:dyDescent="0.25">
      <c r="A21" s="82"/>
      <c r="B21" s="46">
        <f>ROW(B21) - ROW($B$9)</f>
        <v>12</v>
      </c>
      <c r="C21" s="53" t="s">
        <v>150</v>
      </c>
      <c r="D21" s="62" t="s">
        <v>156</v>
      </c>
      <c r="E21" s="62" t="s">
        <v>49</v>
      </c>
      <c r="F21" s="62" t="s">
        <v>149</v>
      </c>
      <c r="G21" s="62" t="s">
        <v>151</v>
      </c>
      <c r="H21" s="62" t="s">
        <v>151</v>
      </c>
      <c r="I21" s="62" t="s">
        <v>151</v>
      </c>
      <c r="J21" s="62" t="s">
        <v>151</v>
      </c>
      <c r="K21" s="37" t="s">
        <v>151</v>
      </c>
      <c r="L21" s="62">
        <v>1</v>
      </c>
      <c r="M21" s="62">
        <f t="shared" si="1"/>
        <v>100</v>
      </c>
      <c r="N21" s="62" t="s">
        <v>151</v>
      </c>
      <c r="O21" s="62" t="s">
        <v>151</v>
      </c>
      <c r="P21" s="62" t="s">
        <v>151</v>
      </c>
      <c r="Q21" s="62" t="s">
        <v>151</v>
      </c>
      <c r="R21" s="61" t="s">
        <v>153</v>
      </c>
      <c r="S21" s="59"/>
    </row>
    <row r="22" spans="1:19" s="84" customFormat="1" ht="60" x14ac:dyDescent="0.25">
      <c r="A22" s="82"/>
      <c r="B22" s="47">
        <f t="shared" si="0"/>
        <v>13</v>
      </c>
      <c r="C22" s="54" t="s">
        <v>12</v>
      </c>
      <c r="D22" s="51" t="s">
        <v>28</v>
      </c>
      <c r="E22" s="51" t="s">
        <v>50</v>
      </c>
      <c r="F22" s="51" t="s">
        <v>65</v>
      </c>
      <c r="G22" s="51" t="s">
        <v>80</v>
      </c>
      <c r="H22" s="51" t="s">
        <v>97</v>
      </c>
      <c r="I22" s="51" t="s">
        <v>151</v>
      </c>
      <c r="J22" s="51" t="s">
        <v>110</v>
      </c>
      <c r="K22" s="37" t="s">
        <v>151</v>
      </c>
      <c r="L22" s="51">
        <v>1</v>
      </c>
      <c r="M22" s="37">
        <f t="shared" si="1"/>
        <v>100</v>
      </c>
      <c r="N22" s="51">
        <v>120</v>
      </c>
      <c r="O22" s="60" t="s">
        <v>152</v>
      </c>
      <c r="P22" s="52">
        <v>3.3500000000000002E-2</v>
      </c>
      <c r="Q22" s="52">
        <f t="shared" ref="Q22" si="7">P22*N22</f>
        <v>4.0200000000000005</v>
      </c>
      <c r="R22" s="51"/>
      <c r="S22" s="59"/>
    </row>
    <row r="23" spans="1:19" s="84" customFormat="1" ht="36" x14ac:dyDescent="0.25">
      <c r="A23" s="82"/>
      <c r="B23" s="46">
        <f>ROW(B23) - ROW($B$9)</f>
        <v>14</v>
      </c>
      <c r="C23" s="54" t="s">
        <v>12</v>
      </c>
      <c r="D23" s="37" t="s">
        <v>29</v>
      </c>
      <c r="E23" s="37" t="s">
        <v>51</v>
      </c>
      <c r="F23" s="37" t="s">
        <v>66</v>
      </c>
      <c r="G23" s="37" t="s">
        <v>81</v>
      </c>
      <c r="H23" s="37" t="s">
        <v>98</v>
      </c>
      <c r="I23" s="37" t="s">
        <v>151</v>
      </c>
      <c r="J23" s="37" t="s">
        <v>205</v>
      </c>
      <c r="K23" s="37" t="s">
        <v>151</v>
      </c>
      <c r="L23" s="37">
        <v>1</v>
      </c>
      <c r="M23" s="37">
        <f t="shared" si="1"/>
        <v>100</v>
      </c>
      <c r="N23" s="37">
        <v>110</v>
      </c>
      <c r="O23" s="60" t="s">
        <v>152</v>
      </c>
      <c r="P23" s="38">
        <v>4.9000000000000002E-2</v>
      </c>
      <c r="Q23" s="38">
        <f>P23*N23</f>
        <v>5.3900000000000006</v>
      </c>
      <c r="R23" s="37"/>
      <c r="S23" s="59"/>
    </row>
    <row r="24" spans="1:19" s="84" customFormat="1" x14ac:dyDescent="0.25">
      <c r="A24" s="82"/>
      <c r="B24" s="47">
        <f t="shared" si="0"/>
        <v>15</v>
      </c>
      <c r="C24" s="54" t="s">
        <v>13</v>
      </c>
      <c r="D24" s="51" t="s">
        <v>30</v>
      </c>
      <c r="E24" s="51" t="s">
        <v>52</v>
      </c>
      <c r="F24" s="51" t="s">
        <v>67</v>
      </c>
      <c r="G24" s="51" t="s">
        <v>82</v>
      </c>
      <c r="H24" s="51" t="s">
        <v>92</v>
      </c>
      <c r="I24" s="51" t="s">
        <v>151</v>
      </c>
      <c r="J24" s="51" t="s">
        <v>111</v>
      </c>
      <c r="K24" s="51" t="s">
        <v>129</v>
      </c>
      <c r="L24" s="51">
        <v>1</v>
      </c>
      <c r="M24" s="37">
        <f t="shared" si="1"/>
        <v>100</v>
      </c>
      <c r="N24" s="51">
        <v>200</v>
      </c>
      <c r="O24" s="60" t="s">
        <v>152</v>
      </c>
      <c r="P24" s="52">
        <v>1E-3</v>
      </c>
      <c r="Q24" s="52">
        <f t="shared" ref="Q24" si="8">P24*N24</f>
        <v>0.2</v>
      </c>
      <c r="R24" s="51"/>
      <c r="S24" s="59"/>
    </row>
    <row r="25" spans="1:19" s="84" customFormat="1" ht="24" x14ac:dyDescent="0.25">
      <c r="A25" s="82"/>
      <c r="B25" s="46">
        <f>ROW(B25) - ROW($B$9)</f>
        <v>16</v>
      </c>
      <c r="C25" s="53" t="s">
        <v>13</v>
      </c>
      <c r="D25" s="37" t="s">
        <v>168</v>
      </c>
      <c r="E25" s="37" t="s">
        <v>157</v>
      </c>
      <c r="F25" s="37" t="s">
        <v>158</v>
      </c>
      <c r="G25" s="37" t="s">
        <v>159</v>
      </c>
      <c r="H25" s="37" t="s">
        <v>92</v>
      </c>
      <c r="I25" s="37" t="s">
        <v>151</v>
      </c>
      <c r="J25" s="37" t="s">
        <v>160</v>
      </c>
      <c r="K25" s="37" t="s">
        <v>130</v>
      </c>
      <c r="L25" s="37">
        <v>12</v>
      </c>
      <c r="M25" s="37">
        <f t="shared" si="1"/>
        <v>1200</v>
      </c>
      <c r="N25" s="37">
        <v>1300</v>
      </c>
      <c r="O25" s="60" t="s">
        <v>152</v>
      </c>
      <c r="P25" s="52">
        <v>6.9999999999999999E-4</v>
      </c>
      <c r="Q25" s="38">
        <f>P25*N25</f>
        <v>0.91</v>
      </c>
      <c r="R25" s="37"/>
      <c r="S25" s="59"/>
    </row>
    <row r="26" spans="1:19" s="84" customFormat="1" x14ac:dyDescent="0.25">
      <c r="A26" s="82"/>
      <c r="B26" s="47">
        <f t="shared" si="0"/>
        <v>17</v>
      </c>
      <c r="C26" s="54" t="s">
        <v>13</v>
      </c>
      <c r="D26" s="51" t="s">
        <v>169</v>
      </c>
      <c r="E26" s="51" t="s">
        <v>53</v>
      </c>
      <c r="F26" s="51" t="s">
        <v>67</v>
      </c>
      <c r="G26" s="51" t="s">
        <v>83</v>
      </c>
      <c r="H26" s="51" t="s">
        <v>92</v>
      </c>
      <c r="I26" s="51" t="s">
        <v>151</v>
      </c>
      <c r="J26" s="51" t="s">
        <v>112</v>
      </c>
      <c r="K26" s="51" t="s">
        <v>131</v>
      </c>
      <c r="L26" s="51">
        <v>3</v>
      </c>
      <c r="M26" s="37">
        <f t="shared" si="1"/>
        <v>300</v>
      </c>
      <c r="N26" s="51">
        <v>400</v>
      </c>
      <c r="O26" s="60" t="s">
        <v>152</v>
      </c>
      <c r="P26" s="52">
        <v>1.2999999999999999E-3</v>
      </c>
      <c r="Q26" s="52">
        <f t="shared" ref="Q26" si="9">P26*N26</f>
        <v>0.52</v>
      </c>
      <c r="R26" s="51"/>
      <c r="S26" s="59"/>
    </row>
    <row r="27" spans="1:19" s="84" customFormat="1" x14ac:dyDescent="0.25">
      <c r="A27" s="82"/>
      <c r="B27" s="46">
        <f>ROW(B27) - ROW($B$9)</f>
        <v>18</v>
      </c>
      <c r="C27" s="53" t="s">
        <v>13</v>
      </c>
      <c r="D27" s="37" t="s">
        <v>31</v>
      </c>
      <c r="E27" s="37" t="s">
        <v>54</v>
      </c>
      <c r="F27" s="37" t="s">
        <v>67</v>
      </c>
      <c r="G27" s="37" t="s">
        <v>84</v>
      </c>
      <c r="H27" s="37" t="s">
        <v>92</v>
      </c>
      <c r="I27" s="37" t="s">
        <v>151</v>
      </c>
      <c r="J27" s="37" t="s">
        <v>113</v>
      </c>
      <c r="K27" s="37" t="s">
        <v>132</v>
      </c>
      <c r="L27" s="37">
        <v>4</v>
      </c>
      <c r="M27" s="37">
        <f t="shared" si="1"/>
        <v>400</v>
      </c>
      <c r="N27" s="37">
        <v>500</v>
      </c>
      <c r="O27" s="60" t="s">
        <v>152</v>
      </c>
      <c r="P27" s="38">
        <v>1.1999999999999999E-3</v>
      </c>
      <c r="Q27" s="38">
        <f>P27*N27</f>
        <v>0.6</v>
      </c>
      <c r="R27" s="37"/>
      <c r="S27" s="59"/>
    </row>
    <row r="28" spans="1:19" s="84" customFormat="1" x14ac:dyDescent="0.25">
      <c r="A28" s="82"/>
      <c r="B28" s="47">
        <f t="shared" si="0"/>
        <v>19</v>
      </c>
      <c r="C28" s="54" t="s">
        <v>13</v>
      </c>
      <c r="D28" s="51" t="s">
        <v>32</v>
      </c>
      <c r="E28" s="51" t="s">
        <v>55</v>
      </c>
      <c r="F28" s="51" t="s">
        <v>67</v>
      </c>
      <c r="G28" s="51" t="s">
        <v>85</v>
      </c>
      <c r="H28" s="51" t="s">
        <v>92</v>
      </c>
      <c r="I28" s="51" t="s">
        <v>151</v>
      </c>
      <c r="J28" s="51" t="s">
        <v>114</v>
      </c>
      <c r="K28" s="51" t="s">
        <v>133</v>
      </c>
      <c r="L28" s="51">
        <v>1</v>
      </c>
      <c r="M28" s="37">
        <f t="shared" si="1"/>
        <v>100</v>
      </c>
      <c r="N28" s="51">
        <v>200</v>
      </c>
      <c r="O28" s="60" t="s">
        <v>152</v>
      </c>
      <c r="P28" s="52">
        <v>3.2000000000000002E-3</v>
      </c>
      <c r="Q28" s="52">
        <f t="shared" ref="Q28" si="10">P28*N28</f>
        <v>0.64</v>
      </c>
      <c r="R28" s="51"/>
      <c r="S28" s="59"/>
    </row>
    <row r="29" spans="1:19" s="84" customFormat="1" x14ac:dyDescent="0.25">
      <c r="A29" s="82"/>
      <c r="B29" s="46">
        <f>ROW(B29) - ROW($B$9)</f>
        <v>20</v>
      </c>
      <c r="C29" s="53" t="s">
        <v>13</v>
      </c>
      <c r="D29" s="37" t="s">
        <v>33</v>
      </c>
      <c r="E29" s="37" t="s">
        <v>56</v>
      </c>
      <c r="F29" s="37" t="s">
        <v>67</v>
      </c>
      <c r="G29" s="37" t="s">
        <v>86</v>
      </c>
      <c r="H29" s="37" t="s">
        <v>92</v>
      </c>
      <c r="I29" s="37" t="s">
        <v>151</v>
      </c>
      <c r="J29" s="37" t="s">
        <v>115</v>
      </c>
      <c r="K29" s="37" t="s">
        <v>134</v>
      </c>
      <c r="L29" s="37">
        <v>4</v>
      </c>
      <c r="M29" s="37">
        <f t="shared" si="1"/>
        <v>400</v>
      </c>
      <c r="N29" s="37">
        <v>500</v>
      </c>
      <c r="O29" s="60" t="s">
        <v>152</v>
      </c>
      <c r="P29" s="38">
        <v>1.1999999999999999E-3</v>
      </c>
      <c r="Q29" s="38">
        <f>P29*N29</f>
        <v>0.6</v>
      </c>
      <c r="R29" s="37"/>
      <c r="S29" s="59"/>
    </row>
    <row r="30" spans="1:19" s="84" customFormat="1" x14ac:dyDescent="0.25">
      <c r="A30" s="82"/>
      <c r="B30" s="47">
        <f t="shared" si="0"/>
        <v>21</v>
      </c>
      <c r="C30" s="54" t="s">
        <v>13</v>
      </c>
      <c r="D30" s="51" t="s">
        <v>34</v>
      </c>
      <c r="E30" s="51" t="s">
        <v>57</v>
      </c>
      <c r="F30" s="51" t="s">
        <v>67</v>
      </c>
      <c r="G30" s="51" t="s">
        <v>87</v>
      </c>
      <c r="H30" s="51" t="s">
        <v>92</v>
      </c>
      <c r="I30" s="51" t="s">
        <v>151</v>
      </c>
      <c r="J30" s="51" t="s">
        <v>116</v>
      </c>
      <c r="K30" s="51" t="s">
        <v>135</v>
      </c>
      <c r="L30" s="51">
        <v>2</v>
      </c>
      <c r="M30" s="37">
        <f t="shared" si="1"/>
        <v>200</v>
      </c>
      <c r="N30" s="51">
        <v>300</v>
      </c>
      <c r="O30" s="60" t="s">
        <v>152</v>
      </c>
      <c r="P30" s="52">
        <v>1.1000000000000001E-3</v>
      </c>
      <c r="Q30" s="52">
        <f t="shared" ref="Q30" si="11">P30*N30</f>
        <v>0.33</v>
      </c>
      <c r="R30" s="51"/>
      <c r="S30" s="59"/>
    </row>
    <row r="31" spans="1:19" s="71" customFormat="1" x14ac:dyDescent="0.25">
      <c r="A31" s="63"/>
      <c r="B31" s="85">
        <f>ROW(B31) - ROW($B$9)</f>
        <v>22</v>
      </c>
      <c r="C31" s="65" t="s">
        <v>13</v>
      </c>
      <c r="D31" s="67" t="s">
        <v>35</v>
      </c>
      <c r="E31" s="67" t="s">
        <v>58</v>
      </c>
      <c r="F31" s="67" t="s">
        <v>67</v>
      </c>
      <c r="G31" s="67" t="s">
        <v>88</v>
      </c>
      <c r="H31" s="67" t="s">
        <v>92</v>
      </c>
      <c r="I31" s="66" t="s">
        <v>151</v>
      </c>
      <c r="J31" s="67" t="s">
        <v>117</v>
      </c>
      <c r="K31" s="67" t="s">
        <v>136</v>
      </c>
      <c r="L31" s="67">
        <v>1</v>
      </c>
      <c r="M31" s="67">
        <f t="shared" si="1"/>
        <v>100</v>
      </c>
      <c r="N31" s="67">
        <v>200</v>
      </c>
      <c r="O31" s="68" t="s">
        <v>152</v>
      </c>
      <c r="P31" s="87">
        <v>1.1999999999999999E-3</v>
      </c>
      <c r="Q31" s="87">
        <f>P31*N31</f>
        <v>0.24</v>
      </c>
      <c r="R31" s="67"/>
      <c r="S31" s="70"/>
    </row>
    <row r="32" spans="1:19" s="71" customFormat="1" x14ac:dyDescent="0.25">
      <c r="A32" s="63"/>
      <c r="B32" s="64">
        <f t="shared" si="0"/>
        <v>23</v>
      </c>
      <c r="C32" s="65" t="s">
        <v>13</v>
      </c>
      <c r="D32" s="66" t="s">
        <v>36</v>
      </c>
      <c r="E32" s="66" t="s">
        <v>59</v>
      </c>
      <c r="F32" s="66" t="s">
        <v>67</v>
      </c>
      <c r="G32" s="66" t="s">
        <v>89</v>
      </c>
      <c r="H32" s="66" t="s">
        <v>92</v>
      </c>
      <c r="I32" s="67" t="s">
        <v>151</v>
      </c>
      <c r="J32" s="66" t="s">
        <v>118</v>
      </c>
      <c r="K32" s="66" t="s">
        <v>137</v>
      </c>
      <c r="L32" s="66">
        <v>1</v>
      </c>
      <c r="M32" s="67">
        <f t="shared" si="1"/>
        <v>100</v>
      </c>
      <c r="N32" s="66">
        <v>200</v>
      </c>
      <c r="O32" s="68" t="s">
        <v>152</v>
      </c>
      <c r="P32" s="69">
        <v>1.1999999999999999E-3</v>
      </c>
      <c r="Q32" s="69">
        <f t="shared" ref="Q32" si="12">P32*N32</f>
        <v>0.24</v>
      </c>
      <c r="R32" s="66"/>
      <c r="S32" s="70"/>
    </row>
    <row r="33" spans="1:19" s="84" customFormat="1" x14ac:dyDescent="0.25">
      <c r="A33" s="82"/>
      <c r="B33" s="46">
        <f>ROW(B33) - ROW($B$9)</f>
        <v>24</v>
      </c>
      <c r="C33" s="53" t="s">
        <v>13</v>
      </c>
      <c r="D33" s="37" t="s">
        <v>170</v>
      </c>
      <c r="E33" s="37" t="s">
        <v>171</v>
      </c>
      <c r="F33" s="37" t="s">
        <v>172</v>
      </c>
      <c r="G33" s="37" t="s">
        <v>173</v>
      </c>
      <c r="H33" s="37" t="s">
        <v>92</v>
      </c>
      <c r="I33" s="37" t="s">
        <v>151</v>
      </c>
      <c r="J33" s="37" t="s">
        <v>174</v>
      </c>
      <c r="K33" s="37" t="s">
        <v>175</v>
      </c>
      <c r="L33" s="37">
        <v>1</v>
      </c>
      <c r="M33" s="37">
        <f t="shared" si="1"/>
        <v>100</v>
      </c>
      <c r="N33" s="37">
        <v>200</v>
      </c>
      <c r="O33" s="60" t="s">
        <v>152</v>
      </c>
      <c r="P33" s="38">
        <v>6.9999999999999999E-4</v>
      </c>
      <c r="Q33" s="38">
        <f>P33*N33</f>
        <v>0.13999999999999999</v>
      </c>
      <c r="R33" s="37"/>
      <c r="S33" s="59"/>
    </row>
    <row r="34" spans="1:19" s="71" customFormat="1" x14ac:dyDescent="0.25">
      <c r="A34" s="63"/>
      <c r="B34" s="85">
        <f>ROW(B34) - ROW($B$9)</f>
        <v>25</v>
      </c>
      <c r="C34" s="86" t="s">
        <v>14</v>
      </c>
      <c r="D34" s="67" t="s">
        <v>37</v>
      </c>
      <c r="E34" s="67" t="s">
        <v>60</v>
      </c>
      <c r="F34" s="67" t="s">
        <v>68</v>
      </c>
      <c r="G34" s="67" t="s">
        <v>90</v>
      </c>
      <c r="H34" s="67" t="s">
        <v>99</v>
      </c>
      <c r="I34" s="66" t="s">
        <v>151</v>
      </c>
      <c r="J34" s="67" t="s">
        <v>119</v>
      </c>
      <c r="K34" s="67" t="s">
        <v>151</v>
      </c>
      <c r="L34" s="67">
        <v>1</v>
      </c>
      <c r="M34" s="67">
        <f t="shared" si="1"/>
        <v>100</v>
      </c>
      <c r="N34" s="67">
        <v>101</v>
      </c>
      <c r="O34" s="68" t="s">
        <v>152</v>
      </c>
      <c r="P34" s="87">
        <v>2.0236999999999998</v>
      </c>
      <c r="Q34" s="87">
        <f>P34*N34</f>
        <v>204.3937</v>
      </c>
      <c r="R34" s="67"/>
      <c r="S34" s="70"/>
    </row>
    <row r="35" spans="1:19" s="84" customFormat="1" ht="15.75" thickBot="1" x14ac:dyDescent="0.3">
      <c r="A35" s="82"/>
      <c r="B35" s="46">
        <f>ROW(B35) - ROW($B$9)</f>
        <v>26</v>
      </c>
      <c r="C35" s="53" t="s">
        <v>16</v>
      </c>
      <c r="D35" s="37" t="s">
        <v>38</v>
      </c>
      <c r="E35" s="37" t="s">
        <v>61</v>
      </c>
      <c r="F35" s="37" t="s">
        <v>149</v>
      </c>
      <c r="G35" s="37" t="s">
        <v>69</v>
      </c>
      <c r="H35" s="37" t="s">
        <v>101</v>
      </c>
      <c r="I35" s="51" t="s">
        <v>151</v>
      </c>
      <c r="J35" s="37" t="s">
        <v>120</v>
      </c>
      <c r="K35" s="37" t="s">
        <v>138</v>
      </c>
      <c r="L35" s="37">
        <v>1</v>
      </c>
      <c r="M35" s="37">
        <f t="shared" si="1"/>
        <v>100</v>
      </c>
      <c r="N35" s="37">
        <v>101</v>
      </c>
      <c r="O35" s="60" t="s">
        <v>152</v>
      </c>
      <c r="P35" s="38">
        <v>0.15659999999999999</v>
      </c>
      <c r="Q35" s="38">
        <f>P35*N35</f>
        <v>15.816599999999999</v>
      </c>
      <c r="R35" s="37"/>
      <c r="S35" s="39"/>
    </row>
    <row r="36" spans="1:19" s="84" customFormat="1" ht="15.75" thickBot="1" x14ac:dyDescent="0.3">
      <c r="A36" s="82"/>
      <c r="B36" s="46">
        <f>ROW(B36) - ROW($B$9)</f>
        <v>27</v>
      </c>
      <c r="C36" s="53" t="s">
        <v>176</v>
      </c>
      <c r="D36" s="37" t="s">
        <v>151</v>
      </c>
      <c r="E36" s="37" t="s">
        <v>180</v>
      </c>
      <c r="F36" s="37" t="s">
        <v>151</v>
      </c>
      <c r="G36" s="37" t="s">
        <v>177</v>
      </c>
      <c r="H36" s="37" t="s">
        <v>179</v>
      </c>
      <c r="I36" s="51" t="s">
        <v>151</v>
      </c>
      <c r="J36" s="37" t="s">
        <v>178</v>
      </c>
      <c r="K36" s="37" t="s">
        <v>151</v>
      </c>
      <c r="L36" s="37">
        <v>1</v>
      </c>
      <c r="M36" s="37">
        <f t="shared" si="1"/>
        <v>100</v>
      </c>
      <c r="N36" s="37">
        <v>100</v>
      </c>
      <c r="O36" s="60" t="s">
        <v>152</v>
      </c>
      <c r="P36" s="38">
        <v>1.2712000000000001</v>
      </c>
      <c r="Q36" s="38">
        <f>P36*N36</f>
        <v>127.12</v>
      </c>
      <c r="R36" s="37"/>
      <c r="S36" s="39"/>
    </row>
    <row r="37" spans="1:19" ht="19.5" thickBot="1" x14ac:dyDescent="0.3">
      <c r="A37" s="1"/>
      <c r="B37" s="40"/>
      <c r="C37" s="41"/>
      <c r="D37" s="42"/>
      <c r="E37" s="43"/>
      <c r="F37" s="44"/>
      <c r="G37" s="45"/>
      <c r="H37" s="44"/>
      <c r="I37" s="45"/>
      <c r="J37" s="44"/>
      <c r="K37" s="45"/>
      <c r="L37" s="45"/>
      <c r="M37" s="45"/>
      <c r="N37" s="80" t="s">
        <v>5</v>
      </c>
      <c r="O37" s="81"/>
      <c r="P37" s="81"/>
      <c r="Q37" s="48">
        <f>SUM(Q10:Q36)</f>
        <v>838.47249999999997</v>
      </c>
      <c r="R37" s="76"/>
      <c r="S37" s="77"/>
    </row>
    <row r="38" spans="1:19" ht="19.5" thickBot="1" x14ac:dyDescent="0.3">
      <c r="A38" s="1"/>
      <c r="B38" s="25"/>
      <c r="C38" s="36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80" t="s">
        <v>6</v>
      </c>
      <c r="O38" s="81"/>
      <c r="P38" s="81"/>
      <c r="Q38" s="49">
        <f>Q37/100</f>
        <v>8.3847249999999995</v>
      </c>
      <c r="R38" s="78"/>
      <c r="S38" s="79"/>
    </row>
  </sheetData>
  <mergeCells count="5">
    <mergeCell ref="K1:S1"/>
    <mergeCell ref="S3:S8"/>
    <mergeCell ref="N37:P37"/>
    <mergeCell ref="R37:S38"/>
    <mergeCell ref="N38:P38"/>
  </mergeCells>
  <hyperlinks>
    <hyperlink ref="O10" r:id="rId1"/>
    <hyperlink ref="O11" r:id="rId2"/>
    <hyperlink ref="O12" r:id="rId3"/>
    <hyperlink ref="O13" r:id="rId4"/>
    <hyperlink ref="O15" r:id="rId5"/>
    <hyperlink ref="O16" r:id="rId6"/>
    <hyperlink ref="O19" r:id="rId7"/>
    <hyperlink ref="O22" r:id="rId8"/>
    <hyperlink ref="O24" r:id="rId9"/>
    <hyperlink ref="O26" r:id="rId10"/>
    <hyperlink ref="O27" r:id="rId11"/>
    <hyperlink ref="O28" r:id="rId12"/>
    <hyperlink ref="O29" r:id="rId13"/>
    <hyperlink ref="O30" r:id="rId14"/>
    <hyperlink ref="O31" r:id="rId15"/>
    <hyperlink ref="O32" r:id="rId16"/>
    <hyperlink ref="O34" r:id="rId17"/>
    <hyperlink ref="O35" r:id="rId18"/>
    <hyperlink ref="O14" r:id="rId19"/>
    <hyperlink ref="O17" r:id="rId20"/>
    <hyperlink ref="O25" r:id="rId21"/>
    <hyperlink ref="O20" r:id="rId22"/>
    <hyperlink ref="O33" r:id="rId23"/>
    <hyperlink ref="O36" r:id="rId24"/>
    <hyperlink ref="O18" r:id="rId25"/>
    <hyperlink ref="O23" r:id="rId26"/>
  </hyperlinks>
  <pageMargins left="0.7" right="0.7" top="0.75" bottom="0.75" header="0.3" footer="0.3"/>
  <drawing r:id="rId2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E11" workbookViewId="0">
      <selection activeCell="P10" sqref="P10:P36"/>
    </sheetView>
  </sheetViews>
  <sheetFormatPr defaultRowHeight="15" x14ac:dyDescent="0.25"/>
  <cols>
    <col min="2" max="2" width="3" bestFit="1" customWidth="1"/>
    <col min="3" max="3" width="16.7109375" bestFit="1" customWidth="1"/>
    <col min="4" max="4" width="31.140625" bestFit="1" customWidth="1"/>
    <col min="5" max="5" width="26.42578125" bestFit="1" customWidth="1"/>
    <col min="6" max="6" width="12.28515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0.28515625" bestFit="1" customWidth="1"/>
    <col min="14" max="14" width="17.28515625" bestFit="1" customWidth="1"/>
    <col min="15" max="15" width="7.7109375" bestFit="1" customWidth="1"/>
    <col min="16" max="16" width="20.7109375" bestFit="1" customWidth="1"/>
    <col min="17" max="17" width="21.42578125" bestFit="1" customWidth="1"/>
    <col min="19" max="19" width="25.8554687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2"/>
      <c r="L1" s="72"/>
      <c r="M1" s="72"/>
      <c r="N1" s="72"/>
      <c r="O1" s="72"/>
      <c r="P1" s="72"/>
      <c r="Q1" s="72"/>
      <c r="R1" s="72"/>
      <c r="S1" s="7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155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154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4"/>
    </row>
    <row r="4" spans="1:19" x14ac:dyDescent="0.25">
      <c r="A4" s="1"/>
      <c r="B4" s="22"/>
      <c r="C4" s="32"/>
      <c r="D4" s="13" t="s">
        <v>2</v>
      </c>
      <c r="E4" s="13"/>
      <c r="F4" s="57" t="s">
        <v>154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5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5"/>
    </row>
    <row r="9" spans="1:19" ht="15.75" thickBot="1" x14ac:dyDescent="0.3">
      <c r="A9" s="1"/>
      <c r="B9" s="30" t="s">
        <v>4</v>
      </c>
      <c r="C9" s="30" t="s">
        <v>8</v>
      </c>
      <c r="D9" s="30" t="s">
        <v>17</v>
      </c>
      <c r="E9" s="30" t="s">
        <v>39</v>
      </c>
      <c r="F9" s="30" t="s">
        <v>62</v>
      </c>
      <c r="G9" s="30" t="s">
        <v>70</v>
      </c>
      <c r="H9" s="30" t="s">
        <v>91</v>
      </c>
      <c r="I9" s="30" t="s">
        <v>140</v>
      </c>
      <c r="J9" s="30" t="s">
        <v>102</v>
      </c>
      <c r="K9" s="30" t="s">
        <v>148</v>
      </c>
      <c r="L9" s="30" t="s">
        <v>139</v>
      </c>
      <c r="M9" s="30" t="s">
        <v>197</v>
      </c>
      <c r="N9" s="30" t="s">
        <v>198</v>
      </c>
      <c r="O9" s="30" t="s">
        <v>143</v>
      </c>
      <c r="P9" s="30" t="s">
        <v>199</v>
      </c>
      <c r="Q9" s="30" t="s">
        <v>200</v>
      </c>
      <c r="R9" s="30" t="s">
        <v>146</v>
      </c>
      <c r="S9" s="30" t="s">
        <v>147</v>
      </c>
    </row>
    <row r="10" spans="1:19" x14ac:dyDescent="0.25">
      <c r="A10" s="1"/>
      <c r="B10" s="46">
        <f>ROW(B10) - ROW($B$9)</f>
        <v>1</v>
      </c>
      <c r="C10" s="53" t="s">
        <v>9</v>
      </c>
      <c r="D10" s="37" t="s">
        <v>18</v>
      </c>
      <c r="E10" s="37" t="s">
        <v>40</v>
      </c>
      <c r="F10" s="37" t="s">
        <v>63</v>
      </c>
      <c r="G10" s="37" t="s">
        <v>71</v>
      </c>
      <c r="H10" s="37" t="s">
        <v>92</v>
      </c>
      <c r="I10" s="37" t="s">
        <v>151</v>
      </c>
      <c r="J10" s="37" t="s">
        <v>103</v>
      </c>
      <c r="K10" s="37" t="s">
        <v>121</v>
      </c>
      <c r="L10" s="37">
        <v>2</v>
      </c>
      <c r="M10" s="37">
        <f>L10*500</f>
        <v>1000</v>
      </c>
      <c r="N10" s="37">
        <v>1020</v>
      </c>
      <c r="O10" s="60" t="s">
        <v>152</v>
      </c>
      <c r="P10" s="38">
        <v>2.5399999999999999E-2</v>
      </c>
      <c r="Q10" s="38">
        <f>P10*N10</f>
        <v>25.907999999999998</v>
      </c>
      <c r="R10" s="37"/>
      <c r="S10" s="50"/>
    </row>
    <row r="11" spans="1:19" x14ac:dyDescent="0.25">
      <c r="A11" s="1"/>
      <c r="B11" s="47">
        <f t="shared" ref="B11:B32" si="0">ROW(B11) - ROW($B$9)</f>
        <v>2</v>
      </c>
      <c r="C11" s="54" t="s">
        <v>9</v>
      </c>
      <c r="D11" s="51" t="s">
        <v>19</v>
      </c>
      <c r="E11" s="51" t="s">
        <v>41</v>
      </c>
      <c r="F11" s="51" t="s">
        <v>63</v>
      </c>
      <c r="G11" s="51" t="s">
        <v>72</v>
      </c>
      <c r="H11" s="51" t="s">
        <v>92</v>
      </c>
      <c r="I11" s="51" t="s">
        <v>151</v>
      </c>
      <c r="J11" s="51" t="s">
        <v>104</v>
      </c>
      <c r="K11" s="51" t="s">
        <v>122</v>
      </c>
      <c r="L11" s="51">
        <v>7</v>
      </c>
      <c r="M11" s="37">
        <f t="shared" ref="M11:M36" si="1">L11*500</f>
        <v>3500</v>
      </c>
      <c r="N11" s="51">
        <v>3600</v>
      </c>
      <c r="O11" s="60" t="s">
        <v>152</v>
      </c>
      <c r="P11" s="52">
        <v>2.8999999999999998E-3</v>
      </c>
      <c r="Q11" s="52">
        <f t="shared" ref="Q11" si="2">P11*N11</f>
        <v>10.44</v>
      </c>
      <c r="R11" s="51"/>
      <c r="S11" s="51"/>
    </row>
    <row r="12" spans="1:19" x14ac:dyDescent="0.25">
      <c r="A12" s="1"/>
      <c r="B12" s="46">
        <f>ROW(B12) - ROW($B$9)</f>
        <v>3</v>
      </c>
      <c r="C12" s="54" t="s">
        <v>9</v>
      </c>
      <c r="D12" s="37" t="s">
        <v>20</v>
      </c>
      <c r="E12" s="37" t="s">
        <v>42</v>
      </c>
      <c r="F12" s="37" t="s">
        <v>63</v>
      </c>
      <c r="G12" s="37" t="s">
        <v>73</v>
      </c>
      <c r="H12" s="37" t="s">
        <v>93</v>
      </c>
      <c r="I12" s="37" t="s">
        <v>151</v>
      </c>
      <c r="J12" s="37" t="s">
        <v>105</v>
      </c>
      <c r="K12" s="37" t="s">
        <v>123</v>
      </c>
      <c r="L12" s="37">
        <v>2</v>
      </c>
      <c r="M12" s="37">
        <f t="shared" si="1"/>
        <v>1000</v>
      </c>
      <c r="N12" s="37">
        <v>1010</v>
      </c>
      <c r="O12" s="60" t="s">
        <v>152</v>
      </c>
      <c r="P12" s="38">
        <v>0.67459999999999998</v>
      </c>
      <c r="Q12" s="38">
        <f>P12*N12</f>
        <v>681.346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21</v>
      </c>
      <c r="E13" s="51" t="s">
        <v>43</v>
      </c>
      <c r="F13" s="51" t="s">
        <v>63</v>
      </c>
      <c r="G13" s="51" t="s">
        <v>74</v>
      </c>
      <c r="H13" s="51" t="s">
        <v>94</v>
      </c>
      <c r="I13" s="51" t="s">
        <v>151</v>
      </c>
      <c r="J13" s="51" t="s">
        <v>106</v>
      </c>
      <c r="K13" s="51" t="s">
        <v>124</v>
      </c>
      <c r="L13" s="51">
        <v>2</v>
      </c>
      <c r="M13" s="37">
        <f t="shared" si="1"/>
        <v>1000</v>
      </c>
      <c r="N13" s="51">
        <v>1100</v>
      </c>
      <c r="O13" s="60" t="s">
        <v>152</v>
      </c>
      <c r="P13" s="52">
        <v>2.2000000000000001E-3</v>
      </c>
      <c r="Q13" s="52">
        <f t="shared" ref="Q13" si="3">P13*N13</f>
        <v>2.42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22</v>
      </c>
      <c r="E14" s="37" t="s">
        <v>44</v>
      </c>
      <c r="F14" s="37" t="s">
        <v>63</v>
      </c>
      <c r="G14" s="62" t="s">
        <v>75</v>
      </c>
      <c r="H14" s="37" t="s">
        <v>93</v>
      </c>
      <c r="I14" s="37"/>
      <c r="J14" s="37" t="s">
        <v>161</v>
      </c>
      <c r="K14" s="37" t="s">
        <v>125</v>
      </c>
      <c r="L14" s="37">
        <v>1</v>
      </c>
      <c r="M14" s="37">
        <f t="shared" si="1"/>
        <v>500</v>
      </c>
      <c r="N14" s="37">
        <v>550</v>
      </c>
      <c r="O14" s="60" t="s">
        <v>152</v>
      </c>
      <c r="P14" s="38">
        <v>1.2699999999999999E-2</v>
      </c>
      <c r="Q14" s="38">
        <f>P14*N14</f>
        <v>6.9849999999999994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23</v>
      </c>
      <c r="E15" s="51" t="s">
        <v>45</v>
      </c>
      <c r="F15" s="51" t="s">
        <v>63</v>
      </c>
      <c r="G15" s="51" t="s">
        <v>76</v>
      </c>
      <c r="H15" s="51" t="s">
        <v>92</v>
      </c>
      <c r="I15" s="51" t="s">
        <v>151</v>
      </c>
      <c r="J15" s="51" t="s">
        <v>107</v>
      </c>
      <c r="K15" s="51" t="s">
        <v>126</v>
      </c>
      <c r="L15" s="51">
        <v>2</v>
      </c>
      <c r="M15" s="37">
        <f t="shared" si="1"/>
        <v>1000</v>
      </c>
      <c r="N15" s="51">
        <v>1100</v>
      </c>
      <c r="O15" s="60" t="s">
        <v>152</v>
      </c>
      <c r="P15" s="52">
        <v>5.5999999999999999E-3</v>
      </c>
      <c r="Q15" s="52">
        <f t="shared" ref="Q15" si="4">P15*N15</f>
        <v>6.16</v>
      </c>
      <c r="R15" s="51"/>
      <c r="S15" s="59"/>
    </row>
    <row r="16" spans="1:19" x14ac:dyDescent="0.25">
      <c r="A16" s="1"/>
      <c r="B16" s="46">
        <f>ROW(B16) - ROW($B$9)</f>
        <v>7</v>
      </c>
      <c r="C16" s="54" t="s">
        <v>9</v>
      </c>
      <c r="D16" s="37" t="s">
        <v>24</v>
      </c>
      <c r="E16" s="37" t="s">
        <v>46</v>
      </c>
      <c r="F16" s="37" t="s">
        <v>63</v>
      </c>
      <c r="G16" s="37" t="s">
        <v>77</v>
      </c>
      <c r="H16" s="37" t="s">
        <v>93</v>
      </c>
      <c r="I16" s="37" t="s">
        <v>151</v>
      </c>
      <c r="J16" s="37" t="s">
        <v>108</v>
      </c>
      <c r="K16" s="37" t="s">
        <v>127</v>
      </c>
      <c r="L16" s="37">
        <v>1</v>
      </c>
      <c r="M16" s="37">
        <f t="shared" si="1"/>
        <v>500</v>
      </c>
      <c r="N16" s="37">
        <v>510</v>
      </c>
      <c r="O16" s="60" t="s">
        <v>152</v>
      </c>
      <c r="P16" s="38">
        <v>3.1600000000000003E-2</v>
      </c>
      <c r="Q16" s="38">
        <f>P16*N16</f>
        <v>16.116000000000003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9</v>
      </c>
      <c r="D17" s="51" t="s">
        <v>25</v>
      </c>
      <c r="E17" s="51" t="s">
        <v>47</v>
      </c>
      <c r="F17" s="51" t="s">
        <v>63</v>
      </c>
      <c r="G17" s="62" t="s">
        <v>78</v>
      </c>
      <c r="H17" s="51" t="s">
        <v>95</v>
      </c>
      <c r="I17" s="51" t="s">
        <v>162</v>
      </c>
      <c r="J17" s="51" t="s">
        <v>163</v>
      </c>
      <c r="K17" s="51" t="s">
        <v>128</v>
      </c>
      <c r="L17" s="51">
        <v>2</v>
      </c>
      <c r="M17" s="37">
        <f t="shared" si="1"/>
        <v>1000</v>
      </c>
      <c r="N17" s="51">
        <v>1100</v>
      </c>
      <c r="O17" s="60" t="s">
        <v>152</v>
      </c>
      <c r="P17" s="52">
        <v>4.7000000000000002E-3</v>
      </c>
      <c r="Q17" s="52">
        <f t="shared" ref="Q17" si="5">P17*N17</f>
        <v>5.17</v>
      </c>
      <c r="R17" s="51"/>
      <c r="S17" s="59"/>
    </row>
    <row r="18" spans="1:19" ht="24" x14ac:dyDescent="0.25">
      <c r="A18" s="1"/>
      <c r="B18" s="46">
        <f>ROW(B18) - ROW($B$9)</f>
        <v>9</v>
      </c>
      <c r="C18" s="53" t="s">
        <v>15</v>
      </c>
      <c r="D18" s="37" t="s">
        <v>181</v>
      </c>
      <c r="E18" s="37" t="s">
        <v>182</v>
      </c>
      <c r="F18" s="37" t="s">
        <v>66</v>
      </c>
      <c r="G18" s="37" t="s">
        <v>183</v>
      </c>
      <c r="H18" s="37" t="s">
        <v>100</v>
      </c>
      <c r="I18" s="37" t="s">
        <v>151</v>
      </c>
      <c r="J18" s="37" t="s">
        <v>184</v>
      </c>
      <c r="K18" s="37"/>
      <c r="L18" s="37">
        <v>2</v>
      </c>
      <c r="M18" s="37">
        <f t="shared" si="1"/>
        <v>1000</v>
      </c>
      <c r="N18" s="37">
        <v>1010</v>
      </c>
      <c r="O18" s="68" t="s">
        <v>152</v>
      </c>
      <c r="P18" s="38">
        <v>8.4699999999999998E-2</v>
      </c>
      <c r="Q18" s="38">
        <f>P18*N18</f>
        <v>85.546999999999997</v>
      </c>
      <c r="R18" s="37"/>
      <c r="S18" s="59"/>
    </row>
    <row r="19" spans="1:19" x14ac:dyDescent="0.25">
      <c r="A19" s="1"/>
      <c r="B19" s="46">
        <f>ROW(B19) - ROW($B$9)</f>
        <v>10</v>
      </c>
      <c r="C19" s="53" t="s">
        <v>10</v>
      </c>
      <c r="D19" s="37" t="s">
        <v>26</v>
      </c>
      <c r="E19" s="37" t="s">
        <v>48</v>
      </c>
      <c r="F19" s="37" t="s">
        <v>64</v>
      </c>
      <c r="G19" s="37" t="s">
        <v>79</v>
      </c>
      <c r="H19" s="37" t="s">
        <v>96</v>
      </c>
      <c r="I19" s="37" t="s">
        <v>151</v>
      </c>
      <c r="J19" s="37" t="s">
        <v>109</v>
      </c>
      <c r="K19" s="37" t="s">
        <v>151</v>
      </c>
      <c r="L19" s="37">
        <v>2</v>
      </c>
      <c r="M19" s="37">
        <f t="shared" si="1"/>
        <v>1000</v>
      </c>
      <c r="N19" s="37">
        <v>1010</v>
      </c>
      <c r="O19" s="60" t="s">
        <v>152</v>
      </c>
      <c r="P19" s="38">
        <v>9.6699999999999994E-2</v>
      </c>
      <c r="Q19" s="38">
        <f>P19*N19</f>
        <v>97.666999999999987</v>
      </c>
      <c r="R19" s="37"/>
      <c r="S19" s="59"/>
    </row>
    <row r="20" spans="1:19" x14ac:dyDescent="0.25">
      <c r="A20" s="63"/>
      <c r="B20" s="64">
        <f t="shared" si="0"/>
        <v>11</v>
      </c>
      <c r="C20" s="65" t="s">
        <v>11</v>
      </c>
      <c r="D20" s="66" t="s">
        <v>27</v>
      </c>
      <c r="E20" s="66" t="s">
        <v>164</v>
      </c>
      <c r="F20" s="66" t="s">
        <v>149</v>
      </c>
      <c r="G20" s="66" t="s">
        <v>165</v>
      </c>
      <c r="H20" s="66" t="s">
        <v>166</v>
      </c>
      <c r="I20" s="66" t="s">
        <v>151</v>
      </c>
      <c r="J20" s="66" t="s">
        <v>151</v>
      </c>
      <c r="K20" s="67" t="s">
        <v>151</v>
      </c>
      <c r="L20" s="66">
        <v>1</v>
      </c>
      <c r="M20" s="37">
        <f t="shared" si="1"/>
        <v>500</v>
      </c>
      <c r="N20" s="66">
        <v>501</v>
      </c>
      <c r="O20" s="68" t="s">
        <v>167</v>
      </c>
      <c r="P20" s="52">
        <v>2.14</v>
      </c>
      <c r="Q20" s="69">
        <f t="shared" ref="Q20" si="6">P20*N20</f>
        <v>1072.1400000000001</v>
      </c>
      <c r="R20" s="66"/>
      <c r="S20" s="70"/>
    </row>
    <row r="21" spans="1:19" ht="24" x14ac:dyDescent="0.25">
      <c r="A21" s="1"/>
      <c r="B21" s="46">
        <f>ROW(B21) - ROW($B$9)</f>
        <v>12</v>
      </c>
      <c r="C21" s="53" t="s">
        <v>150</v>
      </c>
      <c r="D21" s="62" t="s">
        <v>156</v>
      </c>
      <c r="E21" s="62" t="s">
        <v>49</v>
      </c>
      <c r="F21" s="62" t="s">
        <v>149</v>
      </c>
      <c r="G21" s="62" t="s">
        <v>151</v>
      </c>
      <c r="H21" s="62" t="s">
        <v>151</v>
      </c>
      <c r="I21" s="62" t="s">
        <v>151</v>
      </c>
      <c r="J21" s="62" t="s">
        <v>151</v>
      </c>
      <c r="K21" s="37" t="s">
        <v>151</v>
      </c>
      <c r="L21" s="62">
        <v>1</v>
      </c>
      <c r="M21" s="37">
        <f t="shared" si="1"/>
        <v>500</v>
      </c>
      <c r="N21" s="62" t="s">
        <v>151</v>
      </c>
      <c r="O21" s="62" t="s">
        <v>151</v>
      </c>
      <c r="P21" s="62" t="s">
        <v>151</v>
      </c>
      <c r="Q21" s="62" t="s">
        <v>151</v>
      </c>
      <c r="R21" s="61" t="s">
        <v>153</v>
      </c>
      <c r="S21" s="59"/>
    </row>
    <row r="22" spans="1:19" ht="60" x14ac:dyDescent="0.25">
      <c r="A22" s="1"/>
      <c r="B22" s="47">
        <f t="shared" si="0"/>
        <v>13</v>
      </c>
      <c r="C22" s="54" t="s">
        <v>12</v>
      </c>
      <c r="D22" s="51" t="s">
        <v>28</v>
      </c>
      <c r="E22" s="51" t="s">
        <v>50</v>
      </c>
      <c r="F22" s="51" t="s">
        <v>65</v>
      </c>
      <c r="G22" s="51" t="s">
        <v>80</v>
      </c>
      <c r="H22" s="51" t="s">
        <v>97</v>
      </c>
      <c r="I22" s="51" t="s">
        <v>151</v>
      </c>
      <c r="J22" s="51" t="s">
        <v>110</v>
      </c>
      <c r="K22" s="37" t="s">
        <v>151</v>
      </c>
      <c r="L22" s="51">
        <v>1</v>
      </c>
      <c r="M22" s="37">
        <f t="shared" si="1"/>
        <v>500</v>
      </c>
      <c r="N22" s="51">
        <v>520</v>
      </c>
      <c r="O22" s="60" t="s">
        <v>152</v>
      </c>
      <c r="P22" s="52">
        <v>2.7099999999999999E-2</v>
      </c>
      <c r="Q22" s="52">
        <f t="shared" ref="Q22" si="7">P22*N22</f>
        <v>14.091999999999999</v>
      </c>
      <c r="R22" s="51"/>
      <c r="S22" s="59"/>
    </row>
    <row r="23" spans="1:19" ht="36" x14ac:dyDescent="0.25">
      <c r="A23" s="1"/>
      <c r="B23" s="46">
        <f>ROW(B23) - ROW($B$9)</f>
        <v>14</v>
      </c>
      <c r="C23" s="54" t="s">
        <v>12</v>
      </c>
      <c r="D23" s="37" t="s">
        <v>29</v>
      </c>
      <c r="E23" s="37" t="s">
        <v>51</v>
      </c>
      <c r="F23" s="37" t="s">
        <v>66</v>
      </c>
      <c r="G23" s="37" t="s">
        <v>81</v>
      </c>
      <c r="H23" s="37" t="s">
        <v>98</v>
      </c>
      <c r="I23" s="37" t="s">
        <v>151</v>
      </c>
      <c r="J23" s="37" t="s">
        <v>205</v>
      </c>
      <c r="K23" s="37" t="s">
        <v>151</v>
      </c>
      <c r="L23" s="37">
        <v>1</v>
      </c>
      <c r="M23" s="37">
        <f t="shared" si="1"/>
        <v>500</v>
      </c>
      <c r="N23" s="37">
        <v>510</v>
      </c>
      <c r="O23" s="60" t="s">
        <v>152</v>
      </c>
      <c r="P23" s="38">
        <v>4.3200000000000002E-2</v>
      </c>
      <c r="Q23" s="38">
        <f>P23*N23</f>
        <v>22.032</v>
      </c>
      <c r="R23" s="37"/>
      <c r="S23" s="59"/>
    </row>
    <row r="24" spans="1:19" x14ac:dyDescent="0.25">
      <c r="A24" s="1"/>
      <c r="B24" s="47">
        <f t="shared" si="0"/>
        <v>15</v>
      </c>
      <c r="C24" s="54" t="s">
        <v>13</v>
      </c>
      <c r="D24" s="51" t="s">
        <v>30</v>
      </c>
      <c r="E24" s="51" t="s">
        <v>52</v>
      </c>
      <c r="F24" s="51" t="s">
        <v>67</v>
      </c>
      <c r="G24" s="51" t="s">
        <v>82</v>
      </c>
      <c r="H24" s="51" t="s">
        <v>92</v>
      </c>
      <c r="I24" s="51" t="s">
        <v>151</v>
      </c>
      <c r="J24" s="51" t="s">
        <v>111</v>
      </c>
      <c r="K24" s="51" t="s">
        <v>129</v>
      </c>
      <c r="L24" s="51">
        <v>1</v>
      </c>
      <c r="M24" s="37">
        <f t="shared" si="1"/>
        <v>500</v>
      </c>
      <c r="N24" s="51">
        <v>600</v>
      </c>
      <c r="O24" s="60" t="s">
        <v>152</v>
      </c>
      <c r="P24" s="52">
        <v>1E-3</v>
      </c>
      <c r="Q24" s="52">
        <f t="shared" ref="Q24" si="8">P24*N24</f>
        <v>0.6</v>
      </c>
      <c r="R24" s="51"/>
      <c r="S24" s="59"/>
    </row>
    <row r="25" spans="1:19" ht="24" x14ac:dyDescent="0.25">
      <c r="A25" s="1"/>
      <c r="B25" s="46">
        <f>ROW(B25) - ROW($B$9)</f>
        <v>16</v>
      </c>
      <c r="C25" s="53" t="s">
        <v>13</v>
      </c>
      <c r="D25" s="37" t="s">
        <v>168</v>
      </c>
      <c r="E25" s="37" t="s">
        <v>157</v>
      </c>
      <c r="F25" s="37" t="s">
        <v>158</v>
      </c>
      <c r="G25" s="37" t="s">
        <v>159</v>
      </c>
      <c r="H25" s="37" t="s">
        <v>92</v>
      </c>
      <c r="I25" s="37" t="s">
        <v>151</v>
      </c>
      <c r="J25" s="37" t="s">
        <v>160</v>
      </c>
      <c r="K25" s="37" t="s">
        <v>130</v>
      </c>
      <c r="L25" s="37">
        <v>12</v>
      </c>
      <c r="M25" s="37">
        <f t="shared" si="1"/>
        <v>6000</v>
      </c>
      <c r="N25" s="37">
        <v>6100</v>
      </c>
      <c r="O25" s="60" t="s">
        <v>152</v>
      </c>
      <c r="P25" s="52">
        <v>5.0000000000000001E-4</v>
      </c>
      <c r="Q25" s="38">
        <f>P25*N25</f>
        <v>3.0500000000000003</v>
      </c>
      <c r="R25" s="37"/>
      <c r="S25" s="59"/>
    </row>
    <row r="26" spans="1:19" x14ac:dyDescent="0.25">
      <c r="A26" s="1"/>
      <c r="B26" s="47">
        <f t="shared" si="0"/>
        <v>17</v>
      </c>
      <c r="C26" s="54" t="s">
        <v>13</v>
      </c>
      <c r="D26" s="51" t="s">
        <v>169</v>
      </c>
      <c r="E26" s="51" t="s">
        <v>53</v>
      </c>
      <c r="F26" s="51" t="s">
        <v>67</v>
      </c>
      <c r="G26" s="51" t="s">
        <v>83</v>
      </c>
      <c r="H26" s="51" t="s">
        <v>92</v>
      </c>
      <c r="I26" s="51" t="s">
        <v>151</v>
      </c>
      <c r="J26" s="51" t="s">
        <v>112</v>
      </c>
      <c r="K26" s="51" t="s">
        <v>131</v>
      </c>
      <c r="L26" s="51">
        <v>3</v>
      </c>
      <c r="M26" s="37">
        <f t="shared" si="1"/>
        <v>1500</v>
      </c>
      <c r="N26" s="51">
        <v>1600</v>
      </c>
      <c r="O26" s="60" t="s">
        <v>152</v>
      </c>
      <c r="P26" s="52">
        <v>1E-3</v>
      </c>
      <c r="Q26" s="52">
        <f t="shared" ref="Q26" si="9">P26*N26</f>
        <v>1.6</v>
      </c>
      <c r="R26" s="51"/>
      <c r="S26" s="59"/>
    </row>
    <row r="27" spans="1:19" x14ac:dyDescent="0.25">
      <c r="A27" s="1"/>
      <c r="B27" s="46">
        <f>ROW(B27) - ROW($B$9)</f>
        <v>18</v>
      </c>
      <c r="C27" s="53" t="s">
        <v>13</v>
      </c>
      <c r="D27" s="37" t="s">
        <v>31</v>
      </c>
      <c r="E27" s="37" t="s">
        <v>54</v>
      </c>
      <c r="F27" s="37" t="s">
        <v>67</v>
      </c>
      <c r="G27" s="37" t="s">
        <v>84</v>
      </c>
      <c r="H27" s="37" t="s">
        <v>92</v>
      </c>
      <c r="I27" s="37" t="s">
        <v>151</v>
      </c>
      <c r="J27" s="37" t="s">
        <v>113</v>
      </c>
      <c r="K27" s="37" t="s">
        <v>132</v>
      </c>
      <c r="L27" s="37">
        <v>4</v>
      </c>
      <c r="M27" s="37">
        <f t="shared" si="1"/>
        <v>2000</v>
      </c>
      <c r="N27" s="37">
        <v>2100</v>
      </c>
      <c r="O27" s="60" t="s">
        <v>152</v>
      </c>
      <c r="P27" s="38">
        <v>1E-3</v>
      </c>
      <c r="Q27" s="38">
        <f>P27*N27</f>
        <v>2.1</v>
      </c>
      <c r="R27" s="37"/>
      <c r="S27" s="59"/>
    </row>
    <row r="28" spans="1:19" x14ac:dyDescent="0.25">
      <c r="A28" s="1"/>
      <c r="B28" s="47">
        <f t="shared" si="0"/>
        <v>19</v>
      </c>
      <c r="C28" s="54" t="s">
        <v>13</v>
      </c>
      <c r="D28" s="51" t="s">
        <v>32</v>
      </c>
      <c r="E28" s="51" t="s">
        <v>55</v>
      </c>
      <c r="F28" s="51" t="s">
        <v>67</v>
      </c>
      <c r="G28" s="51" t="s">
        <v>85</v>
      </c>
      <c r="H28" s="51" t="s">
        <v>92</v>
      </c>
      <c r="I28" s="51" t="s">
        <v>151</v>
      </c>
      <c r="J28" s="51" t="s">
        <v>114</v>
      </c>
      <c r="K28" s="51" t="s">
        <v>133</v>
      </c>
      <c r="L28" s="51">
        <v>1</v>
      </c>
      <c r="M28" s="37">
        <f t="shared" si="1"/>
        <v>500</v>
      </c>
      <c r="N28" s="51">
        <v>600</v>
      </c>
      <c r="O28" s="60" t="s">
        <v>152</v>
      </c>
      <c r="P28" s="52">
        <v>3.0000000000000001E-3</v>
      </c>
      <c r="Q28" s="52">
        <f t="shared" ref="Q28" si="10">P28*N28</f>
        <v>1.8</v>
      </c>
      <c r="R28" s="51"/>
      <c r="S28" s="59"/>
    </row>
    <row r="29" spans="1:19" x14ac:dyDescent="0.25">
      <c r="A29" s="1"/>
      <c r="B29" s="46">
        <f>ROW(B29) - ROW($B$9)</f>
        <v>20</v>
      </c>
      <c r="C29" s="53" t="s">
        <v>13</v>
      </c>
      <c r="D29" s="37" t="s">
        <v>33</v>
      </c>
      <c r="E29" s="37" t="s">
        <v>56</v>
      </c>
      <c r="F29" s="37" t="s">
        <v>67</v>
      </c>
      <c r="G29" s="37" t="s">
        <v>86</v>
      </c>
      <c r="H29" s="37" t="s">
        <v>92</v>
      </c>
      <c r="I29" s="37" t="s">
        <v>151</v>
      </c>
      <c r="J29" s="37" t="s">
        <v>115</v>
      </c>
      <c r="K29" s="37" t="s">
        <v>134</v>
      </c>
      <c r="L29" s="37">
        <v>4</v>
      </c>
      <c r="M29" s="37">
        <f t="shared" si="1"/>
        <v>2000</v>
      </c>
      <c r="N29" s="37">
        <v>2100</v>
      </c>
      <c r="O29" s="60" t="s">
        <v>152</v>
      </c>
      <c r="P29" s="38">
        <v>1E-3</v>
      </c>
      <c r="Q29" s="38">
        <f>P29*N29</f>
        <v>2.1</v>
      </c>
      <c r="R29" s="37"/>
      <c r="S29" s="59"/>
    </row>
    <row r="30" spans="1:19" x14ac:dyDescent="0.25">
      <c r="A30" s="1"/>
      <c r="B30" s="47">
        <f t="shared" si="0"/>
        <v>21</v>
      </c>
      <c r="C30" s="54" t="s">
        <v>13</v>
      </c>
      <c r="D30" s="51" t="s">
        <v>34</v>
      </c>
      <c r="E30" s="51" t="s">
        <v>57</v>
      </c>
      <c r="F30" s="51" t="s">
        <v>67</v>
      </c>
      <c r="G30" s="51" t="s">
        <v>87</v>
      </c>
      <c r="H30" s="51" t="s">
        <v>92</v>
      </c>
      <c r="I30" s="51" t="s">
        <v>151</v>
      </c>
      <c r="J30" s="51" t="s">
        <v>116</v>
      </c>
      <c r="K30" s="51" t="s">
        <v>135</v>
      </c>
      <c r="L30" s="51">
        <v>2</v>
      </c>
      <c r="M30" s="37">
        <f t="shared" si="1"/>
        <v>1000</v>
      </c>
      <c r="N30" s="51">
        <v>1100</v>
      </c>
      <c r="O30" s="60" t="s">
        <v>152</v>
      </c>
      <c r="P30" s="52">
        <v>8.0000000000000004E-4</v>
      </c>
      <c r="Q30" s="52">
        <f t="shared" ref="Q30" si="11">P30*N30</f>
        <v>0.88</v>
      </c>
      <c r="R30" s="51"/>
      <c r="S30" s="59"/>
    </row>
    <row r="31" spans="1:19" ht="24" x14ac:dyDescent="0.25">
      <c r="A31" s="1"/>
      <c r="B31" s="46">
        <f>ROW(B31) - ROW($B$9)</f>
        <v>22</v>
      </c>
      <c r="C31" s="54" t="s">
        <v>13</v>
      </c>
      <c r="D31" s="37" t="s">
        <v>35</v>
      </c>
      <c r="E31" s="37" t="s">
        <v>58</v>
      </c>
      <c r="F31" s="37" t="s">
        <v>67</v>
      </c>
      <c r="G31" s="37" t="s">
        <v>88</v>
      </c>
      <c r="H31" s="37" t="s">
        <v>92</v>
      </c>
      <c r="I31" s="51" t="s">
        <v>151</v>
      </c>
      <c r="J31" s="37" t="s">
        <v>117</v>
      </c>
      <c r="K31" s="37" t="s">
        <v>136</v>
      </c>
      <c r="L31" s="37">
        <v>1</v>
      </c>
      <c r="M31" s="37">
        <f t="shared" si="1"/>
        <v>500</v>
      </c>
      <c r="N31" s="37">
        <v>600</v>
      </c>
      <c r="O31" s="60" t="s">
        <v>152</v>
      </c>
      <c r="P31" s="87">
        <v>1.1999999999999999E-3</v>
      </c>
      <c r="Q31" s="38">
        <f>P31*N31</f>
        <v>0.72</v>
      </c>
      <c r="R31" s="37"/>
      <c r="S31" s="59"/>
    </row>
    <row r="32" spans="1:19" ht="24" x14ac:dyDescent="0.25">
      <c r="A32" s="1"/>
      <c r="B32" s="47">
        <f t="shared" si="0"/>
        <v>23</v>
      </c>
      <c r="C32" s="54" t="s">
        <v>13</v>
      </c>
      <c r="D32" s="51" t="s">
        <v>36</v>
      </c>
      <c r="E32" s="51" t="s">
        <v>59</v>
      </c>
      <c r="F32" s="51" t="s">
        <v>67</v>
      </c>
      <c r="G32" s="51" t="s">
        <v>89</v>
      </c>
      <c r="H32" s="51" t="s">
        <v>92</v>
      </c>
      <c r="I32" s="37" t="s">
        <v>151</v>
      </c>
      <c r="J32" s="51" t="s">
        <v>118</v>
      </c>
      <c r="K32" s="51" t="s">
        <v>137</v>
      </c>
      <c r="L32" s="51">
        <v>1</v>
      </c>
      <c r="M32" s="37">
        <f t="shared" si="1"/>
        <v>500</v>
      </c>
      <c r="N32" s="51">
        <v>600</v>
      </c>
      <c r="O32" s="60" t="s">
        <v>152</v>
      </c>
      <c r="P32" s="69">
        <v>1.1999999999999999E-3</v>
      </c>
      <c r="Q32" s="52">
        <f t="shared" ref="Q32" si="12">P32*N32</f>
        <v>0.72</v>
      </c>
      <c r="R32" s="51"/>
      <c r="S32" s="59"/>
    </row>
    <row r="33" spans="1:19" x14ac:dyDescent="0.25">
      <c r="A33" s="1"/>
      <c r="B33" s="46">
        <f>ROW(B33) - ROW($B$9)</f>
        <v>24</v>
      </c>
      <c r="C33" s="53" t="s">
        <v>13</v>
      </c>
      <c r="D33" s="37" t="s">
        <v>170</v>
      </c>
      <c r="E33" s="37" t="s">
        <v>171</v>
      </c>
      <c r="F33" s="37" t="s">
        <v>172</v>
      </c>
      <c r="G33" s="37" t="s">
        <v>173</v>
      </c>
      <c r="H33" s="37" t="s">
        <v>92</v>
      </c>
      <c r="I33" s="37" t="s">
        <v>151</v>
      </c>
      <c r="J33" s="37" t="s">
        <v>174</v>
      </c>
      <c r="K33" s="37" t="s">
        <v>175</v>
      </c>
      <c r="L33" s="37">
        <v>1</v>
      </c>
      <c r="M33" s="37">
        <f t="shared" si="1"/>
        <v>500</v>
      </c>
      <c r="N33" s="37">
        <v>600</v>
      </c>
      <c r="O33" s="60" t="s">
        <v>152</v>
      </c>
      <c r="P33" s="38">
        <v>6.9999999999999999E-4</v>
      </c>
      <c r="Q33" s="38">
        <f>P33*N33</f>
        <v>0.42</v>
      </c>
      <c r="R33" s="37"/>
      <c r="S33" s="59"/>
    </row>
    <row r="34" spans="1:19" ht="24" x14ac:dyDescent="0.25">
      <c r="A34" s="1"/>
      <c r="B34" s="46">
        <f>ROW(B34) - ROW($B$9)</f>
        <v>25</v>
      </c>
      <c r="C34" s="53" t="s">
        <v>14</v>
      </c>
      <c r="D34" s="37" t="s">
        <v>37</v>
      </c>
      <c r="E34" s="37" t="s">
        <v>60</v>
      </c>
      <c r="F34" s="37" t="s">
        <v>68</v>
      </c>
      <c r="G34" s="37" t="s">
        <v>90</v>
      </c>
      <c r="H34" s="37" t="s">
        <v>99</v>
      </c>
      <c r="I34" s="51" t="s">
        <v>151</v>
      </c>
      <c r="J34" s="37" t="s">
        <v>119</v>
      </c>
      <c r="K34" s="37" t="s">
        <v>151</v>
      </c>
      <c r="L34" s="37">
        <v>1</v>
      </c>
      <c r="M34" s="37">
        <f t="shared" si="1"/>
        <v>500</v>
      </c>
      <c r="N34" s="37">
        <v>502</v>
      </c>
      <c r="O34" s="60" t="s">
        <v>152</v>
      </c>
      <c r="P34" s="87">
        <v>1.9489000000000001</v>
      </c>
      <c r="Q34" s="38">
        <f>P34*N34</f>
        <v>978.34780000000001</v>
      </c>
      <c r="R34" s="37"/>
      <c r="S34" s="59"/>
    </row>
    <row r="35" spans="1:19" ht="15.75" thickBot="1" x14ac:dyDescent="0.3">
      <c r="A35" s="1"/>
      <c r="B35" s="46">
        <f>ROW(B35) - ROW($B$9)</f>
        <v>26</v>
      </c>
      <c r="C35" s="53" t="s">
        <v>16</v>
      </c>
      <c r="D35" s="37" t="s">
        <v>38</v>
      </c>
      <c r="E35" s="37" t="s">
        <v>61</v>
      </c>
      <c r="F35" s="37" t="s">
        <v>149</v>
      </c>
      <c r="G35" s="37" t="s">
        <v>69</v>
      </c>
      <c r="H35" s="37" t="s">
        <v>101</v>
      </c>
      <c r="I35" s="51" t="s">
        <v>151</v>
      </c>
      <c r="J35" s="37" t="s">
        <v>120</v>
      </c>
      <c r="K35" s="37" t="s">
        <v>138</v>
      </c>
      <c r="L35" s="37">
        <v>1</v>
      </c>
      <c r="M35" s="37">
        <f t="shared" si="1"/>
        <v>500</v>
      </c>
      <c r="N35" s="37">
        <v>502</v>
      </c>
      <c r="O35" s="60" t="s">
        <v>152</v>
      </c>
      <c r="P35" s="38">
        <v>0.14499999999999999</v>
      </c>
      <c r="Q35" s="38">
        <f>P35*N35</f>
        <v>72.789999999999992</v>
      </c>
      <c r="R35" s="37"/>
      <c r="S35" s="39"/>
    </row>
    <row r="36" spans="1:19" ht="15.75" thickBot="1" x14ac:dyDescent="0.3">
      <c r="A36" s="1"/>
      <c r="B36" s="46">
        <f>ROW(B36) - ROW($B$9)</f>
        <v>27</v>
      </c>
      <c r="C36" s="53" t="s">
        <v>176</v>
      </c>
      <c r="D36" s="37" t="s">
        <v>151</v>
      </c>
      <c r="E36" s="37" t="s">
        <v>180</v>
      </c>
      <c r="F36" s="37" t="s">
        <v>151</v>
      </c>
      <c r="G36" s="37" t="s">
        <v>177</v>
      </c>
      <c r="H36" s="37" t="s">
        <v>179</v>
      </c>
      <c r="I36" s="51" t="s">
        <v>151</v>
      </c>
      <c r="J36" s="37" t="s">
        <v>178</v>
      </c>
      <c r="K36" s="37" t="s">
        <v>151</v>
      </c>
      <c r="L36" s="37">
        <v>1</v>
      </c>
      <c r="M36" s="37">
        <f t="shared" si="1"/>
        <v>500</v>
      </c>
      <c r="N36" s="37">
        <v>502</v>
      </c>
      <c r="O36" s="60" t="s">
        <v>152</v>
      </c>
      <c r="P36" s="38">
        <v>1.2712000000000001</v>
      </c>
      <c r="Q36" s="38">
        <f>P36*N36</f>
        <v>638.14240000000007</v>
      </c>
      <c r="R36" s="37"/>
      <c r="S36" s="39"/>
    </row>
    <row r="37" spans="1:19" ht="19.5" thickBot="1" x14ac:dyDescent="0.3">
      <c r="A37" s="1"/>
      <c r="B37" s="40"/>
      <c r="C37" s="41"/>
      <c r="D37" s="42"/>
      <c r="E37" s="43"/>
      <c r="F37" s="44"/>
      <c r="G37" s="45"/>
      <c r="H37" s="44"/>
      <c r="I37" s="45"/>
      <c r="J37" s="44"/>
      <c r="K37" s="45"/>
      <c r="L37" s="45"/>
      <c r="M37" s="45"/>
      <c r="N37" s="80" t="s">
        <v>5</v>
      </c>
      <c r="O37" s="81"/>
      <c r="P37" s="81"/>
      <c r="Q37" s="48">
        <f>SUM(Q10:Q36)</f>
        <v>3749.2931999999996</v>
      </c>
      <c r="R37" s="76"/>
      <c r="S37" s="77"/>
    </row>
    <row r="38" spans="1:19" ht="19.5" thickBot="1" x14ac:dyDescent="0.3">
      <c r="A38" s="1"/>
      <c r="B38" s="25"/>
      <c r="C38" s="36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80" t="s">
        <v>6</v>
      </c>
      <c r="O38" s="81"/>
      <c r="P38" s="81"/>
      <c r="Q38" s="49">
        <f>Q37/500</f>
        <v>7.4985863999999989</v>
      </c>
      <c r="R38" s="78"/>
      <c r="S38" s="79"/>
    </row>
  </sheetData>
  <mergeCells count="5">
    <mergeCell ref="K1:S1"/>
    <mergeCell ref="S3:S8"/>
    <mergeCell ref="N37:P37"/>
    <mergeCell ref="R37:S38"/>
    <mergeCell ref="N38:P38"/>
  </mergeCells>
  <hyperlinks>
    <hyperlink ref="O10" r:id="rId1"/>
    <hyperlink ref="O11" r:id="rId2"/>
    <hyperlink ref="O12" r:id="rId3"/>
    <hyperlink ref="O13" r:id="rId4"/>
    <hyperlink ref="O15" r:id="rId5"/>
    <hyperlink ref="O16" r:id="rId6"/>
    <hyperlink ref="O19" r:id="rId7"/>
    <hyperlink ref="O22" r:id="rId8"/>
    <hyperlink ref="O24" r:id="rId9"/>
    <hyperlink ref="O26" r:id="rId10"/>
    <hyperlink ref="O27" r:id="rId11"/>
    <hyperlink ref="O28" r:id="rId12"/>
    <hyperlink ref="O29" r:id="rId13"/>
    <hyperlink ref="O30" r:id="rId14"/>
    <hyperlink ref="O31" r:id="rId15"/>
    <hyperlink ref="O32" r:id="rId16"/>
    <hyperlink ref="O34" r:id="rId17"/>
    <hyperlink ref="O35" r:id="rId18"/>
    <hyperlink ref="O14" r:id="rId19"/>
    <hyperlink ref="O17" r:id="rId20"/>
    <hyperlink ref="O25" r:id="rId21"/>
    <hyperlink ref="O20" r:id="rId22"/>
    <hyperlink ref="O33" r:id="rId23"/>
    <hyperlink ref="O36" r:id="rId24"/>
    <hyperlink ref="O18" r:id="rId25"/>
    <hyperlink ref="O23" r:id="rId26"/>
  </hyperlinks>
  <pageMargins left="0.7" right="0.7" top="0.75" bottom="0.75" header="0.3" footer="0.3"/>
  <pageSetup orientation="portrait" r:id="rId27"/>
  <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workbookViewId="0">
      <selection activeCell="H43" sqref="H43"/>
    </sheetView>
  </sheetViews>
  <sheetFormatPr defaultRowHeight="15" x14ac:dyDescent="0.25"/>
  <cols>
    <col min="2" max="2" width="3" bestFit="1" customWidth="1"/>
    <col min="3" max="3" width="16.7109375" bestFit="1" customWidth="1"/>
    <col min="4" max="4" width="31.140625" bestFit="1" customWidth="1"/>
    <col min="5" max="5" width="28.85546875" customWidth="1"/>
    <col min="6" max="6" width="19.710937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7.7109375" bestFit="1" customWidth="1"/>
    <col min="16" max="16" width="21.85546875" bestFit="1" customWidth="1"/>
    <col min="17" max="17" width="22.42578125" bestFit="1" customWidth="1"/>
    <col min="18" max="18" width="8.5703125" bestFit="1" customWidth="1"/>
    <col min="19" max="19" width="25.8554687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2"/>
      <c r="L1" s="72"/>
      <c r="M1" s="72"/>
      <c r="N1" s="72"/>
      <c r="O1" s="72"/>
      <c r="P1" s="72"/>
      <c r="Q1" s="72"/>
      <c r="R1" s="72"/>
      <c r="S1" s="7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155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154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4"/>
    </row>
    <row r="4" spans="1:19" x14ac:dyDescent="0.25">
      <c r="A4" s="1"/>
      <c r="B4" s="22"/>
      <c r="C4" s="32"/>
      <c r="D4" s="13" t="s">
        <v>2</v>
      </c>
      <c r="E4" s="13"/>
      <c r="F4" s="57" t="s">
        <v>154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5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5"/>
    </row>
    <row r="9" spans="1:19" ht="15.75" thickBot="1" x14ac:dyDescent="0.3">
      <c r="A9" s="1"/>
      <c r="B9" s="30" t="s">
        <v>4</v>
      </c>
      <c r="C9" s="30" t="s">
        <v>8</v>
      </c>
      <c r="D9" s="30" t="s">
        <v>17</v>
      </c>
      <c r="E9" s="30" t="s">
        <v>39</v>
      </c>
      <c r="F9" s="30" t="s">
        <v>62</v>
      </c>
      <c r="G9" s="30" t="s">
        <v>70</v>
      </c>
      <c r="H9" s="30" t="s">
        <v>91</v>
      </c>
      <c r="I9" s="30" t="s">
        <v>140</v>
      </c>
      <c r="J9" s="30" t="s">
        <v>102</v>
      </c>
      <c r="K9" s="30" t="s">
        <v>148</v>
      </c>
      <c r="L9" s="30" t="s">
        <v>139</v>
      </c>
      <c r="M9" s="30" t="s">
        <v>201</v>
      </c>
      <c r="N9" s="30" t="s">
        <v>202</v>
      </c>
      <c r="O9" s="30" t="s">
        <v>143</v>
      </c>
      <c r="P9" s="30" t="s">
        <v>203</v>
      </c>
      <c r="Q9" s="30" t="s">
        <v>204</v>
      </c>
      <c r="R9" s="30" t="s">
        <v>146</v>
      </c>
      <c r="S9" s="30" t="s">
        <v>147</v>
      </c>
    </row>
    <row r="10" spans="1:19" s="84" customFormat="1" x14ac:dyDescent="0.25">
      <c r="A10" s="82"/>
      <c r="B10" s="46">
        <f>ROW(B10) - ROW($B$9)</f>
        <v>1</v>
      </c>
      <c r="C10" s="53" t="s">
        <v>9</v>
      </c>
      <c r="D10" s="37" t="s">
        <v>18</v>
      </c>
      <c r="E10" s="37" t="s">
        <v>40</v>
      </c>
      <c r="F10" s="37" t="s">
        <v>63</v>
      </c>
      <c r="G10" s="37" t="s">
        <v>71</v>
      </c>
      <c r="H10" s="37" t="s">
        <v>92</v>
      </c>
      <c r="I10" s="37" t="s">
        <v>151</v>
      </c>
      <c r="J10" s="37" t="s">
        <v>103</v>
      </c>
      <c r="K10" s="37" t="s">
        <v>121</v>
      </c>
      <c r="L10" s="37">
        <v>2</v>
      </c>
      <c r="M10" s="37">
        <f>L10*1000</f>
        <v>2000</v>
      </c>
      <c r="N10" s="37">
        <v>2020</v>
      </c>
      <c r="O10" s="60" t="s">
        <v>152</v>
      </c>
      <c r="P10" s="38">
        <v>2.5399999999999999E-2</v>
      </c>
      <c r="Q10" s="38">
        <f>P10*N10</f>
        <v>51.308</v>
      </c>
      <c r="R10" s="37"/>
      <c r="S10" s="83"/>
    </row>
    <row r="11" spans="1:19" s="84" customFormat="1" x14ac:dyDescent="0.25">
      <c r="A11" s="82"/>
      <c r="B11" s="47">
        <f t="shared" ref="B11:B32" si="0">ROW(B11) - ROW($B$9)</f>
        <v>2</v>
      </c>
      <c r="C11" s="54" t="s">
        <v>9</v>
      </c>
      <c r="D11" s="51" t="s">
        <v>19</v>
      </c>
      <c r="E11" s="51" t="s">
        <v>41</v>
      </c>
      <c r="F11" s="51" t="s">
        <v>63</v>
      </c>
      <c r="G11" s="51" t="s">
        <v>72</v>
      </c>
      <c r="H11" s="51" t="s">
        <v>92</v>
      </c>
      <c r="I11" s="51" t="s">
        <v>151</v>
      </c>
      <c r="J11" s="51" t="s">
        <v>104</v>
      </c>
      <c r="K11" s="51" t="s">
        <v>122</v>
      </c>
      <c r="L11" s="51">
        <v>7</v>
      </c>
      <c r="M11" s="37">
        <f t="shared" ref="M11:M36" si="1">L11*1000</f>
        <v>7000</v>
      </c>
      <c r="N11" s="51">
        <v>7100</v>
      </c>
      <c r="O11" s="60" t="s">
        <v>152</v>
      </c>
      <c r="P11" s="52">
        <v>2.5999999999999999E-3</v>
      </c>
      <c r="Q11" s="52">
        <f t="shared" ref="Q11" si="2">P11*N11</f>
        <v>18.46</v>
      </c>
      <c r="R11" s="51"/>
      <c r="S11" s="51"/>
    </row>
    <row r="12" spans="1:19" s="84" customFormat="1" x14ac:dyDescent="0.25">
      <c r="A12" s="82"/>
      <c r="B12" s="46">
        <f>ROW(B12) - ROW($B$9)</f>
        <v>3</v>
      </c>
      <c r="C12" s="54" t="s">
        <v>9</v>
      </c>
      <c r="D12" s="37" t="s">
        <v>20</v>
      </c>
      <c r="E12" s="37" t="s">
        <v>42</v>
      </c>
      <c r="F12" s="37" t="s">
        <v>63</v>
      </c>
      <c r="G12" s="37" t="s">
        <v>73</v>
      </c>
      <c r="H12" s="37" t="s">
        <v>93</v>
      </c>
      <c r="I12" s="37" t="s">
        <v>151</v>
      </c>
      <c r="J12" s="37" t="s">
        <v>105</v>
      </c>
      <c r="K12" s="37" t="s">
        <v>123</v>
      </c>
      <c r="L12" s="37">
        <v>2</v>
      </c>
      <c r="M12" s="37">
        <f t="shared" si="1"/>
        <v>2000</v>
      </c>
      <c r="N12" s="37">
        <v>2010</v>
      </c>
      <c r="O12" s="60" t="s">
        <v>152</v>
      </c>
      <c r="P12" s="38">
        <v>0.67459999999999998</v>
      </c>
      <c r="Q12" s="38">
        <f>P12*N12</f>
        <v>1355.9459999999999</v>
      </c>
      <c r="R12" s="37"/>
      <c r="S12" s="59"/>
    </row>
    <row r="13" spans="1:19" s="84" customFormat="1" x14ac:dyDescent="0.25">
      <c r="A13" s="82"/>
      <c r="B13" s="47">
        <f t="shared" si="0"/>
        <v>4</v>
      </c>
      <c r="C13" s="54" t="s">
        <v>9</v>
      </c>
      <c r="D13" s="51" t="s">
        <v>21</v>
      </c>
      <c r="E13" s="51" t="s">
        <v>43</v>
      </c>
      <c r="F13" s="51" t="s">
        <v>63</v>
      </c>
      <c r="G13" s="51" t="s">
        <v>74</v>
      </c>
      <c r="H13" s="51" t="s">
        <v>94</v>
      </c>
      <c r="I13" s="51" t="s">
        <v>151</v>
      </c>
      <c r="J13" s="51" t="s">
        <v>106</v>
      </c>
      <c r="K13" s="51" t="s">
        <v>124</v>
      </c>
      <c r="L13" s="51">
        <v>2</v>
      </c>
      <c r="M13" s="37">
        <f t="shared" si="1"/>
        <v>2000</v>
      </c>
      <c r="N13" s="51">
        <v>2100</v>
      </c>
      <c r="O13" s="60" t="s">
        <v>152</v>
      </c>
      <c r="P13" s="52">
        <v>2.2000000000000001E-3</v>
      </c>
      <c r="Q13" s="52">
        <f t="shared" ref="Q13" si="3">P13*N13</f>
        <v>4.62</v>
      </c>
      <c r="R13" s="51"/>
      <c r="S13" s="59"/>
    </row>
    <row r="14" spans="1:19" s="84" customFormat="1" x14ac:dyDescent="0.25">
      <c r="A14" s="82"/>
      <c r="B14" s="46">
        <f>ROW(B14) - ROW($B$9)</f>
        <v>5</v>
      </c>
      <c r="C14" s="53" t="s">
        <v>9</v>
      </c>
      <c r="D14" s="37" t="s">
        <v>22</v>
      </c>
      <c r="E14" s="37" t="s">
        <v>44</v>
      </c>
      <c r="F14" s="37" t="s">
        <v>63</v>
      </c>
      <c r="G14" s="62" t="s">
        <v>75</v>
      </c>
      <c r="H14" s="37" t="s">
        <v>93</v>
      </c>
      <c r="I14" s="37"/>
      <c r="J14" s="37" t="s">
        <v>161</v>
      </c>
      <c r="K14" s="37" t="s">
        <v>125</v>
      </c>
      <c r="L14" s="37">
        <v>1</v>
      </c>
      <c r="M14" s="37">
        <f t="shared" si="1"/>
        <v>1000</v>
      </c>
      <c r="N14" s="37">
        <v>1050</v>
      </c>
      <c r="O14" s="60" t="s">
        <v>152</v>
      </c>
      <c r="P14" s="38">
        <v>1.2699999999999999E-2</v>
      </c>
      <c r="Q14" s="38">
        <f>P14*N14</f>
        <v>13.334999999999999</v>
      </c>
      <c r="R14" s="37"/>
      <c r="S14" s="59"/>
    </row>
    <row r="15" spans="1:19" s="84" customFormat="1" x14ac:dyDescent="0.25">
      <c r="A15" s="82"/>
      <c r="B15" s="47">
        <f t="shared" si="0"/>
        <v>6</v>
      </c>
      <c r="C15" s="54" t="s">
        <v>9</v>
      </c>
      <c r="D15" s="51" t="s">
        <v>23</v>
      </c>
      <c r="E15" s="51" t="s">
        <v>45</v>
      </c>
      <c r="F15" s="51" t="s">
        <v>63</v>
      </c>
      <c r="G15" s="51" t="s">
        <v>76</v>
      </c>
      <c r="H15" s="51" t="s">
        <v>92</v>
      </c>
      <c r="I15" s="51" t="s">
        <v>151</v>
      </c>
      <c r="J15" s="51" t="s">
        <v>107</v>
      </c>
      <c r="K15" s="51" t="s">
        <v>126</v>
      </c>
      <c r="L15" s="51">
        <v>2</v>
      </c>
      <c r="M15" s="37">
        <f t="shared" si="1"/>
        <v>2000</v>
      </c>
      <c r="N15" s="51">
        <v>2100</v>
      </c>
      <c r="O15" s="60" t="s">
        <v>152</v>
      </c>
      <c r="P15" s="52">
        <v>5.5999999999999999E-3</v>
      </c>
      <c r="Q15" s="52">
        <f t="shared" ref="Q15" si="4">P15*N15</f>
        <v>11.76</v>
      </c>
      <c r="R15" s="51"/>
      <c r="S15" s="59"/>
    </row>
    <row r="16" spans="1:19" s="84" customFormat="1" x14ac:dyDescent="0.25">
      <c r="A16" s="82"/>
      <c r="B16" s="46">
        <f>ROW(B16) - ROW($B$9)</f>
        <v>7</v>
      </c>
      <c r="C16" s="54" t="s">
        <v>9</v>
      </c>
      <c r="D16" s="37" t="s">
        <v>24</v>
      </c>
      <c r="E16" s="37" t="s">
        <v>46</v>
      </c>
      <c r="F16" s="37" t="s">
        <v>63</v>
      </c>
      <c r="G16" s="37" t="s">
        <v>77</v>
      </c>
      <c r="H16" s="37" t="s">
        <v>93</v>
      </c>
      <c r="I16" s="37" t="s">
        <v>151</v>
      </c>
      <c r="J16" s="37" t="s">
        <v>108</v>
      </c>
      <c r="K16" s="37" t="s">
        <v>127</v>
      </c>
      <c r="L16" s="37">
        <v>1</v>
      </c>
      <c r="M16" s="37">
        <f t="shared" si="1"/>
        <v>1000</v>
      </c>
      <c r="N16" s="37">
        <v>1010</v>
      </c>
      <c r="O16" s="60" t="s">
        <v>152</v>
      </c>
      <c r="P16" s="38">
        <v>2.9000000000000001E-2</v>
      </c>
      <c r="Q16" s="38">
        <f>P16*N16</f>
        <v>29.290000000000003</v>
      </c>
      <c r="R16" s="37"/>
      <c r="S16" s="59"/>
    </row>
    <row r="17" spans="1:19" s="84" customFormat="1" x14ac:dyDescent="0.25">
      <c r="A17" s="82"/>
      <c r="B17" s="47">
        <f t="shared" si="0"/>
        <v>8</v>
      </c>
      <c r="C17" s="54" t="s">
        <v>9</v>
      </c>
      <c r="D17" s="51" t="s">
        <v>25</v>
      </c>
      <c r="E17" s="51" t="s">
        <v>47</v>
      </c>
      <c r="F17" s="51" t="s">
        <v>63</v>
      </c>
      <c r="G17" s="62" t="s">
        <v>78</v>
      </c>
      <c r="H17" s="51" t="s">
        <v>95</v>
      </c>
      <c r="I17" s="51" t="s">
        <v>162</v>
      </c>
      <c r="J17" s="51" t="s">
        <v>163</v>
      </c>
      <c r="K17" s="51" t="s">
        <v>128</v>
      </c>
      <c r="L17" s="51">
        <v>2</v>
      </c>
      <c r="M17" s="37">
        <f t="shared" si="1"/>
        <v>2000</v>
      </c>
      <c r="N17" s="51">
        <v>2100</v>
      </c>
      <c r="O17" s="60" t="s">
        <v>152</v>
      </c>
      <c r="P17" s="52">
        <v>4.7000000000000002E-3</v>
      </c>
      <c r="Q17" s="52">
        <f t="shared" ref="Q17" si="5">P17*N17</f>
        <v>9.870000000000001</v>
      </c>
      <c r="R17" s="51"/>
      <c r="S17" s="59"/>
    </row>
    <row r="18" spans="1:19" s="84" customFormat="1" ht="24" x14ac:dyDescent="0.25">
      <c r="A18" s="82"/>
      <c r="B18" s="46">
        <f>ROW(B18) - ROW($B$9)</f>
        <v>9</v>
      </c>
      <c r="C18" s="53" t="s">
        <v>15</v>
      </c>
      <c r="D18" s="37" t="s">
        <v>181</v>
      </c>
      <c r="E18" s="37" t="s">
        <v>182</v>
      </c>
      <c r="F18" s="37" t="s">
        <v>66</v>
      </c>
      <c r="G18" s="37" t="s">
        <v>183</v>
      </c>
      <c r="H18" s="37" t="s">
        <v>100</v>
      </c>
      <c r="I18" s="37" t="s">
        <v>151</v>
      </c>
      <c r="J18" s="37" t="s">
        <v>184</v>
      </c>
      <c r="K18" s="37"/>
      <c r="L18" s="37">
        <v>2</v>
      </c>
      <c r="M18" s="37">
        <f t="shared" si="1"/>
        <v>2000</v>
      </c>
      <c r="N18" s="37">
        <v>2010</v>
      </c>
      <c r="O18" s="68" t="s">
        <v>152</v>
      </c>
      <c r="P18" s="38">
        <v>8.4699999999999998E-2</v>
      </c>
      <c r="Q18" s="38">
        <f>P18*N18</f>
        <v>170.24699999999999</v>
      </c>
      <c r="R18" s="37"/>
      <c r="S18" s="59"/>
    </row>
    <row r="19" spans="1:19" s="84" customFormat="1" x14ac:dyDescent="0.25">
      <c r="A19" s="82"/>
      <c r="B19" s="46">
        <f>ROW(B19) - ROW($B$9)</f>
        <v>10</v>
      </c>
      <c r="C19" s="53" t="s">
        <v>10</v>
      </c>
      <c r="D19" s="37" t="s">
        <v>26</v>
      </c>
      <c r="E19" s="37" t="s">
        <v>48</v>
      </c>
      <c r="F19" s="37" t="s">
        <v>64</v>
      </c>
      <c r="G19" s="37" t="s">
        <v>79</v>
      </c>
      <c r="H19" s="37" t="s">
        <v>96</v>
      </c>
      <c r="I19" s="37" t="s">
        <v>151</v>
      </c>
      <c r="J19" s="37" t="s">
        <v>109</v>
      </c>
      <c r="K19" s="37" t="s">
        <v>151</v>
      </c>
      <c r="L19" s="37">
        <v>2</v>
      </c>
      <c r="M19" s="37">
        <f t="shared" si="1"/>
        <v>2000</v>
      </c>
      <c r="N19" s="37">
        <v>2100</v>
      </c>
      <c r="O19" s="60" t="s">
        <v>152</v>
      </c>
      <c r="P19" s="38">
        <v>9.6699999999999994E-2</v>
      </c>
      <c r="Q19" s="38">
        <f>P19*N19</f>
        <v>203.07</v>
      </c>
      <c r="R19" s="37"/>
      <c r="S19" s="59"/>
    </row>
    <row r="20" spans="1:19" s="84" customFormat="1" x14ac:dyDescent="0.25">
      <c r="A20" s="82"/>
      <c r="B20" s="47">
        <f t="shared" si="0"/>
        <v>11</v>
      </c>
      <c r="C20" s="54" t="s">
        <v>11</v>
      </c>
      <c r="D20" s="51" t="s">
        <v>27</v>
      </c>
      <c r="E20" s="51" t="s">
        <v>164</v>
      </c>
      <c r="F20" s="51" t="s">
        <v>149</v>
      </c>
      <c r="G20" s="51" t="s">
        <v>165</v>
      </c>
      <c r="H20" s="51" t="s">
        <v>166</v>
      </c>
      <c r="I20" s="51" t="s">
        <v>151</v>
      </c>
      <c r="J20" s="51" t="s">
        <v>151</v>
      </c>
      <c r="K20" s="37" t="s">
        <v>151</v>
      </c>
      <c r="L20" s="51">
        <v>1</v>
      </c>
      <c r="M20" s="37">
        <f t="shared" si="1"/>
        <v>1000</v>
      </c>
      <c r="N20" s="51">
        <v>1001</v>
      </c>
      <c r="O20" s="60" t="s">
        <v>167</v>
      </c>
      <c r="P20" s="52">
        <v>1.99</v>
      </c>
      <c r="Q20" s="52">
        <f t="shared" ref="Q20" si="6">P20*N20</f>
        <v>1991.99</v>
      </c>
      <c r="R20" s="51"/>
      <c r="S20" s="59"/>
    </row>
    <row r="21" spans="1:19" s="84" customFormat="1" ht="24" x14ac:dyDescent="0.25">
      <c r="A21" s="82"/>
      <c r="B21" s="46">
        <f>ROW(B21) - ROW($B$9)</f>
        <v>12</v>
      </c>
      <c r="C21" s="53" t="s">
        <v>150</v>
      </c>
      <c r="D21" s="62" t="s">
        <v>156</v>
      </c>
      <c r="E21" s="62" t="s">
        <v>49</v>
      </c>
      <c r="F21" s="62" t="s">
        <v>149</v>
      </c>
      <c r="G21" s="62" t="s">
        <v>151</v>
      </c>
      <c r="H21" s="62" t="s">
        <v>151</v>
      </c>
      <c r="I21" s="62" t="s">
        <v>151</v>
      </c>
      <c r="J21" s="62" t="s">
        <v>151</v>
      </c>
      <c r="K21" s="37" t="s">
        <v>151</v>
      </c>
      <c r="L21" s="62">
        <v>1</v>
      </c>
      <c r="M21" s="37">
        <f t="shared" si="1"/>
        <v>1000</v>
      </c>
      <c r="N21" s="62" t="s">
        <v>151</v>
      </c>
      <c r="O21" s="62" t="s">
        <v>151</v>
      </c>
      <c r="P21" s="62" t="s">
        <v>151</v>
      </c>
      <c r="Q21" s="62" t="s">
        <v>151</v>
      </c>
      <c r="R21" s="61" t="s">
        <v>153</v>
      </c>
      <c r="S21" s="59"/>
    </row>
    <row r="22" spans="1:19" s="84" customFormat="1" ht="60" x14ac:dyDescent="0.25">
      <c r="A22" s="82"/>
      <c r="B22" s="47">
        <f t="shared" si="0"/>
        <v>13</v>
      </c>
      <c r="C22" s="54" t="s">
        <v>12</v>
      </c>
      <c r="D22" s="51" t="s">
        <v>28</v>
      </c>
      <c r="E22" s="51" t="s">
        <v>50</v>
      </c>
      <c r="F22" s="51" t="s">
        <v>65</v>
      </c>
      <c r="G22" s="51" t="s">
        <v>80</v>
      </c>
      <c r="H22" s="51" t="s">
        <v>97</v>
      </c>
      <c r="I22" s="51" t="s">
        <v>151</v>
      </c>
      <c r="J22" s="51" t="s">
        <v>110</v>
      </c>
      <c r="K22" s="37" t="s">
        <v>151</v>
      </c>
      <c r="L22" s="51">
        <v>1</v>
      </c>
      <c r="M22" s="37">
        <f t="shared" si="1"/>
        <v>1000</v>
      </c>
      <c r="N22" s="51">
        <v>1020</v>
      </c>
      <c r="O22" s="60" t="s">
        <v>152</v>
      </c>
      <c r="P22" s="52">
        <v>2.35E-2</v>
      </c>
      <c r="Q22" s="52">
        <f t="shared" ref="Q22" si="7">P22*N22</f>
        <v>23.97</v>
      </c>
      <c r="R22" s="51"/>
      <c r="S22" s="59"/>
    </row>
    <row r="23" spans="1:19" s="84" customFormat="1" ht="36" x14ac:dyDescent="0.25">
      <c r="A23" s="82"/>
      <c r="B23" s="46">
        <f>ROW(B23) - ROW($B$9)</f>
        <v>14</v>
      </c>
      <c r="C23" s="54" t="s">
        <v>12</v>
      </c>
      <c r="D23" s="37" t="s">
        <v>29</v>
      </c>
      <c r="E23" s="37" t="s">
        <v>51</v>
      </c>
      <c r="F23" s="37" t="s">
        <v>66</v>
      </c>
      <c r="G23" s="37" t="s">
        <v>81</v>
      </c>
      <c r="H23" s="37" t="s">
        <v>98</v>
      </c>
      <c r="I23" s="37" t="s">
        <v>151</v>
      </c>
      <c r="J23" s="37" t="s">
        <v>205</v>
      </c>
      <c r="K23" s="37" t="s">
        <v>151</v>
      </c>
      <c r="L23" s="37">
        <v>1</v>
      </c>
      <c r="M23" s="37">
        <f t="shared" si="1"/>
        <v>1000</v>
      </c>
      <c r="N23" s="37">
        <v>1010</v>
      </c>
      <c r="O23" s="60" t="s">
        <v>152</v>
      </c>
      <c r="P23" s="38">
        <v>4.3200000000000002E-2</v>
      </c>
      <c r="Q23" s="38">
        <f>P23*N23</f>
        <v>43.632000000000005</v>
      </c>
      <c r="R23" s="37"/>
      <c r="S23" s="59"/>
    </row>
    <row r="24" spans="1:19" s="84" customFormat="1" x14ac:dyDescent="0.25">
      <c r="A24" s="82"/>
      <c r="B24" s="47">
        <f t="shared" si="0"/>
        <v>15</v>
      </c>
      <c r="C24" s="54" t="s">
        <v>13</v>
      </c>
      <c r="D24" s="51" t="s">
        <v>30</v>
      </c>
      <c r="E24" s="51" t="s">
        <v>52</v>
      </c>
      <c r="F24" s="51" t="s">
        <v>67</v>
      </c>
      <c r="G24" s="51" t="s">
        <v>82</v>
      </c>
      <c r="H24" s="51" t="s">
        <v>92</v>
      </c>
      <c r="I24" s="51" t="s">
        <v>151</v>
      </c>
      <c r="J24" s="51" t="s">
        <v>111</v>
      </c>
      <c r="K24" s="51" t="s">
        <v>129</v>
      </c>
      <c r="L24" s="51">
        <v>1</v>
      </c>
      <c r="M24" s="37">
        <f t="shared" si="1"/>
        <v>1000</v>
      </c>
      <c r="N24" s="51">
        <v>1100</v>
      </c>
      <c r="O24" s="60" t="s">
        <v>152</v>
      </c>
      <c r="P24" s="52">
        <v>1E-3</v>
      </c>
      <c r="Q24" s="52">
        <f t="shared" ref="Q24" si="8">P24*N24</f>
        <v>1.1000000000000001</v>
      </c>
      <c r="R24" s="51"/>
      <c r="S24" s="59"/>
    </row>
    <row r="25" spans="1:19" s="84" customFormat="1" ht="24" x14ac:dyDescent="0.25">
      <c r="A25" s="82"/>
      <c r="B25" s="46">
        <f>ROW(B25) - ROW($B$9)</f>
        <v>16</v>
      </c>
      <c r="C25" s="53" t="s">
        <v>13</v>
      </c>
      <c r="D25" s="37" t="s">
        <v>168</v>
      </c>
      <c r="E25" s="37" t="s">
        <v>157</v>
      </c>
      <c r="F25" s="37" t="s">
        <v>158</v>
      </c>
      <c r="G25" s="37" t="s">
        <v>159</v>
      </c>
      <c r="H25" s="37" t="s">
        <v>92</v>
      </c>
      <c r="I25" s="37" t="s">
        <v>151</v>
      </c>
      <c r="J25" s="37" t="s">
        <v>160</v>
      </c>
      <c r="K25" s="37" t="s">
        <v>130</v>
      </c>
      <c r="L25" s="37">
        <v>12</v>
      </c>
      <c r="M25" s="37">
        <f t="shared" si="1"/>
        <v>12000</v>
      </c>
      <c r="N25" s="37">
        <v>12100</v>
      </c>
      <c r="O25" s="60" t="s">
        <v>152</v>
      </c>
      <c r="P25" s="52">
        <v>5.0000000000000001E-4</v>
      </c>
      <c r="Q25" s="38">
        <f>P25*N25</f>
        <v>6.05</v>
      </c>
      <c r="R25" s="37"/>
      <c r="S25" s="59"/>
    </row>
    <row r="26" spans="1:19" s="84" customFormat="1" x14ac:dyDescent="0.25">
      <c r="A26" s="82"/>
      <c r="B26" s="47">
        <f t="shared" si="0"/>
        <v>17</v>
      </c>
      <c r="C26" s="54" t="s">
        <v>13</v>
      </c>
      <c r="D26" s="51" t="s">
        <v>169</v>
      </c>
      <c r="E26" s="51" t="s">
        <v>53</v>
      </c>
      <c r="F26" s="51" t="s">
        <v>67</v>
      </c>
      <c r="G26" s="51" t="s">
        <v>83</v>
      </c>
      <c r="H26" s="51" t="s">
        <v>92</v>
      </c>
      <c r="I26" s="51" t="s">
        <v>151</v>
      </c>
      <c r="J26" s="51" t="s">
        <v>112</v>
      </c>
      <c r="K26" s="51" t="s">
        <v>131</v>
      </c>
      <c r="L26" s="51">
        <v>3</v>
      </c>
      <c r="M26" s="37">
        <f t="shared" si="1"/>
        <v>3000</v>
      </c>
      <c r="N26" s="51">
        <v>3100</v>
      </c>
      <c r="O26" s="60" t="s">
        <v>152</v>
      </c>
      <c r="P26" s="52">
        <v>1E-3</v>
      </c>
      <c r="Q26" s="52">
        <f t="shared" ref="Q26" si="9">P26*N26</f>
        <v>3.1</v>
      </c>
      <c r="R26" s="51"/>
      <c r="S26" s="59"/>
    </row>
    <row r="27" spans="1:19" s="84" customFormat="1" x14ac:dyDescent="0.25">
      <c r="A27" s="82"/>
      <c r="B27" s="46">
        <f>ROW(B27) - ROW($B$9)</f>
        <v>18</v>
      </c>
      <c r="C27" s="53" t="s">
        <v>13</v>
      </c>
      <c r="D27" s="37" t="s">
        <v>31</v>
      </c>
      <c r="E27" s="37" t="s">
        <v>54</v>
      </c>
      <c r="F27" s="37" t="s">
        <v>67</v>
      </c>
      <c r="G27" s="37" t="s">
        <v>84</v>
      </c>
      <c r="H27" s="37" t="s">
        <v>92</v>
      </c>
      <c r="I27" s="37" t="s">
        <v>151</v>
      </c>
      <c r="J27" s="37" t="s">
        <v>113</v>
      </c>
      <c r="K27" s="37" t="s">
        <v>132</v>
      </c>
      <c r="L27" s="37">
        <v>4</v>
      </c>
      <c r="M27" s="37">
        <f t="shared" si="1"/>
        <v>4000</v>
      </c>
      <c r="N27" s="37">
        <v>4100</v>
      </c>
      <c r="O27" s="60" t="s">
        <v>152</v>
      </c>
      <c r="P27" s="38">
        <v>1E-3</v>
      </c>
      <c r="Q27" s="38">
        <f>P27*N27</f>
        <v>4.0999999999999996</v>
      </c>
      <c r="R27" s="37"/>
      <c r="S27" s="59"/>
    </row>
    <row r="28" spans="1:19" s="84" customFormat="1" x14ac:dyDescent="0.25">
      <c r="A28" s="82"/>
      <c r="B28" s="47">
        <f t="shared" si="0"/>
        <v>19</v>
      </c>
      <c r="C28" s="54" t="s">
        <v>13</v>
      </c>
      <c r="D28" s="51" t="s">
        <v>32</v>
      </c>
      <c r="E28" s="51" t="s">
        <v>55</v>
      </c>
      <c r="F28" s="51" t="s">
        <v>67</v>
      </c>
      <c r="G28" s="51" t="s">
        <v>85</v>
      </c>
      <c r="H28" s="51" t="s">
        <v>92</v>
      </c>
      <c r="I28" s="51" t="s">
        <v>151</v>
      </c>
      <c r="J28" s="51" t="s">
        <v>114</v>
      </c>
      <c r="K28" s="51" t="s">
        <v>133</v>
      </c>
      <c r="L28" s="51">
        <v>1</v>
      </c>
      <c r="M28" s="37">
        <f t="shared" si="1"/>
        <v>1000</v>
      </c>
      <c r="N28" s="51">
        <v>1100</v>
      </c>
      <c r="O28" s="60" t="s">
        <v>152</v>
      </c>
      <c r="P28" s="52">
        <v>2.3999999999999998E-3</v>
      </c>
      <c r="Q28" s="52">
        <f t="shared" ref="Q28" si="10">P28*N28</f>
        <v>2.6399999999999997</v>
      </c>
      <c r="R28" s="51"/>
      <c r="S28" s="59"/>
    </row>
    <row r="29" spans="1:19" s="84" customFormat="1" x14ac:dyDescent="0.25">
      <c r="A29" s="82"/>
      <c r="B29" s="46">
        <f>ROW(B29) - ROW($B$9)</f>
        <v>20</v>
      </c>
      <c r="C29" s="53" t="s">
        <v>13</v>
      </c>
      <c r="D29" s="37" t="s">
        <v>33</v>
      </c>
      <c r="E29" s="37" t="s">
        <v>56</v>
      </c>
      <c r="F29" s="37" t="s">
        <v>67</v>
      </c>
      <c r="G29" s="37" t="s">
        <v>86</v>
      </c>
      <c r="H29" s="37" t="s">
        <v>92</v>
      </c>
      <c r="I29" s="37" t="s">
        <v>151</v>
      </c>
      <c r="J29" s="37" t="s">
        <v>115</v>
      </c>
      <c r="K29" s="37" t="s">
        <v>134</v>
      </c>
      <c r="L29" s="37">
        <v>4</v>
      </c>
      <c r="M29" s="37">
        <f t="shared" si="1"/>
        <v>4000</v>
      </c>
      <c r="N29" s="37">
        <v>4100</v>
      </c>
      <c r="O29" s="60" t="s">
        <v>152</v>
      </c>
      <c r="P29" s="38">
        <v>1E-3</v>
      </c>
      <c r="Q29" s="38">
        <f>P29*N29</f>
        <v>4.0999999999999996</v>
      </c>
      <c r="R29" s="37"/>
      <c r="S29" s="59"/>
    </row>
    <row r="30" spans="1:19" s="84" customFormat="1" x14ac:dyDescent="0.25">
      <c r="A30" s="82"/>
      <c r="B30" s="47">
        <f t="shared" si="0"/>
        <v>21</v>
      </c>
      <c r="C30" s="54" t="s">
        <v>13</v>
      </c>
      <c r="D30" s="51" t="s">
        <v>34</v>
      </c>
      <c r="E30" s="51" t="s">
        <v>57</v>
      </c>
      <c r="F30" s="51" t="s">
        <v>67</v>
      </c>
      <c r="G30" s="51" t="s">
        <v>87</v>
      </c>
      <c r="H30" s="51" t="s">
        <v>92</v>
      </c>
      <c r="I30" s="51" t="s">
        <v>151</v>
      </c>
      <c r="J30" s="51" t="s">
        <v>116</v>
      </c>
      <c r="K30" s="51" t="s">
        <v>135</v>
      </c>
      <c r="L30" s="51">
        <v>2</v>
      </c>
      <c r="M30" s="37">
        <f t="shared" si="1"/>
        <v>2000</v>
      </c>
      <c r="N30" s="51">
        <v>2100</v>
      </c>
      <c r="O30" s="60" t="s">
        <v>152</v>
      </c>
      <c r="P30" s="52">
        <v>8.0000000000000004E-4</v>
      </c>
      <c r="Q30" s="52">
        <f t="shared" ref="Q30" si="11">P30*N30</f>
        <v>1.6800000000000002</v>
      </c>
      <c r="R30" s="51"/>
      <c r="S30" s="59"/>
    </row>
    <row r="31" spans="1:19" s="71" customFormat="1" x14ac:dyDescent="0.25">
      <c r="A31" s="63"/>
      <c r="B31" s="85">
        <f>ROW(B31) - ROW($B$9)</f>
        <v>22</v>
      </c>
      <c r="C31" s="65" t="s">
        <v>13</v>
      </c>
      <c r="D31" s="67" t="s">
        <v>35</v>
      </c>
      <c r="E31" s="67" t="s">
        <v>58</v>
      </c>
      <c r="F31" s="67" t="s">
        <v>67</v>
      </c>
      <c r="G31" s="67" t="s">
        <v>88</v>
      </c>
      <c r="H31" s="67" t="s">
        <v>92</v>
      </c>
      <c r="I31" s="66" t="s">
        <v>151</v>
      </c>
      <c r="J31" s="67" t="s">
        <v>117</v>
      </c>
      <c r="K31" s="67" t="s">
        <v>136</v>
      </c>
      <c r="L31" s="67">
        <v>1</v>
      </c>
      <c r="M31" s="67">
        <f t="shared" si="1"/>
        <v>1000</v>
      </c>
      <c r="N31" s="67">
        <v>1100</v>
      </c>
      <c r="O31" s="68" t="s">
        <v>152</v>
      </c>
      <c r="P31" s="87">
        <v>1E-3</v>
      </c>
      <c r="Q31" s="87">
        <f>P31*N31</f>
        <v>1.1000000000000001</v>
      </c>
      <c r="R31" s="67"/>
      <c r="S31" s="70"/>
    </row>
    <row r="32" spans="1:19" s="71" customFormat="1" x14ac:dyDescent="0.25">
      <c r="A32" s="63"/>
      <c r="B32" s="64">
        <f t="shared" si="0"/>
        <v>23</v>
      </c>
      <c r="C32" s="65" t="s">
        <v>13</v>
      </c>
      <c r="D32" s="66" t="s">
        <v>36</v>
      </c>
      <c r="E32" s="66" t="s">
        <v>59</v>
      </c>
      <c r="F32" s="66" t="s">
        <v>67</v>
      </c>
      <c r="G32" s="66" t="s">
        <v>89</v>
      </c>
      <c r="H32" s="66" t="s">
        <v>92</v>
      </c>
      <c r="I32" s="67" t="s">
        <v>151</v>
      </c>
      <c r="J32" s="66" t="s">
        <v>118</v>
      </c>
      <c r="K32" s="66" t="s">
        <v>137</v>
      </c>
      <c r="L32" s="66">
        <v>1</v>
      </c>
      <c r="M32" s="67">
        <f t="shared" si="1"/>
        <v>1000</v>
      </c>
      <c r="N32" s="66">
        <v>1100</v>
      </c>
      <c r="O32" s="68" t="s">
        <v>152</v>
      </c>
      <c r="P32" s="69">
        <v>1E-3</v>
      </c>
      <c r="Q32" s="69">
        <f t="shared" ref="Q32" si="12">P32*N32</f>
        <v>1.1000000000000001</v>
      </c>
      <c r="R32" s="66"/>
      <c r="S32" s="70"/>
    </row>
    <row r="33" spans="1:19" s="84" customFormat="1" x14ac:dyDescent="0.25">
      <c r="A33" s="82"/>
      <c r="B33" s="46">
        <f>ROW(B33) - ROW($B$9)</f>
        <v>24</v>
      </c>
      <c r="C33" s="53" t="s">
        <v>13</v>
      </c>
      <c r="D33" s="37" t="s">
        <v>170</v>
      </c>
      <c r="E33" s="37" t="s">
        <v>171</v>
      </c>
      <c r="F33" s="37" t="s">
        <v>172</v>
      </c>
      <c r="G33" s="37" t="s">
        <v>173</v>
      </c>
      <c r="H33" s="37" t="s">
        <v>92</v>
      </c>
      <c r="I33" s="37" t="s">
        <v>151</v>
      </c>
      <c r="J33" s="37" t="s">
        <v>174</v>
      </c>
      <c r="K33" s="37" t="s">
        <v>175</v>
      </c>
      <c r="L33" s="37">
        <v>1</v>
      </c>
      <c r="M33" s="37">
        <f t="shared" si="1"/>
        <v>1000</v>
      </c>
      <c r="N33" s="37">
        <v>1100</v>
      </c>
      <c r="O33" s="60" t="s">
        <v>152</v>
      </c>
      <c r="P33" s="38">
        <v>5.0000000000000001E-4</v>
      </c>
      <c r="Q33" s="38">
        <f>P33*N33</f>
        <v>0.55000000000000004</v>
      </c>
      <c r="R33" s="37"/>
      <c r="S33" s="59"/>
    </row>
    <row r="34" spans="1:19" s="84" customFormat="1" x14ac:dyDescent="0.25">
      <c r="A34" s="82"/>
      <c r="B34" s="46">
        <f>ROW(B34) - ROW($B$9)</f>
        <v>25</v>
      </c>
      <c r="C34" s="53" t="s">
        <v>14</v>
      </c>
      <c r="D34" s="37" t="s">
        <v>37</v>
      </c>
      <c r="E34" s="37" t="s">
        <v>60</v>
      </c>
      <c r="F34" s="37" t="s">
        <v>68</v>
      </c>
      <c r="G34" s="37" t="s">
        <v>90</v>
      </c>
      <c r="H34" s="37" t="s">
        <v>99</v>
      </c>
      <c r="I34" s="51" t="s">
        <v>151</v>
      </c>
      <c r="J34" s="37" t="s">
        <v>119</v>
      </c>
      <c r="K34" s="37" t="s">
        <v>151</v>
      </c>
      <c r="L34" s="37">
        <v>1</v>
      </c>
      <c r="M34" s="37">
        <f t="shared" si="1"/>
        <v>1000</v>
      </c>
      <c r="N34" s="37">
        <v>1002</v>
      </c>
      <c r="O34" s="60" t="s">
        <v>152</v>
      </c>
      <c r="P34" s="87">
        <v>1.9155</v>
      </c>
      <c r="Q34" s="38">
        <f>P34*N34</f>
        <v>1919.3309999999999</v>
      </c>
      <c r="R34" s="37"/>
      <c r="S34" s="59"/>
    </row>
    <row r="35" spans="1:19" s="84" customFormat="1" ht="15.75" thickBot="1" x14ac:dyDescent="0.3">
      <c r="A35" s="82"/>
      <c r="B35" s="46">
        <f>ROW(B35) - ROW($B$9)</f>
        <v>26</v>
      </c>
      <c r="C35" s="53" t="s">
        <v>16</v>
      </c>
      <c r="D35" s="37" t="s">
        <v>38</v>
      </c>
      <c r="E35" s="37" t="s">
        <v>61</v>
      </c>
      <c r="F35" s="37" t="s">
        <v>149</v>
      </c>
      <c r="G35" s="37" t="s">
        <v>69</v>
      </c>
      <c r="H35" s="37" t="s">
        <v>101</v>
      </c>
      <c r="I35" s="51" t="s">
        <v>151</v>
      </c>
      <c r="J35" s="37" t="s">
        <v>120</v>
      </c>
      <c r="K35" s="37" t="s">
        <v>138</v>
      </c>
      <c r="L35" s="37">
        <v>1</v>
      </c>
      <c r="M35" s="37">
        <f t="shared" si="1"/>
        <v>1000</v>
      </c>
      <c r="N35" s="37">
        <v>1002</v>
      </c>
      <c r="O35" s="60" t="s">
        <v>152</v>
      </c>
      <c r="P35" s="38">
        <v>0.1381</v>
      </c>
      <c r="Q35" s="38">
        <f>P35*N35</f>
        <v>138.37620000000001</v>
      </c>
      <c r="R35" s="37"/>
      <c r="S35" s="39"/>
    </row>
    <row r="36" spans="1:19" s="84" customFormat="1" ht="15.75" thickBot="1" x14ac:dyDescent="0.3">
      <c r="A36" s="82"/>
      <c r="B36" s="46">
        <f>ROW(B36) - ROW($B$9)</f>
        <v>27</v>
      </c>
      <c r="C36" s="53" t="s">
        <v>176</v>
      </c>
      <c r="D36" s="37" t="s">
        <v>151</v>
      </c>
      <c r="E36" s="37" t="s">
        <v>180</v>
      </c>
      <c r="F36" s="37" t="s">
        <v>151</v>
      </c>
      <c r="G36" s="37" t="s">
        <v>177</v>
      </c>
      <c r="H36" s="37" t="s">
        <v>179</v>
      </c>
      <c r="I36" s="51" t="s">
        <v>151</v>
      </c>
      <c r="J36" s="37" t="s">
        <v>178</v>
      </c>
      <c r="K36" s="37" t="s">
        <v>151</v>
      </c>
      <c r="L36" s="37">
        <v>1</v>
      </c>
      <c r="M36" s="37">
        <f t="shared" si="1"/>
        <v>1000</v>
      </c>
      <c r="N36" s="37">
        <v>1002</v>
      </c>
      <c r="O36" s="60" t="s">
        <v>152</v>
      </c>
      <c r="P36" s="38">
        <v>1.2712000000000001</v>
      </c>
      <c r="Q36" s="38">
        <f>P36*N36</f>
        <v>1273.7424000000001</v>
      </c>
      <c r="R36" s="37"/>
      <c r="S36" s="39"/>
    </row>
    <row r="37" spans="1:19" ht="19.5" thickBot="1" x14ac:dyDescent="0.3">
      <c r="A37" s="1"/>
      <c r="B37" s="40"/>
      <c r="C37" s="41"/>
      <c r="D37" s="42"/>
      <c r="E37" s="43"/>
      <c r="F37" s="44"/>
      <c r="G37" s="45"/>
      <c r="H37" s="44"/>
      <c r="I37" s="45"/>
      <c r="J37" s="44"/>
      <c r="K37" s="45"/>
      <c r="L37" s="45"/>
      <c r="M37" s="45"/>
      <c r="N37" s="80" t="s">
        <v>5</v>
      </c>
      <c r="O37" s="81"/>
      <c r="P37" s="81"/>
      <c r="Q37" s="48">
        <f>SUM(Q10:Q36)</f>
        <v>7284.467599999999</v>
      </c>
      <c r="R37" s="76"/>
      <c r="S37" s="77"/>
    </row>
    <row r="38" spans="1:19" ht="19.5" thickBot="1" x14ac:dyDescent="0.3">
      <c r="A38" s="1"/>
      <c r="B38" s="25"/>
      <c r="C38" s="36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80" t="s">
        <v>6</v>
      </c>
      <c r="O38" s="81"/>
      <c r="P38" s="81"/>
      <c r="Q38" s="49">
        <f>Q37/1000</f>
        <v>7.2844675999999993</v>
      </c>
      <c r="R38" s="78"/>
      <c r="S38" s="79"/>
    </row>
  </sheetData>
  <mergeCells count="5">
    <mergeCell ref="K1:S1"/>
    <mergeCell ref="S3:S8"/>
    <mergeCell ref="N37:P37"/>
    <mergeCell ref="R37:S38"/>
    <mergeCell ref="N38:P38"/>
  </mergeCells>
  <hyperlinks>
    <hyperlink ref="O10" r:id="rId1"/>
    <hyperlink ref="O11" r:id="rId2"/>
    <hyperlink ref="O12" r:id="rId3"/>
    <hyperlink ref="O13" r:id="rId4"/>
    <hyperlink ref="O15" r:id="rId5"/>
    <hyperlink ref="O16" r:id="rId6"/>
    <hyperlink ref="O19" r:id="rId7"/>
    <hyperlink ref="O22" r:id="rId8"/>
    <hyperlink ref="O24" r:id="rId9"/>
    <hyperlink ref="O26" r:id="rId10"/>
    <hyperlink ref="O27" r:id="rId11"/>
    <hyperlink ref="O28" r:id="rId12"/>
    <hyperlink ref="O29" r:id="rId13"/>
    <hyperlink ref="O30" r:id="rId14"/>
    <hyperlink ref="O31" r:id="rId15"/>
    <hyperlink ref="O32" r:id="rId16"/>
    <hyperlink ref="O34" r:id="rId17"/>
    <hyperlink ref="O35" r:id="rId18"/>
    <hyperlink ref="O14" r:id="rId19"/>
    <hyperlink ref="O17" r:id="rId20"/>
    <hyperlink ref="O25" r:id="rId21"/>
    <hyperlink ref="O20" r:id="rId22"/>
    <hyperlink ref="O33" r:id="rId23"/>
    <hyperlink ref="O36" r:id="rId24"/>
    <hyperlink ref="O18" r:id="rId25"/>
    <hyperlink ref="O23" r:id="rId26"/>
  </hyperlinks>
  <pageMargins left="0.7" right="0.7" top="0.75" bottom="0.75" header="0.3" footer="0.3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 Boards</vt:lpstr>
      <vt:lpstr>20 Boards</vt:lpstr>
      <vt:lpstr>50 Boards</vt:lpstr>
      <vt:lpstr>100 Boards</vt:lpstr>
      <vt:lpstr>500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2023-08-03T12:15:09Z</dcterms:modified>
</cp:coreProperties>
</file>