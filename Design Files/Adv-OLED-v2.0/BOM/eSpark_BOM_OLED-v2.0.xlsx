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Adv-OLED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22" i="1" l="1"/>
  <c r="Q21" i="1"/>
  <c r="M21" i="1"/>
  <c r="Q17" i="1" l="1"/>
  <c r="M17" i="1"/>
  <c r="B17" i="1"/>
  <c r="Q13" i="1"/>
  <c r="M13" i="1"/>
  <c r="B13" i="1"/>
  <c r="Q19" i="1" l="1"/>
  <c r="M19" i="1"/>
  <c r="B19" i="1"/>
  <c r="Q18" i="1"/>
  <c r="M18" i="1"/>
  <c r="B18" i="1"/>
  <c r="Q16" i="1"/>
  <c r="M16" i="1"/>
  <c r="B16" i="1"/>
  <c r="Q20" i="1" l="1"/>
  <c r="M20" i="1"/>
  <c r="B20" i="1"/>
  <c r="Q15" i="1"/>
  <c r="M15" i="1"/>
  <c r="B15" i="1"/>
  <c r="Q14" i="1"/>
  <c r="M14" i="1"/>
  <c r="B14" i="1"/>
  <c r="M12" i="1"/>
  <c r="B12" i="1"/>
  <c r="Q10" i="1" l="1"/>
  <c r="Q11" i="1"/>
  <c r="M10" i="1"/>
  <c r="M11" i="1"/>
  <c r="B10" i="1"/>
  <c r="B11" i="1"/>
  <c r="Q23" i="1" l="1"/>
</calcChain>
</file>

<file path=xl/sharedStrings.xml><?xml version="1.0" encoding="utf-8"?>
<sst xmlns="http://schemas.openxmlformats.org/spreadsheetml/2006/main" count="152" uniqueCount="105">
  <si>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</si>
  <si>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</si>
  <si>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</si>
  <si>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</si>
  <si>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</si>
  <si>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</si>
  <si>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</si>
  <si>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</si>
  <si>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</si>
  <si>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</si>
  <si>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Pogo Connector</t>
  </si>
  <si>
    <t>RGB LED</t>
  </si>
  <si>
    <t>Mosfet</t>
  </si>
  <si>
    <t>Resistor</t>
  </si>
  <si>
    <t>Designator</t>
  </si>
  <si>
    <t>C4, C5, C6, C7</t>
  </si>
  <si>
    <t>J1</t>
  </si>
  <si>
    <t>LED1</t>
  </si>
  <si>
    <t>Q1</t>
  </si>
  <si>
    <t>R4</t>
  </si>
  <si>
    <t>SW1, SW2, SW3</t>
  </si>
  <si>
    <t>Description</t>
  </si>
  <si>
    <t>CAP CER 1UF 10V X5R 0402</t>
  </si>
  <si>
    <t>CAP CER 0.1UF 50V X5R 0402</t>
  </si>
  <si>
    <t>Pogo Pad 2.5mm 4 Pin</t>
  </si>
  <si>
    <t>SMD,3.5x3.5mm Light Emitting Diodes (LED) RoHS</t>
  </si>
  <si>
    <t>50V 220mA 3.5Ω@10V,220mA 225mW 1.6V@1mA N Channel SOT-23 MOSFETs ROHS</t>
  </si>
  <si>
    <t>3mm 2mm Round Button 50mA Top3.65mm SPST 12V SMD Tactile Switches</t>
  </si>
  <si>
    <t>Footprint</t>
  </si>
  <si>
    <t>Cap-0402</t>
  </si>
  <si>
    <t>Pogo 4 Pin</t>
  </si>
  <si>
    <t>WS2812B-Mini</t>
  </si>
  <si>
    <t>Sot-23</t>
  </si>
  <si>
    <t>Res-0402</t>
  </si>
  <si>
    <t>Manufacturer Part Number</t>
  </si>
  <si>
    <t>CC0402KRX5R6BB105</t>
  </si>
  <si>
    <t>C1005X5R1H104K050BB</t>
  </si>
  <si>
    <t>POGO Connector 4 Pin</t>
  </si>
  <si>
    <t>BSS138</t>
  </si>
  <si>
    <t>TS-1185EC-C-D-B</t>
  </si>
  <si>
    <t>Manufacturer</t>
  </si>
  <si>
    <t>Yageo</t>
  </si>
  <si>
    <t>TDK</t>
  </si>
  <si>
    <t>Worldsemi</t>
  </si>
  <si>
    <t>Slkor(SLKORMICRO Elec.)</t>
  </si>
  <si>
    <t>XKB</t>
  </si>
  <si>
    <t>LCSC Part Number</t>
  </si>
  <si>
    <t>C106254</t>
  </si>
  <si>
    <t>C2181865</t>
  </si>
  <si>
    <t>C527089</t>
  </si>
  <si>
    <t>C426569</t>
  </si>
  <si>
    <t>C318893</t>
  </si>
  <si>
    <t>1uF</t>
  </si>
  <si>
    <t>0.1uF</t>
  </si>
  <si>
    <t>10K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</si>
  <si>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</si>
  <si>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</si>
  <si>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</si>
  <si>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</si>
  <si>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</si>
  <si>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</si>
  <si>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</si>
  <si>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</si>
  <si>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</si>
  <si>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</si>
  <si>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Switch</t>
  </si>
  <si>
    <t>-</t>
  </si>
  <si>
    <t>Bill of Materials for Project [OLED-v2.0.]</t>
  </si>
  <si>
    <t>OLED-v2.0.</t>
  </si>
  <si>
    <t>LCSC</t>
  </si>
  <si>
    <t>Custom</t>
  </si>
  <si>
    <t>C9</t>
  </si>
  <si>
    <t>R1, R2, R3</t>
  </si>
  <si>
    <t>Q2</t>
  </si>
  <si>
    <t>Trans Gp Bjt NPN 25V 1.5A 300MW 3-PIN SOT-23 T/r</t>
  </si>
  <si>
    <t>SOT-23</t>
  </si>
  <si>
    <t>SS8050-G</t>
  </si>
  <si>
    <t>Comchip</t>
  </si>
  <si>
    <t>C105433</t>
  </si>
  <si>
    <t>RES 1K OHM 1% 1/20W 0201</t>
  </si>
  <si>
    <t>Res-0201</t>
  </si>
  <si>
    <t>RC0201FR-071KP</t>
  </si>
  <si>
    <t>1K</t>
  </si>
  <si>
    <t>R5, R6, R7, R8</t>
  </si>
  <si>
    <t>RES SMD 10 OHM 1% 1/5W 0402</t>
  </si>
  <si>
    <t>CRCW040210R0FKEDHP</t>
  </si>
  <si>
    <t>Vishay Dale</t>
  </si>
  <si>
    <t>C4013850</t>
  </si>
  <si>
    <t>10R</t>
  </si>
  <si>
    <t>FPC Connector</t>
  </si>
  <si>
    <t>J2, J3</t>
  </si>
  <si>
    <t>Clamshell -25℃~+85℃ 18P Bottom Contact Surface Mount 0.5mm SMD,P=0.5mm FFC/FPC Connectors ROHS</t>
  </si>
  <si>
    <t>F0502-B-18-15T-R</t>
  </si>
  <si>
    <t>XFCN</t>
  </si>
  <si>
    <t>C2889974</t>
  </si>
  <si>
    <t>RC0201FR-0710KL</t>
  </si>
  <si>
    <t>RES SMD 10K OHM 1% 1/20W 0201</t>
  </si>
  <si>
    <t>C106225</t>
  </si>
  <si>
    <t>C138165</t>
  </si>
  <si>
    <t>RC0201FR-071KL</t>
  </si>
  <si>
    <t>Peripheral</t>
  </si>
  <si>
    <t>0.3mm~0.3mm 18 0.5mm Same Side 5cm P=0.5mm FFC/FPC Connect Cables ROHS</t>
  </si>
  <si>
    <t>JS05A-18P-050-4-8</t>
  </si>
  <si>
    <t xml:space="preserve">JUSHUO </t>
  </si>
  <si>
    <t>C2857498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</si>
</sst>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Vishay-Intertech-CRCW040210R0FKEDHP_C4013850.htm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lcsc.com/product-detail/Light-Emitting-Diodes-LED_Worldsemi-WS2812B-Mini_C527089.html" TargetMode="External"/><Relationship Id="rId7" Type="http://schemas.openxmlformats.org/officeDocument/2006/relationships/hyperlink" Target="https://www.lcsc.com/product-detail/Chip-Resistor-Surface-Mount_YAGEO-RC0201FR-071KL_C138165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TDK-C1005X5R1H104K050BB_C2181865.html" TargetMode="External"/><Relationship Id="rId1" Type="http://schemas.openxmlformats.org/officeDocument/2006/relationships/hyperlink" Target="https://www.lcsc.com/product-detail/Multilayer-Ceramic-Capacitors-MLCC-SMD-SMT_YAGEO-CC0402KRX5R6BB105_C106254.html" TargetMode="External"/><Relationship Id="rId6" Type="http://schemas.openxmlformats.org/officeDocument/2006/relationships/hyperlink" Target="https://www.lcsc.com/product-detail/Bipolar-Transistors-BJT_Jiangsu-Changjing-Electronics-Technology-Co-Ltd-S8050_C105433.html" TargetMode="External"/><Relationship Id="rId11" Type="http://schemas.openxmlformats.org/officeDocument/2006/relationships/hyperlink" Target="https://www.lcsc.com/product-detail/FFC-FPC-Connect-Cables_JUSHUO-JS05A-18P-050-4-8_C2857498.html" TargetMode="External"/><Relationship Id="rId5" Type="http://schemas.openxmlformats.org/officeDocument/2006/relationships/hyperlink" Target="https://www.lcsc.com/product-detail/Tactile-Switches_XKB-Connectivity-TS-1185EC-C-D-B_C318893.html" TargetMode="External"/><Relationship Id="rId10" Type="http://schemas.openxmlformats.org/officeDocument/2006/relationships/hyperlink" Target="https://www.lcsc.com/product-detail/Chip-Resistor-Surface-Mount_YAGEO-RC0201FR-0710KL_C106225.html" TargetMode="External"/><Relationship Id="rId4" Type="http://schemas.openxmlformats.org/officeDocument/2006/relationships/hyperlink" Target="https://www.lcsc.com/product-detail/MOSFETs_Slkor-SLKORMICRO-Elec-BSS138_C426569.html" TargetMode="External"/><Relationship Id="rId9" Type="http://schemas.openxmlformats.org/officeDocument/2006/relationships/hyperlink" Target="https://www.lcsc.com/product-detail/FFC-FPC-Connectors_XFCN-F0502-B-18-15T-R_C28899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3"/>
  <sheetViews>
    <sheetView tabSelected="1" workbookViewId="0">
      <selection activeCell="I28" sqref="I28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  <col min="22" max="22" width="25.2851562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5"/>
      <c r="L1" s="65"/>
      <c r="M1" s="65"/>
      <c r="N1" s="65"/>
      <c r="O1" s="65"/>
      <c r="P1" s="65"/>
      <c r="Q1" s="65"/>
      <c r="R1" s="65"/>
      <c r="S1" s="6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67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68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7"/>
    </row>
    <row r="4" spans="1:19" x14ac:dyDescent="0.25">
      <c r="A4" s="1"/>
      <c r="B4" s="22"/>
      <c r="C4" s="32"/>
      <c r="D4" s="13" t="s">
        <v>2</v>
      </c>
      <c r="E4" s="13"/>
      <c r="F4" s="57" t="s">
        <v>68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8"/>
    </row>
    <row r="9" spans="1:19" ht="15.75" thickBot="1" x14ac:dyDescent="0.3">
      <c r="A9" s="1"/>
      <c r="B9" s="30" t="s">
        <v>4</v>
      </c>
      <c r="C9" s="30" t="s">
        <v>8</v>
      </c>
      <c r="D9" s="30" t="s">
        <v>14</v>
      </c>
      <c r="E9" s="30" t="s">
        <v>21</v>
      </c>
      <c r="F9" s="30" t="s">
        <v>28</v>
      </c>
      <c r="G9" s="30" t="s">
        <v>34</v>
      </c>
      <c r="H9" s="30" t="s">
        <v>40</v>
      </c>
      <c r="I9" s="30" t="s">
        <v>56</v>
      </c>
      <c r="J9" s="30" t="s">
        <v>46</v>
      </c>
      <c r="K9" s="60" t="s">
        <v>57</v>
      </c>
      <c r="L9" s="30" t="s">
        <v>55</v>
      </c>
      <c r="M9" s="30" t="s">
        <v>58</v>
      </c>
      <c r="N9" s="30" t="s">
        <v>59</v>
      </c>
      <c r="O9" s="30" t="s">
        <v>60</v>
      </c>
      <c r="P9" s="30" t="s">
        <v>61</v>
      </c>
      <c r="Q9" s="30" t="s">
        <v>62</v>
      </c>
      <c r="R9" s="30" t="s">
        <v>63</v>
      </c>
      <c r="S9" s="30" t="s">
        <v>64</v>
      </c>
    </row>
    <row r="10" spans="1:19" x14ac:dyDescent="0.25">
      <c r="A10" s="1"/>
      <c r="B10" s="47">
        <f t="shared" ref="B10:B20" si="0">ROW(B10) - ROW($B$9)</f>
        <v>1</v>
      </c>
      <c r="C10" s="54" t="s">
        <v>9</v>
      </c>
      <c r="D10" s="51" t="s">
        <v>15</v>
      </c>
      <c r="E10" s="51" t="s">
        <v>23</v>
      </c>
      <c r="F10" s="51" t="s">
        <v>29</v>
      </c>
      <c r="G10" s="51" t="s">
        <v>36</v>
      </c>
      <c r="H10" s="51" t="s">
        <v>42</v>
      </c>
      <c r="I10" s="51" t="s">
        <v>66</v>
      </c>
      <c r="J10" s="51" t="s">
        <v>48</v>
      </c>
      <c r="K10" s="51" t="s">
        <v>53</v>
      </c>
      <c r="L10" s="51">
        <v>4</v>
      </c>
      <c r="M10" s="51">
        <f t="shared" ref="M10" si="1">L10*5</f>
        <v>20</v>
      </c>
      <c r="N10" s="51">
        <v>25</v>
      </c>
      <c r="O10" s="62" t="s">
        <v>69</v>
      </c>
      <c r="P10" s="52">
        <v>9.5699999999999993E-2</v>
      </c>
      <c r="Q10" s="52">
        <f t="shared" ref="Q10" si="2">P10*N10</f>
        <v>2.3924999999999996</v>
      </c>
      <c r="R10" s="51"/>
      <c r="S10" s="51"/>
    </row>
    <row r="11" spans="1:19" x14ac:dyDescent="0.25">
      <c r="A11" s="1"/>
      <c r="B11" s="46">
        <f>ROW(B11) - ROW($B$9)</f>
        <v>2</v>
      </c>
      <c r="C11" s="54" t="s">
        <v>9</v>
      </c>
      <c r="D11" s="37" t="s">
        <v>71</v>
      </c>
      <c r="E11" s="37" t="s">
        <v>22</v>
      </c>
      <c r="F11" s="37" t="s">
        <v>29</v>
      </c>
      <c r="G11" s="37" t="s">
        <v>35</v>
      </c>
      <c r="H11" s="37" t="s">
        <v>41</v>
      </c>
      <c r="I11" s="37" t="s">
        <v>66</v>
      </c>
      <c r="J11" s="37" t="s">
        <v>47</v>
      </c>
      <c r="K11" s="37" t="s">
        <v>52</v>
      </c>
      <c r="L11" s="37">
        <v>1</v>
      </c>
      <c r="M11" s="37">
        <f>L11*5</f>
        <v>5</v>
      </c>
      <c r="N11" s="37">
        <v>100</v>
      </c>
      <c r="O11" s="62" t="s">
        <v>69</v>
      </c>
      <c r="P11" s="38">
        <v>2.3999999999999998E-3</v>
      </c>
      <c r="Q11" s="38">
        <f>P11*N11</f>
        <v>0.24</v>
      </c>
      <c r="R11" s="37"/>
      <c r="S11" s="50"/>
    </row>
    <row r="12" spans="1:19" x14ac:dyDescent="0.25">
      <c r="A12" s="1"/>
      <c r="B12" s="47">
        <f t="shared" si="0"/>
        <v>3</v>
      </c>
      <c r="C12" s="54" t="s">
        <v>10</v>
      </c>
      <c r="D12" s="61" t="s">
        <v>16</v>
      </c>
      <c r="E12" s="61" t="s">
        <v>24</v>
      </c>
      <c r="F12" s="61" t="s">
        <v>30</v>
      </c>
      <c r="G12" s="61" t="s">
        <v>37</v>
      </c>
      <c r="H12" s="61" t="s">
        <v>66</v>
      </c>
      <c r="I12" s="61" t="s">
        <v>66</v>
      </c>
      <c r="J12" s="61" t="s">
        <v>66</v>
      </c>
      <c r="K12" s="61" t="s">
        <v>66</v>
      </c>
      <c r="L12" s="61">
        <v>1</v>
      </c>
      <c r="M12" s="61">
        <f t="shared" ref="M12:M13" si="3">L12*5</f>
        <v>5</v>
      </c>
      <c r="N12" s="61" t="s">
        <v>66</v>
      </c>
      <c r="O12" s="61" t="s">
        <v>66</v>
      </c>
      <c r="P12" s="61" t="s">
        <v>66</v>
      </c>
      <c r="Q12" s="61" t="s">
        <v>66</v>
      </c>
      <c r="R12" s="61" t="s">
        <v>66</v>
      </c>
      <c r="S12" s="61" t="s">
        <v>66</v>
      </c>
    </row>
    <row r="13" spans="1:19" ht="48" x14ac:dyDescent="0.25">
      <c r="A13" s="1"/>
      <c r="B13" s="47">
        <f t="shared" si="0"/>
        <v>4</v>
      </c>
      <c r="C13" s="54" t="s">
        <v>89</v>
      </c>
      <c r="D13" s="51" t="s">
        <v>90</v>
      </c>
      <c r="E13" s="51" t="s">
        <v>91</v>
      </c>
      <c r="F13" s="51" t="s">
        <v>70</v>
      </c>
      <c r="G13" s="51" t="s">
        <v>92</v>
      </c>
      <c r="H13" s="51" t="s">
        <v>93</v>
      </c>
      <c r="I13" s="51" t="s">
        <v>66</v>
      </c>
      <c r="J13" s="51" t="s">
        <v>94</v>
      </c>
      <c r="K13" s="51" t="s">
        <v>66</v>
      </c>
      <c r="L13" s="51">
        <v>2</v>
      </c>
      <c r="M13" s="51">
        <f t="shared" si="3"/>
        <v>10</v>
      </c>
      <c r="N13" s="51">
        <v>15</v>
      </c>
      <c r="O13" s="63" t="s">
        <v>69</v>
      </c>
      <c r="P13" s="52">
        <v>9.7500000000000003E-2</v>
      </c>
      <c r="Q13" s="52">
        <f t="shared" ref="Q13" si="4">P13*N13</f>
        <v>1.4625000000000001</v>
      </c>
      <c r="R13" s="51"/>
      <c r="S13" s="59"/>
    </row>
    <row r="14" spans="1:19" ht="24" x14ac:dyDescent="0.25">
      <c r="A14" s="1"/>
      <c r="B14" s="47">
        <f t="shared" si="0"/>
        <v>5</v>
      </c>
      <c r="C14" s="54" t="s">
        <v>11</v>
      </c>
      <c r="D14" s="51" t="s">
        <v>17</v>
      </c>
      <c r="E14" s="51" t="s">
        <v>25</v>
      </c>
      <c r="F14" s="51" t="s">
        <v>70</v>
      </c>
      <c r="G14" s="51" t="s">
        <v>31</v>
      </c>
      <c r="H14" s="51" t="s">
        <v>43</v>
      </c>
      <c r="I14" s="51" t="s">
        <v>66</v>
      </c>
      <c r="J14" s="51" t="s">
        <v>49</v>
      </c>
      <c r="K14" s="51" t="s">
        <v>66</v>
      </c>
      <c r="L14" s="51">
        <v>1</v>
      </c>
      <c r="M14" s="51">
        <f t="shared" ref="M14" si="5">L14*5</f>
        <v>5</v>
      </c>
      <c r="N14" s="51">
        <v>10</v>
      </c>
      <c r="O14" s="62" t="s">
        <v>69</v>
      </c>
      <c r="P14" s="52">
        <v>0.1176</v>
      </c>
      <c r="Q14" s="52">
        <f t="shared" ref="Q14" si="6">P14*N14</f>
        <v>1.1759999999999999</v>
      </c>
      <c r="R14" s="51"/>
      <c r="S14" s="59"/>
    </row>
    <row r="15" spans="1:19" ht="36" x14ac:dyDescent="0.25">
      <c r="A15" s="1"/>
      <c r="B15" s="47">
        <f t="shared" si="0"/>
        <v>6</v>
      </c>
      <c r="C15" s="54" t="s">
        <v>12</v>
      </c>
      <c r="D15" s="51" t="s">
        <v>18</v>
      </c>
      <c r="E15" s="51" t="s">
        <v>26</v>
      </c>
      <c r="F15" s="51" t="s">
        <v>32</v>
      </c>
      <c r="G15" s="51" t="s">
        <v>38</v>
      </c>
      <c r="H15" s="51" t="s">
        <v>44</v>
      </c>
      <c r="I15" s="51" t="s">
        <v>66</v>
      </c>
      <c r="J15" s="51" t="s">
        <v>50</v>
      </c>
      <c r="K15" s="51" t="s">
        <v>66</v>
      </c>
      <c r="L15" s="51">
        <v>1</v>
      </c>
      <c r="M15" s="51">
        <f t="shared" ref="M15" si="7">L15*5</f>
        <v>5</v>
      </c>
      <c r="N15" s="51">
        <v>20</v>
      </c>
      <c r="O15" s="62" t="s">
        <v>69</v>
      </c>
      <c r="P15" s="52">
        <v>2.1499999999999998E-2</v>
      </c>
      <c r="Q15" s="52">
        <f t="shared" ref="Q15" si="8">P15*N15</f>
        <v>0.42999999999999994</v>
      </c>
      <c r="R15" s="51"/>
      <c r="S15" s="59"/>
    </row>
    <row r="16" spans="1:19" ht="24" x14ac:dyDescent="0.25">
      <c r="A16" s="1"/>
      <c r="B16" s="46">
        <f>ROW(B16) - ROW($B$9)</f>
        <v>7</v>
      </c>
      <c r="C16" s="54" t="s">
        <v>12</v>
      </c>
      <c r="D16" s="37" t="s">
        <v>73</v>
      </c>
      <c r="E16" s="37" t="s">
        <v>74</v>
      </c>
      <c r="F16" s="37" t="s">
        <v>75</v>
      </c>
      <c r="G16" s="37" t="s">
        <v>76</v>
      </c>
      <c r="H16" s="37" t="s">
        <v>77</v>
      </c>
      <c r="I16" s="37" t="s">
        <v>66</v>
      </c>
      <c r="J16" s="37" t="s">
        <v>78</v>
      </c>
      <c r="K16" s="37" t="s">
        <v>66</v>
      </c>
      <c r="L16" s="37">
        <v>1</v>
      </c>
      <c r="M16" s="37">
        <f>L16*5</f>
        <v>5</v>
      </c>
      <c r="N16" s="37">
        <v>50</v>
      </c>
      <c r="O16" s="62" t="s">
        <v>69</v>
      </c>
      <c r="P16" s="38">
        <v>1.54E-2</v>
      </c>
      <c r="Q16" s="38">
        <f>P16*N16</f>
        <v>0.77</v>
      </c>
      <c r="R16" s="37"/>
      <c r="S16" s="59"/>
    </row>
    <row r="17" spans="1:19" x14ac:dyDescent="0.25">
      <c r="A17" s="1"/>
      <c r="B17" s="47">
        <f t="shared" ref="B17" si="9">ROW(B17) - ROW($B$9)</f>
        <v>8</v>
      </c>
      <c r="C17" s="54" t="s">
        <v>13</v>
      </c>
      <c r="D17" s="51" t="s">
        <v>72</v>
      </c>
      <c r="E17" s="51" t="s">
        <v>96</v>
      </c>
      <c r="F17" s="51" t="s">
        <v>80</v>
      </c>
      <c r="G17" s="51" t="s">
        <v>95</v>
      </c>
      <c r="H17" s="51" t="s">
        <v>41</v>
      </c>
      <c r="I17" s="51" t="s">
        <v>66</v>
      </c>
      <c r="J17" s="51" t="s">
        <v>97</v>
      </c>
      <c r="K17" s="51" t="s">
        <v>54</v>
      </c>
      <c r="L17" s="51">
        <v>3</v>
      </c>
      <c r="M17" s="51">
        <f t="shared" ref="M17" si="10">L17*5</f>
        <v>15</v>
      </c>
      <c r="N17" s="51">
        <v>100</v>
      </c>
      <c r="O17" s="63" t="s">
        <v>69</v>
      </c>
      <c r="P17" s="52">
        <v>8.9999999999999998E-4</v>
      </c>
      <c r="Q17" s="52">
        <f t="shared" ref="Q17" si="11">P17*N17</f>
        <v>0.09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13</v>
      </c>
      <c r="D18" s="37" t="s">
        <v>19</v>
      </c>
      <c r="E18" s="37" t="s">
        <v>79</v>
      </c>
      <c r="F18" s="37" t="s">
        <v>80</v>
      </c>
      <c r="G18" s="37" t="s">
        <v>81</v>
      </c>
      <c r="H18" s="37" t="s">
        <v>41</v>
      </c>
      <c r="I18" s="37" t="s">
        <v>99</v>
      </c>
      <c r="J18" s="37" t="s">
        <v>98</v>
      </c>
      <c r="K18" s="37" t="s">
        <v>82</v>
      </c>
      <c r="L18" s="37">
        <v>1</v>
      </c>
      <c r="M18" s="37">
        <f>L18*5</f>
        <v>5</v>
      </c>
      <c r="N18" s="37">
        <v>100</v>
      </c>
      <c r="O18" s="62" t="s">
        <v>69</v>
      </c>
      <c r="P18" s="38">
        <v>8.9999999999999998E-4</v>
      </c>
      <c r="Q18" s="38">
        <f>P18*N18</f>
        <v>0.09</v>
      </c>
      <c r="R18" s="37"/>
      <c r="S18" s="59"/>
    </row>
    <row r="19" spans="1:19" x14ac:dyDescent="0.25">
      <c r="A19" s="1"/>
      <c r="B19" s="47">
        <f t="shared" ref="B19" si="12">ROW(B19) - ROW($B$9)</f>
        <v>10</v>
      </c>
      <c r="C19" s="53" t="s">
        <v>13</v>
      </c>
      <c r="D19" s="51" t="s">
        <v>83</v>
      </c>
      <c r="E19" s="51" t="s">
        <v>84</v>
      </c>
      <c r="F19" s="51" t="s">
        <v>33</v>
      </c>
      <c r="G19" s="51" t="s">
        <v>85</v>
      </c>
      <c r="H19" s="51" t="s">
        <v>86</v>
      </c>
      <c r="I19" s="51" t="s">
        <v>66</v>
      </c>
      <c r="J19" s="51" t="s">
        <v>87</v>
      </c>
      <c r="K19" s="51" t="s">
        <v>88</v>
      </c>
      <c r="L19" s="51">
        <v>4</v>
      </c>
      <c r="M19" s="51">
        <f t="shared" ref="M19" si="13">L19*5</f>
        <v>20</v>
      </c>
      <c r="N19" s="51">
        <v>40</v>
      </c>
      <c r="O19" s="63" t="s">
        <v>69</v>
      </c>
      <c r="P19" s="52">
        <v>1.0999999999999999E-2</v>
      </c>
      <c r="Q19" s="52">
        <f t="shared" ref="Q19" si="14">P19*N19</f>
        <v>0.43999999999999995</v>
      </c>
      <c r="R19" s="51"/>
      <c r="S19" s="59"/>
    </row>
    <row r="20" spans="1:19" ht="36.75" thickBot="1" x14ac:dyDescent="0.3">
      <c r="A20" s="1"/>
      <c r="B20" s="47">
        <f t="shared" si="0"/>
        <v>11</v>
      </c>
      <c r="C20" s="54" t="s">
        <v>65</v>
      </c>
      <c r="D20" s="51" t="s">
        <v>20</v>
      </c>
      <c r="E20" s="51" t="s">
        <v>27</v>
      </c>
      <c r="F20" s="37" t="s">
        <v>70</v>
      </c>
      <c r="G20" s="51" t="s">
        <v>39</v>
      </c>
      <c r="H20" s="51" t="s">
        <v>45</v>
      </c>
      <c r="I20" s="51" t="s">
        <v>66</v>
      </c>
      <c r="J20" s="51" t="s">
        <v>51</v>
      </c>
      <c r="K20" s="51"/>
      <c r="L20" s="51">
        <v>3</v>
      </c>
      <c r="M20" s="51">
        <f t="shared" ref="M20:M21" si="15">L20*5</f>
        <v>15</v>
      </c>
      <c r="N20" s="51">
        <v>20</v>
      </c>
      <c r="O20" s="62" t="s">
        <v>69</v>
      </c>
      <c r="P20" s="52">
        <v>5.5500000000000001E-2</v>
      </c>
      <c r="Q20" s="52">
        <f t="shared" ref="Q20:Q21" si="16">P20*N20</f>
        <v>1.1100000000000001</v>
      </c>
      <c r="R20" s="51"/>
      <c r="S20" s="39"/>
    </row>
    <row r="21" spans="1:19" ht="36.75" thickBot="1" x14ac:dyDescent="0.3">
      <c r="A21" s="1"/>
      <c r="B21" s="64">
        <v>12</v>
      </c>
      <c r="C21" s="54" t="s">
        <v>100</v>
      </c>
      <c r="D21" s="51" t="s">
        <v>66</v>
      </c>
      <c r="E21" s="51" t="s">
        <v>101</v>
      </c>
      <c r="F21" s="37" t="s">
        <v>66</v>
      </c>
      <c r="G21" s="51" t="s">
        <v>102</v>
      </c>
      <c r="H21" s="51" t="s">
        <v>103</v>
      </c>
      <c r="I21" s="51" t="s">
        <v>66</v>
      </c>
      <c r="J21" s="51" t="s">
        <v>104</v>
      </c>
      <c r="K21" s="51" t="s">
        <v>66</v>
      </c>
      <c r="L21" s="51">
        <v>1</v>
      </c>
      <c r="M21" s="51">
        <f t="shared" si="15"/>
        <v>5</v>
      </c>
      <c r="N21" s="51">
        <v>10</v>
      </c>
      <c r="O21" s="62" t="s">
        <v>69</v>
      </c>
      <c r="P21" s="52">
        <v>8.3199999999999996E-2</v>
      </c>
      <c r="Q21" s="52">
        <f t="shared" si="16"/>
        <v>0.83199999999999996</v>
      </c>
      <c r="R21" s="51"/>
      <c r="S21" s="39"/>
    </row>
    <row r="22" spans="1:19" ht="19.5" thickBot="1" x14ac:dyDescent="0.3">
      <c r="A22" s="1"/>
      <c r="B22" s="40"/>
      <c r="C22" s="41"/>
      <c r="D22" s="42"/>
      <c r="E22" s="43"/>
      <c r="F22" s="44"/>
      <c r="G22" s="45"/>
      <c r="H22" s="44"/>
      <c r="I22" s="45"/>
      <c r="J22" s="44"/>
      <c r="K22" s="45"/>
      <c r="L22" s="45"/>
      <c r="M22" s="45"/>
      <c r="N22" s="73" t="s">
        <v>5</v>
      </c>
      <c r="O22" s="74"/>
      <c r="P22" s="74"/>
      <c r="Q22" s="48">
        <f>SUM(Q10:Q21)</f>
        <v>9.0329999999999995</v>
      </c>
      <c r="R22" s="69"/>
      <c r="S22" s="70"/>
    </row>
    <row r="23" spans="1:19" ht="19.5" thickBot="1" x14ac:dyDescent="0.3">
      <c r="A23" s="1"/>
      <c r="B23" s="25"/>
      <c r="C23" s="36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73" t="s">
        <v>6</v>
      </c>
      <c r="O23" s="74"/>
      <c r="P23" s="74"/>
      <c r="Q23" s="49">
        <f>Q22/5</f>
        <v>1.8066</v>
      </c>
      <c r="R23" s="71"/>
      <c r="S23" s="72"/>
    </row>
  </sheetData>
  <mergeCells count="5">
    <mergeCell ref="K1:S1"/>
    <mergeCell ref="S3:S8"/>
    <mergeCell ref="R22:S23"/>
    <mergeCell ref="N22:P22"/>
    <mergeCell ref="N23:P23"/>
  </mergeCells>
  <hyperlinks>
    <hyperlink ref="O11" r:id="rId1"/>
    <hyperlink ref="O10" r:id="rId2"/>
    <hyperlink ref="O14" r:id="rId3"/>
    <hyperlink ref="O15" r:id="rId4"/>
    <hyperlink ref="O20" r:id="rId5"/>
    <hyperlink ref="O16" r:id="rId6"/>
    <hyperlink ref="O18" r:id="rId7"/>
    <hyperlink ref="O19" r:id="rId8"/>
    <hyperlink ref="O13" r:id="rId9"/>
    <hyperlink ref="O17" r:id="rId10"/>
    <hyperlink ref="O21" r:id="rId11"/>
  </hyperlinks>
  <pageMargins left="0.7" right="0.7" top="0.75" bottom="0.75" header="0.3" footer="0.3"/>
  <pageSetup paperSize="9" orientation="portrait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2023-10-06T16:59:18Z</dcterms:modified>
</cp:coreProperties>
</file>