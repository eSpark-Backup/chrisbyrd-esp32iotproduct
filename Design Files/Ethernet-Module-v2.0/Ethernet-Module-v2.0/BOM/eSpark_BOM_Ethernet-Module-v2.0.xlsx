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ernet-Module-v2.0\Ethernet-Module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34" i="1" l="1"/>
  <c r="M34" i="1"/>
  <c r="B34" i="1"/>
  <c r="Q33" i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M20" i="1"/>
  <c r="B20" i="1"/>
  <c r="Q19" i="1"/>
  <c r="Q35" i="1" s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36" i="1" l="1"/>
  <c r="Q11" i="1"/>
  <c r="Q10" i="1"/>
  <c r="M11" i="1"/>
  <c r="M10" i="1"/>
  <c r="B11" i="1"/>
  <c r="B10" i="1"/>
</calcChain>
</file>

<file path=xl/sharedStrings.xml><?xml version="1.0" encoding="utf-8"?>
<sst xmlns="http://schemas.openxmlformats.org/spreadsheetml/2006/main" count="278" uniqueCount="174">
  <si>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</si>
  <si>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</si>
  <si>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</si>
  <si>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</si>
  <si>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</si>
  <si>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</si>
  <si>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</si>
  <si>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</si>
  <si>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</si>
  <si>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</si>
  <si>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Ferrite Bead</t>
  </si>
  <si>
    <t>Ethernet Connector</t>
  </si>
  <si>
    <t>Mosfet</t>
  </si>
  <si>
    <t>Resistor</t>
  </si>
  <si>
    <t>IC</t>
  </si>
  <si>
    <t>TVS Diode</t>
  </si>
  <si>
    <t>Crystal</t>
  </si>
  <si>
    <t>Designator</t>
  </si>
  <si>
    <t>C1, C9</t>
  </si>
  <si>
    <t>C2, C3, C4, C5, C6, C7, C11</t>
  </si>
  <si>
    <t>C8, C10</t>
  </si>
  <si>
    <t>C12, C13</t>
  </si>
  <si>
    <t>C14</t>
  </si>
  <si>
    <t>C15, C16</t>
  </si>
  <si>
    <t>C17</t>
  </si>
  <si>
    <t>C18, C19</t>
  </si>
  <si>
    <t>FB1, FB2</t>
  </si>
  <si>
    <t>J1</t>
  </si>
  <si>
    <t>J3</t>
  </si>
  <si>
    <t>Q1</t>
  </si>
  <si>
    <t>Q2</t>
  </si>
  <si>
    <t>R1</t>
  </si>
  <si>
    <t>R3, R21</t>
  </si>
  <si>
    <t>R4, R5, R15, R16</t>
  </si>
  <si>
    <t>R6</t>
  </si>
  <si>
    <t>R7, R8, R11, R13</t>
  </si>
  <si>
    <t>R10, R14</t>
  </si>
  <si>
    <t>R20</t>
  </si>
  <si>
    <t>R28</t>
  </si>
  <si>
    <t>U1</t>
  </si>
  <si>
    <t>U2</t>
  </si>
  <si>
    <t>X1</t>
  </si>
  <si>
    <t>Description</t>
  </si>
  <si>
    <t>CAP CER 22UF 10V X5R 0603</t>
  </si>
  <si>
    <t>CAP CER 0.1UF 50V X5R 0603</t>
  </si>
  <si>
    <t>CAP CER 10UF 25V X5R 0603</t>
  </si>
  <si>
    <t>50V 6.8nF X7R ±10% 0603</t>
  </si>
  <si>
    <t>CAP CER 0.022UF 100V X7R 0603</t>
  </si>
  <si>
    <t>CAP CER 10000PF 100V X7R 0603</t>
  </si>
  <si>
    <t>CAP CER, 4.7 µF, 25 V, 0603</t>
  </si>
  <si>
    <t>CAP CER 12PF 100V C0G/NP0 0603</t>
  </si>
  <si>
    <t>FERRITE BEAD 600 OHM 1210 1LN</t>
  </si>
  <si>
    <t>PCI Express Mini Card (Mini PCIe)</t>
  </si>
  <si>
    <t>40V 100mW 100@10mA,1V 200mA 300MHz 300mV@50mA,5mA NPN -55℃~+150℃@(Tj) SOT-723 Bipolar Transistors - BJT ROHS</t>
  </si>
  <si>
    <t>MOSFET P-CH 12V 2.6A SUPERSOT3</t>
  </si>
  <si>
    <t>RES SMD 1K OHM 1% 1/10W 0603</t>
  </si>
  <si>
    <t>RES SMD 10K OHM 5% 1/10W 0603</t>
  </si>
  <si>
    <t>RES SMD 0R, 1%, 0.1W, 0603</t>
  </si>
  <si>
    <t>RES 49.9 OHM 1% 1/10W 0603</t>
  </si>
  <si>
    <t>RES SMD 10 OHM 1% 1/10W 0603</t>
  </si>
  <si>
    <t>RES SMD 0603 33 Ohm 1% 1/10W</t>
  </si>
  <si>
    <t>RES  SMD 330R 100 mW 0603</t>
  </si>
  <si>
    <t>RES SMD 1M OHM 1% 1/10W 0603</t>
  </si>
  <si>
    <t>RES SMD 12.4K OHM 1% 1/10W 0603</t>
  </si>
  <si>
    <t>SPI LQFP-48(7x7) Ethernet ICs ROHS</t>
  </si>
  <si>
    <t>TVS DIODE 5.5VWM 8.5VC SOT23-5</t>
  </si>
  <si>
    <t>SMD3225-4P Crystals ROHS</t>
  </si>
  <si>
    <t>Footprint</t>
  </si>
  <si>
    <t>Cap-0603</t>
  </si>
  <si>
    <t>IND-1210</t>
  </si>
  <si>
    <t>ARJM11C7-114-BA-EW2</t>
  </si>
  <si>
    <t>SOT-723</t>
  </si>
  <si>
    <t>SOT-23</t>
  </si>
  <si>
    <t>Res-0603</t>
  </si>
  <si>
    <t>48-LQFP (7x7)_</t>
  </si>
  <si>
    <t>SOT-23-5</t>
  </si>
  <si>
    <t>NX3225GA-25MHZ-STD-CRG-2</t>
  </si>
  <si>
    <t>Manufacturer Part Number</t>
  </si>
  <si>
    <t>CC0603MRX5R6BB226</t>
  </si>
  <si>
    <t>CC0603KRX5R9BB104</t>
  </si>
  <si>
    <t>C1608X5R1E106M080AC</t>
  </si>
  <si>
    <t>0603B682K500NT</t>
  </si>
  <si>
    <t>CGA3E2X7R2A223K080AA</t>
  </si>
  <si>
    <t>AC0603KRX7R0BB103</t>
  </si>
  <si>
    <t>C1608X5R1E475KT000E</t>
  </si>
  <si>
    <t>GCM1885C2A120JA16D</t>
  </si>
  <si>
    <t>FBMH3225HM601NT</t>
  </si>
  <si>
    <t>MMBT3904M</t>
  </si>
  <si>
    <t>FDN306P</t>
  </si>
  <si>
    <t>RC0603FR-071KL</t>
  </si>
  <si>
    <t>AC0603JR-0710KL</t>
  </si>
  <si>
    <t>RC0603FR-070RL</t>
  </si>
  <si>
    <t>RC0603FR-0749R9L</t>
  </si>
  <si>
    <t>RC0603FR-0710RL</t>
  </si>
  <si>
    <t>RC0603FR-0733RL</t>
  </si>
  <si>
    <t>RC0603JR-07330RL</t>
  </si>
  <si>
    <t>RC0603FR-071ML</t>
  </si>
  <si>
    <t>RC0603FR-0712K4L</t>
  </si>
  <si>
    <t>W5500</t>
  </si>
  <si>
    <t>SP0504BAHTG</t>
  </si>
  <si>
    <t>Manufacturer</t>
  </si>
  <si>
    <t>Yageo</t>
  </si>
  <si>
    <t>TDK</t>
  </si>
  <si>
    <t>FH</t>
  </si>
  <si>
    <t>Murata</t>
  </si>
  <si>
    <t>Taiyo Yuden</t>
  </si>
  <si>
    <t>Abracon</t>
  </si>
  <si>
    <t>TECH PUBLIC</t>
  </si>
  <si>
    <t>ON Semiconductor / Fairchild</t>
  </si>
  <si>
    <t>WIZNET</t>
  </si>
  <si>
    <t>Littelfuse</t>
  </si>
  <si>
    <t>NDK</t>
  </si>
  <si>
    <t>LCSC Part Number</t>
  </si>
  <si>
    <t>C109447</t>
  </si>
  <si>
    <t>C110022</t>
  </si>
  <si>
    <t>C2168289</t>
  </si>
  <si>
    <t>C1631</t>
  </si>
  <si>
    <t>C2167165</t>
  </si>
  <si>
    <t>C149602</t>
  </si>
  <si>
    <t>C76615</t>
  </si>
  <si>
    <t>C701298</t>
  </si>
  <si>
    <t>C268004</t>
  </si>
  <si>
    <t>C2923360</t>
  </si>
  <si>
    <t>C725031</t>
  </si>
  <si>
    <t>C22548</t>
  </si>
  <si>
    <t>C140867</t>
  </si>
  <si>
    <t>C100044</t>
  </si>
  <si>
    <t>C114625</t>
  </si>
  <si>
    <t>C109318</t>
  </si>
  <si>
    <t>C108661</t>
  </si>
  <si>
    <t>C105879</t>
  </si>
  <si>
    <t>C105578</t>
  </si>
  <si>
    <t>C137798</t>
  </si>
  <si>
    <t>C32843</t>
  </si>
  <si>
    <t>C10675</t>
  </si>
  <si>
    <t>C438901</t>
  </si>
  <si>
    <t>22uF</t>
  </si>
  <si>
    <t>0.1uF</t>
  </si>
  <si>
    <t>10uF</t>
  </si>
  <si>
    <t>6.8nF</t>
  </si>
  <si>
    <t>22nF</t>
  </si>
  <si>
    <t>10nF</t>
  </si>
  <si>
    <t>4.7uF</t>
  </si>
  <si>
    <t>12pF</t>
  </si>
  <si>
    <t>1K</t>
  </si>
  <si>
    <t>10K</t>
  </si>
  <si>
    <t>0R</t>
  </si>
  <si>
    <t>49.9R</t>
  </si>
  <si>
    <t>10R</t>
  </si>
  <si>
    <t>33R</t>
  </si>
  <si>
    <t>330R</t>
  </si>
  <si>
    <t>1M</t>
  </si>
  <si>
    <t>12.4K</t>
  </si>
  <si>
    <t>25MHZ</t>
  </si>
  <si>
    <t>Quantity</t>
  </si>
  <si>
    <t>Alternate Part Number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</si>
  <si>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</si>
  <si>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</si>
  <si>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</si>
  <si>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</si>
  <si>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</si>
  <si>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</si>
  <si>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</si>
  <si>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Value</t>
  </si>
  <si>
    <t>Custom</t>
  </si>
  <si>
    <t xml:space="preserve">Mini PCIe SMD Pad </t>
  </si>
  <si>
    <t>-</t>
  </si>
  <si>
    <t>LCSC</t>
  </si>
  <si>
    <t>DO NOT MOUNT</t>
  </si>
  <si>
    <t>Ethernet-Module-v2.0.</t>
  </si>
  <si>
    <t>Bill of Materials for Project [Ethernet-Module-v2.0.]</t>
  </si>
  <si>
    <t>Digikey</t>
  </si>
  <si>
    <t>CONN JACK 1PORT 100 BASE-T PCB</t>
  </si>
  <si>
    <t>R2, R9, R12, R17, R18, R19, R22, R23, R24, R25, R26, R27, R29, R30, R31, R32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</si>
</sst>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8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Bipolar-Transistors-BJT_TECH-PUBLIC-MMBT3904M_C2923360.html" TargetMode="External"/><Relationship Id="rId13" Type="http://schemas.openxmlformats.org/officeDocument/2006/relationships/hyperlink" Target="https://www.lcsc.com/product-detail/Chip-Resistor-Surface-Mount_YAGEO-RC0603FR-0749R9L_C114625.html" TargetMode="External"/><Relationship Id="rId18" Type="http://schemas.openxmlformats.org/officeDocument/2006/relationships/hyperlink" Target="https://www.lcsc.com/product-detail/Chip-Resistor-Surface-Mount_YAGEO-RC0603FR-0712K4L_C137798.html" TargetMode="External"/><Relationship Id="rId3" Type="http://schemas.openxmlformats.org/officeDocument/2006/relationships/hyperlink" Target="https://www.lcsc.com/product-detail/Multilayer-Ceramic-Capacitors-MLCC-SMD-SMT_TDK-C1608X5R1E106M080AC_C2168289.html" TargetMode="External"/><Relationship Id="rId21" Type="http://schemas.openxmlformats.org/officeDocument/2006/relationships/hyperlink" Target="https://www.lcsc.com/product-detail/Crystals_NDK-NX3225GA-25MHZ-STD-CRG-2_C438901.html" TargetMode="External"/><Relationship Id="rId7" Type="http://schemas.openxmlformats.org/officeDocument/2006/relationships/hyperlink" Target="https://www.lcsc.com/product-detail/Ferrite-Beads_Taiyo-Yuden-FBMH3225HM601NT_C268004.html" TargetMode="External"/><Relationship Id="rId12" Type="http://schemas.openxmlformats.org/officeDocument/2006/relationships/hyperlink" Target="https://www.lcsc.com/product-detail/Chip-Resistor-Surface-Mount_YAGEO-RC0603FR-070RL_C100044.html" TargetMode="External"/><Relationship Id="rId17" Type="http://schemas.openxmlformats.org/officeDocument/2006/relationships/hyperlink" Target="https://www.lcsc.com/product-detail/Chip-Resistor-Surface-Mount_YAGEO-RC0603FR-071ML_C105578.html" TargetMode="External"/><Relationship Id="rId2" Type="http://schemas.openxmlformats.org/officeDocument/2006/relationships/hyperlink" Target="https://www.lcsc.com/product-detail/Multilayer-Ceramic-Capacitors-MLCC-SMD-SMT_YAGEO-CC0603KRX5R9BB104_C110022.html" TargetMode="External"/><Relationship Id="rId16" Type="http://schemas.openxmlformats.org/officeDocument/2006/relationships/hyperlink" Target="https://www.lcsc.com/product-detail/Chip-Resistor-Surface-Mount_YAGEO-RC0603JR-07330RL_C105879.html" TargetMode="External"/><Relationship Id="rId20" Type="http://schemas.openxmlformats.org/officeDocument/2006/relationships/hyperlink" Target="https://www.lcsc.com/product-detail/TVS_Littelfuse-SP0504BAHTG_C10675.html" TargetMode="External"/><Relationship Id="rId1" Type="http://schemas.openxmlformats.org/officeDocument/2006/relationships/hyperlink" Target="https://www.lcsc.com/product-detail/Multilayer-Ceramic-Capacitors-MLCC-SMD-SMT_YAGEO-CC0603MRX5R6BB226_C109447.html" TargetMode="External"/><Relationship Id="rId6" Type="http://schemas.openxmlformats.org/officeDocument/2006/relationships/hyperlink" Target="https://www.lcsc.com/product-detail/Multilayer-Ceramic-Capacitors-MLCC-SMD-SMT_TDK-C1608X5R1E475KT000E_C76615.html" TargetMode="External"/><Relationship Id="rId11" Type="http://schemas.openxmlformats.org/officeDocument/2006/relationships/hyperlink" Target="https://www.lcsc.com/product-detail/Chip-Resistor-Surface-Mount_YAGEO-RC0603FR-071KL_C22548.html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s://www.lcsc.com/product-detail/Multilayer-Ceramic-Capacitors-MLCC-SMD-SMT_YAGEO-AC0603KRX7R0BB103_C149602.html" TargetMode="External"/><Relationship Id="rId15" Type="http://schemas.openxmlformats.org/officeDocument/2006/relationships/hyperlink" Target="https://www.lcsc.com/product-detail/Chip-Resistor-Surface-Mount_YAGEO-RC0603FR-0733RL_C108661.html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lcsc.com/product-detail/Chip-Resistor-Surface-Mount_YAGEO-RC0603FR-071KL_C22548.html" TargetMode="External"/><Relationship Id="rId19" Type="http://schemas.openxmlformats.org/officeDocument/2006/relationships/hyperlink" Target="https://www.lcsc.com/product-detail/Ethernet-ICs_WIZNET-W5500_C32843.html" TargetMode="External"/><Relationship Id="rId4" Type="http://schemas.openxmlformats.org/officeDocument/2006/relationships/hyperlink" Target="https://www.lcsc.com/product-detail/Multilayer-Ceramic-Capacitors-MLCC-SMD-SMT_FH-Guangdong-Fenghua-Advanced-Tech-0603B682K500NT_C1631.html" TargetMode="External"/><Relationship Id="rId9" Type="http://schemas.openxmlformats.org/officeDocument/2006/relationships/hyperlink" Target="https://www.lcsc.com/product-detail/MOSFETs_VBsemi-Elec-FDN306P-VB_C725031.html" TargetMode="External"/><Relationship Id="rId14" Type="http://schemas.openxmlformats.org/officeDocument/2006/relationships/hyperlink" Target="https://www.lcsc.com/product-detail/Chip-Resistor-Surface-Mount_YAGEO-RC0603FR-0710RL_C109318.html" TargetMode="External"/><Relationship Id="rId22" Type="http://schemas.openxmlformats.org/officeDocument/2006/relationships/hyperlink" Target="https://www.digikey.com/en/products/detail/abracon-llc/ARJM11D7-114-AB-EW2/7675220?s=N4IgTCBcDaIIICUBSBZAjGgIgdgLQYBZc4AhXAUQHUIBdAX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6"/>
  <sheetViews>
    <sheetView tabSelected="1" topLeftCell="A10" workbookViewId="0">
      <selection activeCell="E25" sqref="E2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16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7.5703125" bestFit="1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4"/>
      <c r="L1" s="64"/>
      <c r="M1" s="64"/>
      <c r="N1" s="64"/>
      <c r="O1" s="64"/>
      <c r="P1" s="64"/>
      <c r="Q1" s="64"/>
      <c r="R1" s="64"/>
      <c r="S1" s="65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170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169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6"/>
    </row>
    <row r="4" spans="1:19" x14ac:dyDescent="0.25">
      <c r="A4" s="1"/>
      <c r="B4" s="22"/>
      <c r="C4" s="32"/>
      <c r="D4" s="13" t="s">
        <v>2</v>
      </c>
      <c r="E4" s="13"/>
      <c r="F4" s="57" t="s">
        <v>169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7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7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7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7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7"/>
    </row>
    <row r="9" spans="1:19" ht="15.75" thickBot="1" x14ac:dyDescent="0.3">
      <c r="A9" s="1"/>
      <c r="B9" s="30" t="s">
        <v>4</v>
      </c>
      <c r="C9" s="30" t="s">
        <v>8</v>
      </c>
      <c r="D9" s="30" t="s">
        <v>17</v>
      </c>
      <c r="E9" s="30" t="s">
        <v>42</v>
      </c>
      <c r="F9" s="30" t="s">
        <v>67</v>
      </c>
      <c r="G9" s="30" t="s">
        <v>77</v>
      </c>
      <c r="H9" s="30" t="s">
        <v>100</v>
      </c>
      <c r="I9" s="30" t="s">
        <v>155</v>
      </c>
      <c r="J9" s="30" t="s">
        <v>112</v>
      </c>
      <c r="K9" s="30" t="s">
        <v>163</v>
      </c>
      <c r="L9" s="30" t="s">
        <v>154</v>
      </c>
      <c r="M9" s="30" t="s">
        <v>156</v>
      </c>
      <c r="N9" s="30" t="s">
        <v>157</v>
      </c>
      <c r="O9" s="30" t="s">
        <v>158</v>
      </c>
      <c r="P9" s="30" t="s">
        <v>159</v>
      </c>
      <c r="Q9" s="30" t="s">
        <v>160</v>
      </c>
      <c r="R9" s="30" t="s">
        <v>161</v>
      </c>
      <c r="S9" s="30" t="s">
        <v>162</v>
      </c>
    </row>
    <row r="10" spans="1:19" x14ac:dyDescent="0.25">
      <c r="A10" s="1"/>
      <c r="B10" s="46">
        <f>ROW(B10) - ROW($B$9)</f>
        <v>1</v>
      </c>
      <c r="C10" s="53" t="s">
        <v>9</v>
      </c>
      <c r="D10" s="37" t="s">
        <v>18</v>
      </c>
      <c r="E10" s="37" t="s">
        <v>43</v>
      </c>
      <c r="F10" s="37" t="s">
        <v>68</v>
      </c>
      <c r="G10" s="37" t="s">
        <v>78</v>
      </c>
      <c r="H10" s="37" t="s">
        <v>101</v>
      </c>
      <c r="I10" s="37" t="s">
        <v>166</v>
      </c>
      <c r="J10" s="37" t="s">
        <v>113</v>
      </c>
      <c r="K10" s="37" t="s">
        <v>136</v>
      </c>
      <c r="L10" s="37">
        <v>2</v>
      </c>
      <c r="M10" s="37">
        <f>L10*5</f>
        <v>10</v>
      </c>
      <c r="N10" s="37">
        <v>20</v>
      </c>
      <c r="O10" s="60" t="s">
        <v>167</v>
      </c>
      <c r="P10" s="38">
        <v>3.5200000000000002E-2</v>
      </c>
      <c r="Q10" s="38">
        <f>P10*N10</f>
        <v>0.70400000000000007</v>
      </c>
      <c r="R10" s="37"/>
      <c r="S10" s="50"/>
    </row>
    <row r="11" spans="1:19" x14ac:dyDescent="0.25">
      <c r="A11" s="1"/>
      <c r="B11" s="47">
        <f t="shared" ref="B11:B33" si="0">ROW(B11) - ROW($B$9)</f>
        <v>2</v>
      </c>
      <c r="C11" s="54" t="s">
        <v>9</v>
      </c>
      <c r="D11" s="51" t="s">
        <v>19</v>
      </c>
      <c r="E11" s="51" t="s">
        <v>44</v>
      </c>
      <c r="F11" s="51" t="s">
        <v>68</v>
      </c>
      <c r="G11" s="51" t="s">
        <v>79</v>
      </c>
      <c r="H11" s="51" t="s">
        <v>101</v>
      </c>
      <c r="I11" s="51" t="s">
        <v>166</v>
      </c>
      <c r="J11" s="51" t="s">
        <v>114</v>
      </c>
      <c r="K11" s="51" t="s">
        <v>137</v>
      </c>
      <c r="L11" s="51">
        <v>7</v>
      </c>
      <c r="M11" s="51">
        <f t="shared" ref="M11" si="1">L11*5</f>
        <v>35</v>
      </c>
      <c r="N11" s="51">
        <v>100</v>
      </c>
      <c r="O11" s="60" t="s">
        <v>167</v>
      </c>
      <c r="P11" s="52">
        <v>3.5999999999999999E-3</v>
      </c>
      <c r="Q11" s="52">
        <f t="shared" ref="Q11" si="2">P11*N11</f>
        <v>0.36</v>
      </c>
      <c r="R11" s="51"/>
      <c r="S11" s="51"/>
    </row>
    <row r="12" spans="1:19" x14ac:dyDescent="0.25">
      <c r="A12" s="1"/>
      <c r="B12" s="46">
        <f>ROW(B12) - ROW($B$9)</f>
        <v>3</v>
      </c>
      <c r="C12" s="54" t="s">
        <v>9</v>
      </c>
      <c r="D12" s="37" t="s">
        <v>20</v>
      </c>
      <c r="E12" s="37" t="s">
        <v>45</v>
      </c>
      <c r="F12" s="37" t="s">
        <v>68</v>
      </c>
      <c r="G12" s="37" t="s">
        <v>80</v>
      </c>
      <c r="H12" s="37" t="s">
        <v>102</v>
      </c>
      <c r="I12" s="37" t="s">
        <v>166</v>
      </c>
      <c r="J12" s="37" t="s">
        <v>115</v>
      </c>
      <c r="K12" s="37" t="s">
        <v>138</v>
      </c>
      <c r="L12" s="37">
        <v>2</v>
      </c>
      <c r="M12" s="37">
        <f>L12*5</f>
        <v>10</v>
      </c>
      <c r="N12" s="37">
        <v>11</v>
      </c>
      <c r="O12" s="60" t="s">
        <v>167</v>
      </c>
      <c r="P12" s="38">
        <v>0.75260000000000005</v>
      </c>
      <c r="Q12" s="38">
        <f>P12*N12</f>
        <v>8.2786000000000008</v>
      </c>
      <c r="R12" s="37"/>
      <c r="S12" s="59"/>
    </row>
    <row r="13" spans="1:19" x14ac:dyDescent="0.25">
      <c r="A13" s="1"/>
      <c r="B13" s="47">
        <f t="shared" si="0"/>
        <v>4</v>
      </c>
      <c r="C13" s="54" t="s">
        <v>9</v>
      </c>
      <c r="D13" s="51" t="s">
        <v>21</v>
      </c>
      <c r="E13" s="51" t="s">
        <v>46</v>
      </c>
      <c r="F13" s="51" t="s">
        <v>68</v>
      </c>
      <c r="G13" s="51" t="s">
        <v>81</v>
      </c>
      <c r="H13" s="51" t="s">
        <v>103</v>
      </c>
      <c r="I13" s="51" t="s">
        <v>166</v>
      </c>
      <c r="J13" s="51" t="s">
        <v>116</v>
      </c>
      <c r="K13" s="51" t="s">
        <v>139</v>
      </c>
      <c r="L13" s="51">
        <v>2</v>
      </c>
      <c r="M13" s="51">
        <f t="shared" ref="M13" si="3">L13*5</f>
        <v>10</v>
      </c>
      <c r="N13" s="51">
        <v>100</v>
      </c>
      <c r="O13" s="60" t="s">
        <v>167</v>
      </c>
      <c r="P13" s="52">
        <v>2.8E-3</v>
      </c>
      <c r="Q13" s="52">
        <f t="shared" ref="Q13" si="4">P13*N13</f>
        <v>0.27999999999999997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9</v>
      </c>
      <c r="D14" s="37" t="s">
        <v>22</v>
      </c>
      <c r="E14" s="37" t="s">
        <v>47</v>
      </c>
      <c r="F14" s="37" t="s">
        <v>68</v>
      </c>
      <c r="G14" s="37" t="s">
        <v>82</v>
      </c>
      <c r="H14" s="37" t="s">
        <v>102</v>
      </c>
      <c r="I14" s="37"/>
      <c r="J14" s="37" t="s">
        <v>117</v>
      </c>
      <c r="K14" s="37" t="s">
        <v>140</v>
      </c>
      <c r="L14" s="37">
        <v>1</v>
      </c>
      <c r="M14" s="37">
        <f>L14*5</f>
        <v>5</v>
      </c>
      <c r="N14" s="37"/>
      <c r="O14" s="37" t="s">
        <v>167</v>
      </c>
      <c r="P14" s="38"/>
      <c r="Q14" s="38">
        <f>P14*N14</f>
        <v>0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9</v>
      </c>
      <c r="D15" s="51" t="s">
        <v>23</v>
      </c>
      <c r="E15" s="51" t="s">
        <v>48</v>
      </c>
      <c r="F15" s="51" t="s">
        <v>68</v>
      </c>
      <c r="G15" s="51" t="s">
        <v>83</v>
      </c>
      <c r="H15" s="51" t="s">
        <v>101</v>
      </c>
      <c r="I15" s="51" t="s">
        <v>166</v>
      </c>
      <c r="J15" s="51" t="s">
        <v>118</v>
      </c>
      <c r="K15" s="51" t="s">
        <v>141</v>
      </c>
      <c r="L15" s="51">
        <v>2</v>
      </c>
      <c r="M15" s="51">
        <f t="shared" ref="M15" si="5">L15*5</f>
        <v>10</v>
      </c>
      <c r="N15" s="51">
        <v>100</v>
      </c>
      <c r="O15" s="60" t="s">
        <v>167</v>
      </c>
      <c r="P15" s="52">
        <v>7.4000000000000003E-3</v>
      </c>
      <c r="Q15" s="52">
        <f t="shared" ref="Q15" si="6">P15*N15</f>
        <v>0.74</v>
      </c>
      <c r="R15" s="51"/>
      <c r="S15" s="59"/>
    </row>
    <row r="16" spans="1:19" x14ac:dyDescent="0.25">
      <c r="A16" s="1"/>
      <c r="B16" s="46">
        <f>ROW(B16) - ROW($B$9)</f>
        <v>7</v>
      </c>
      <c r="C16" s="54" t="s">
        <v>9</v>
      </c>
      <c r="D16" s="37" t="s">
        <v>24</v>
      </c>
      <c r="E16" s="37" t="s">
        <v>49</v>
      </c>
      <c r="F16" s="37" t="s">
        <v>68</v>
      </c>
      <c r="G16" s="37" t="s">
        <v>84</v>
      </c>
      <c r="H16" s="37" t="s">
        <v>102</v>
      </c>
      <c r="I16" s="37" t="s">
        <v>166</v>
      </c>
      <c r="J16" s="37" t="s">
        <v>119</v>
      </c>
      <c r="K16" s="37" t="s">
        <v>142</v>
      </c>
      <c r="L16" s="37">
        <v>1</v>
      </c>
      <c r="M16" s="37">
        <f>L16*5</f>
        <v>5</v>
      </c>
      <c r="N16" s="37">
        <v>10</v>
      </c>
      <c r="O16" s="60" t="s">
        <v>167</v>
      </c>
      <c r="P16" s="38">
        <v>4.2299999999999997E-2</v>
      </c>
      <c r="Q16" s="38">
        <f>P16*N16</f>
        <v>0.42299999999999999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9</v>
      </c>
      <c r="D17" s="51" t="s">
        <v>25</v>
      </c>
      <c r="E17" s="51" t="s">
        <v>50</v>
      </c>
      <c r="F17" s="51" t="s">
        <v>68</v>
      </c>
      <c r="G17" s="51" t="s">
        <v>85</v>
      </c>
      <c r="H17" s="51" t="s">
        <v>104</v>
      </c>
      <c r="I17" s="51"/>
      <c r="J17" s="51" t="s">
        <v>120</v>
      </c>
      <c r="K17" s="51" t="s">
        <v>143</v>
      </c>
      <c r="L17" s="51">
        <v>2</v>
      </c>
      <c r="M17" s="51">
        <f t="shared" ref="M17" si="7">L17*5</f>
        <v>10</v>
      </c>
      <c r="N17" s="51"/>
      <c r="O17" s="37" t="s">
        <v>167</v>
      </c>
      <c r="P17" s="52"/>
      <c r="Q17" s="52">
        <f t="shared" ref="Q17" si="8">P17*N17</f>
        <v>0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10</v>
      </c>
      <c r="D18" s="37" t="s">
        <v>26</v>
      </c>
      <c r="E18" s="37" t="s">
        <v>51</v>
      </c>
      <c r="F18" s="37" t="s">
        <v>69</v>
      </c>
      <c r="G18" s="37" t="s">
        <v>86</v>
      </c>
      <c r="H18" s="37" t="s">
        <v>105</v>
      </c>
      <c r="I18" s="37" t="s">
        <v>166</v>
      </c>
      <c r="J18" s="37" t="s">
        <v>121</v>
      </c>
      <c r="K18" s="37" t="s">
        <v>166</v>
      </c>
      <c r="L18" s="37">
        <v>2</v>
      </c>
      <c r="M18" s="37">
        <f>L18*5</f>
        <v>10</v>
      </c>
      <c r="N18" s="37">
        <v>15</v>
      </c>
      <c r="O18" s="60" t="s">
        <v>167</v>
      </c>
      <c r="P18" s="38">
        <v>0.18790000000000001</v>
      </c>
      <c r="Q18" s="38">
        <f>P18*N18</f>
        <v>2.8185000000000002</v>
      </c>
      <c r="R18" s="37"/>
      <c r="S18" s="59"/>
    </row>
    <row r="19" spans="1:19" x14ac:dyDescent="0.25">
      <c r="A19" s="1"/>
      <c r="B19" s="47">
        <f t="shared" si="0"/>
        <v>10</v>
      </c>
      <c r="C19" s="54" t="s">
        <v>11</v>
      </c>
      <c r="D19" s="51" t="s">
        <v>27</v>
      </c>
      <c r="E19" s="74" t="s">
        <v>172</v>
      </c>
      <c r="F19" s="51" t="s">
        <v>164</v>
      </c>
      <c r="G19" s="51" t="s">
        <v>70</v>
      </c>
      <c r="H19" s="51" t="s">
        <v>106</v>
      </c>
      <c r="I19" s="51"/>
      <c r="J19" s="51"/>
      <c r="K19" s="37" t="s">
        <v>166</v>
      </c>
      <c r="L19" s="51">
        <v>1</v>
      </c>
      <c r="M19" s="51">
        <f t="shared" ref="M19" si="9">L19*5</f>
        <v>5</v>
      </c>
      <c r="N19" s="51">
        <v>6</v>
      </c>
      <c r="O19" s="60" t="s">
        <v>171</v>
      </c>
      <c r="P19" s="52">
        <v>3.46</v>
      </c>
      <c r="Q19" s="52">
        <f t="shared" ref="Q19" si="10">P19*N19</f>
        <v>20.759999999999998</v>
      </c>
      <c r="R19" s="51"/>
      <c r="S19" s="59"/>
    </row>
    <row r="20" spans="1:19" ht="24" x14ac:dyDescent="0.25">
      <c r="A20" s="1"/>
      <c r="B20" s="46">
        <f>ROW(B20) - ROW($B$9)</f>
        <v>11</v>
      </c>
      <c r="C20" s="53" t="s">
        <v>165</v>
      </c>
      <c r="D20" s="63" t="s">
        <v>28</v>
      </c>
      <c r="E20" s="63" t="s">
        <v>52</v>
      </c>
      <c r="F20" s="63" t="s">
        <v>164</v>
      </c>
      <c r="G20" s="63" t="s">
        <v>166</v>
      </c>
      <c r="H20" s="63" t="s">
        <v>166</v>
      </c>
      <c r="I20" s="63" t="s">
        <v>166</v>
      </c>
      <c r="J20" s="63" t="s">
        <v>166</v>
      </c>
      <c r="K20" s="37" t="s">
        <v>166</v>
      </c>
      <c r="L20" s="63">
        <v>1</v>
      </c>
      <c r="M20" s="63">
        <f>L20*5</f>
        <v>5</v>
      </c>
      <c r="N20" s="63" t="s">
        <v>166</v>
      </c>
      <c r="O20" s="63" t="s">
        <v>166</v>
      </c>
      <c r="P20" s="63" t="s">
        <v>166</v>
      </c>
      <c r="Q20" s="63" t="s">
        <v>166</v>
      </c>
      <c r="R20" s="62" t="s">
        <v>168</v>
      </c>
      <c r="S20" s="59"/>
    </row>
    <row r="21" spans="1:19" ht="48" x14ac:dyDescent="0.25">
      <c r="A21" s="1"/>
      <c r="B21" s="47">
        <f t="shared" si="0"/>
        <v>12</v>
      </c>
      <c r="C21" s="54" t="s">
        <v>12</v>
      </c>
      <c r="D21" s="51" t="s">
        <v>29</v>
      </c>
      <c r="E21" s="51" t="s">
        <v>53</v>
      </c>
      <c r="F21" s="51" t="s">
        <v>71</v>
      </c>
      <c r="G21" s="51" t="s">
        <v>87</v>
      </c>
      <c r="H21" s="51" t="s">
        <v>107</v>
      </c>
      <c r="I21" s="51" t="s">
        <v>166</v>
      </c>
      <c r="J21" s="51" t="s">
        <v>122</v>
      </c>
      <c r="K21" s="37" t="s">
        <v>166</v>
      </c>
      <c r="L21" s="51">
        <v>1</v>
      </c>
      <c r="M21" s="51">
        <f t="shared" ref="M21" si="11">L21*5</f>
        <v>5</v>
      </c>
      <c r="N21" s="51">
        <v>20</v>
      </c>
      <c r="O21" s="60" t="s">
        <v>167</v>
      </c>
      <c r="P21" s="52">
        <v>3.3500000000000002E-2</v>
      </c>
      <c r="Q21" s="52">
        <f t="shared" ref="Q21" si="12">P21*N21</f>
        <v>0.67</v>
      </c>
      <c r="R21" s="51"/>
      <c r="S21" s="59"/>
    </row>
    <row r="22" spans="1:19" ht="24" x14ac:dyDescent="0.25">
      <c r="A22" s="1"/>
      <c r="B22" s="46">
        <f>ROW(B22) - ROW($B$9)</f>
        <v>13</v>
      </c>
      <c r="C22" s="54" t="s">
        <v>12</v>
      </c>
      <c r="D22" s="37" t="s">
        <v>30</v>
      </c>
      <c r="E22" s="37" t="s">
        <v>54</v>
      </c>
      <c r="F22" s="37" t="s">
        <v>72</v>
      </c>
      <c r="G22" s="37" t="s">
        <v>88</v>
      </c>
      <c r="H22" s="37" t="s">
        <v>108</v>
      </c>
      <c r="I22" s="37" t="s">
        <v>166</v>
      </c>
      <c r="J22" s="37" t="s">
        <v>123</v>
      </c>
      <c r="K22" s="37" t="s">
        <v>166</v>
      </c>
      <c r="L22" s="37">
        <v>1</v>
      </c>
      <c r="M22" s="37">
        <f>L22*5</f>
        <v>5</v>
      </c>
      <c r="N22" s="37">
        <v>10</v>
      </c>
      <c r="O22" s="60" t="s">
        <v>167</v>
      </c>
      <c r="P22" s="38">
        <v>7.3700000000000002E-2</v>
      </c>
      <c r="Q22" s="38">
        <f>P22*N22</f>
        <v>0.73699999999999999</v>
      </c>
      <c r="R22" s="37"/>
      <c r="S22" s="59"/>
    </row>
    <row r="23" spans="1:19" x14ac:dyDescent="0.25">
      <c r="A23" s="1"/>
      <c r="B23" s="47">
        <f t="shared" si="0"/>
        <v>14</v>
      </c>
      <c r="C23" s="54" t="s">
        <v>13</v>
      </c>
      <c r="D23" s="51" t="s">
        <v>31</v>
      </c>
      <c r="E23" s="51" t="s">
        <v>55</v>
      </c>
      <c r="F23" s="51" t="s">
        <v>73</v>
      </c>
      <c r="G23" s="51" t="s">
        <v>89</v>
      </c>
      <c r="H23" s="51" t="s">
        <v>101</v>
      </c>
      <c r="I23" s="51" t="s">
        <v>166</v>
      </c>
      <c r="J23" s="51" t="s">
        <v>124</v>
      </c>
      <c r="K23" s="51" t="s">
        <v>144</v>
      </c>
      <c r="L23" s="51">
        <v>1</v>
      </c>
      <c r="M23" s="51">
        <f t="shared" ref="M23" si="13">L23*5</f>
        <v>5</v>
      </c>
      <c r="N23" s="51">
        <v>100</v>
      </c>
      <c r="O23" s="60" t="s">
        <v>167</v>
      </c>
      <c r="P23" s="52">
        <v>1E-3</v>
      </c>
      <c r="Q23" s="52">
        <f t="shared" ref="Q23" si="14">P23*N23</f>
        <v>0.1</v>
      </c>
      <c r="R23" s="51"/>
      <c r="S23" s="59"/>
    </row>
    <row r="24" spans="1:19" ht="36" x14ac:dyDescent="0.25">
      <c r="A24" s="1"/>
      <c r="B24" s="46">
        <f>ROW(B24) - ROW($B$9)</f>
        <v>15</v>
      </c>
      <c r="C24" s="53" t="s">
        <v>13</v>
      </c>
      <c r="D24" s="37" t="s">
        <v>173</v>
      </c>
      <c r="E24" s="37" t="s">
        <v>56</v>
      </c>
      <c r="F24" s="37" t="s">
        <v>73</v>
      </c>
      <c r="G24" s="37" t="s">
        <v>90</v>
      </c>
      <c r="H24" s="37" t="s">
        <v>101</v>
      </c>
      <c r="I24" s="37" t="s">
        <v>166</v>
      </c>
      <c r="J24" s="37" t="s">
        <v>125</v>
      </c>
      <c r="K24" s="37" t="s">
        <v>145</v>
      </c>
      <c r="L24" s="37">
        <v>16</v>
      </c>
      <c r="M24" s="37">
        <f>L24*5</f>
        <v>80</v>
      </c>
      <c r="N24" s="37">
        <v>100</v>
      </c>
      <c r="O24" s="60" t="s">
        <v>167</v>
      </c>
      <c r="P24" s="52">
        <v>1E-3</v>
      </c>
      <c r="Q24" s="38">
        <f>P24*N24</f>
        <v>0.1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13</v>
      </c>
      <c r="D25" s="51" t="s">
        <v>32</v>
      </c>
      <c r="E25" s="51" t="s">
        <v>57</v>
      </c>
      <c r="F25" s="51" t="s">
        <v>73</v>
      </c>
      <c r="G25" s="51" t="s">
        <v>91</v>
      </c>
      <c r="H25" s="51" t="s">
        <v>101</v>
      </c>
      <c r="I25" s="51" t="s">
        <v>166</v>
      </c>
      <c r="J25" s="51" t="s">
        <v>126</v>
      </c>
      <c r="K25" s="51" t="s">
        <v>146</v>
      </c>
      <c r="L25" s="51">
        <v>2</v>
      </c>
      <c r="M25" s="51">
        <f t="shared" ref="M25" si="15">L25*5</f>
        <v>10</v>
      </c>
      <c r="N25" s="51">
        <v>100</v>
      </c>
      <c r="O25" s="60" t="s">
        <v>167</v>
      </c>
      <c r="P25" s="52">
        <v>1.2999999999999999E-3</v>
      </c>
      <c r="Q25" s="52">
        <f t="shared" ref="Q25" si="16">P25*N25</f>
        <v>0.13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13</v>
      </c>
      <c r="D26" s="37" t="s">
        <v>33</v>
      </c>
      <c r="E26" s="37" t="s">
        <v>58</v>
      </c>
      <c r="F26" s="37" t="s">
        <v>73</v>
      </c>
      <c r="G26" s="37" t="s">
        <v>92</v>
      </c>
      <c r="H26" s="37" t="s">
        <v>101</v>
      </c>
      <c r="I26" s="37" t="s">
        <v>166</v>
      </c>
      <c r="J26" s="37" t="s">
        <v>127</v>
      </c>
      <c r="K26" s="37" t="s">
        <v>147</v>
      </c>
      <c r="L26" s="37">
        <v>4</v>
      </c>
      <c r="M26" s="37">
        <f>L26*5</f>
        <v>20</v>
      </c>
      <c r="N26" s="37">
        <v>100</v>
      </c>
      <c r="O26" s="60" t="s">
        <v>167</v>
      </c>
      <c r="P26" s="38">
        <v>1.1999999999999999E-3</v>
      </c>
      <c r="Q26" s="38">
        <f>P26*N26</f>
        <v>0.12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13</v>
      </c>
      <c r="D27" s="51" t="s">
        <v>34</v>
      </c>
      <c r="E27" s="51" t="s">
        <v>59</v>
      </c>
      <c r="F27" s="51" t="s">
        <v>73</v>
      </c>
      <c r="G27" s="51" t="s">
        <v>93</v>
      </c>
      <c r="H27" s="51" t="s">
        <v>101</v>
      </c>
      <c r="I27" s="51" t="s">
        <v>166</v>
      </c>
      <c r="J27" s="51" t="s">
        <v>128</v>
      </c>
      <c r="K27" s="51" t="s">
        <v>148</v>
      </c>
      <c r="L27" s="51">
        <v>1</v>
      </c>
      <c r="M27" s="51">
        <f t="shared" ref="M27" si="17">L27*5</f>
        <v>5</v>
      </c>
      <c r="N27" s="51">
        <v>100</v>
      </c>
      <c r="O27" s="60" t="s">
        <v>167</v>
      </c>
      <c r="P27" s="52">
        <v>3.2000000000000002E-3</v>
      </c>
      <c r="Q27" s="52">
        <f t="shared" ref="Q27" si="18">P27*N27</f>
        <v>0.32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13</v>
      </c>
      <c r="D28" s="37" t="s">
        <v>35</v>
      </c>
      <c r="E28" s="37" t="s">
        <v>60</v>
      </c>
      <c r="F28" s="37" t="s">
        <v>73</v>
      </c>
      <c r="G28" s="37" t="s">
        <v>94</v>
      </c>
      <c r="H28" s="37" t="s">
        <v>101</v>
      </c>
      <c r="I28" s="37" t="s">
        <v>166</v>
      </c>
      <c r="J28" s="37" t="s">
        <v>129</v>
      </c>
      <c r="K28" s="37" t="s">
        <v>149</v>
      </c>
      <c r="L28" s="37">
        <v>4</v>
      </c>
      <c r="M28" s="37">
        <f>L28*5</f>
        <v>20</v>
      </c>
      <c r="N28" s="37">
        <v>100</v>
      </c>
      <c r="O28" s="60" t="s">
        <v>167</v>
      </c>
      <c r="P28" s="38">
        <v>1.1999999999999999E-3</v>
      </c>
      <c r="Q28" s="38">
        <f>P28*N28</f>
        <v>0.12</v>
      </c>
      <c r="R28" s="37"/>
      <c r="S28" s="59"/>
    </row>
    <row r="29" spans="1:19" x14ac:dyDescent="0.25">
      <c r="A29" s="1"/>
      <c r="B29" s="47">
        <f t="shared" si="0"/>
        <v>20</v>
      </c>
      <c r="C29" s="54" t="s">
        <v>13</v>
      </c>
      <c r="D29" s="51" t="s">
        <v>36</v>
      </c>
      <c r="E29" s="51" t="s">
        <v>61</v>
      </c>
      <c r="F29" s="51" t="s">
        <v>73</v>
      </c>
      <c r="G29" s="51" t="s">
        <v>95</v>
      </c>
      <c r="H29" s="51" t="s">
        <v>101</v>
      </c>
      <c r="I29" s="51" t="s">
        <v>166</v>
      </c>
      <c r="J29" s="51" t="s">
        <v>130</v>
      </c>
      <c r="K29" s="51" t="s">
        <v>150</v>
      </c>
      <c r="L29" s="51">
        <v>2</v>
      </c>
      <c r="M29" s="51">
        <f t="shared" ref="M29" si="19">L29*5</f>
        <v>10</v>
      </c>
      <c r="N29" s="51">
        <v>100</v>
      </c>
      <c r="O29" s="60" t="s">
        <v>167</v>
      </c>
      <c r="P29" s="52">
        <v>1.1000000000000001E-3</v>
      </c>
      <c r="Q29" s="52">
        <f t="shared" ref="Q29" si="20">P29*N29</f>
        <v>0.11</v>
      </c>
      <c r="R29" s="51"/>
      <c r="S29" s="59"/>
    </row>
    <row r="30" spans="1:19" x14ac:dyDescent="0.25">
      <c r="A30" s="1"/>
      <c r="B30" s="46">
        <f>ROW(B30) - ROW($B$9)</f>
        <v>21</v>
      </c>
      <c r="C30" s="54" t="s">
        <v>13</v>
      </c>
      <c r="D30" s="37" t="s">
        <v>37</v>
      </c>
      <c r="E30" s="37" t="s">
        <v>62</v>
      </c>
      <c r="F30" s="37" t="s">
        <v>73</v>
      </c>
      <c r="G30" s="37" t="s">
        <v>96</v>
      </c>
      <c r="H30" s="37" t="s">
        <v>101</v>
      </c>
      <c r="I30" s="51" t="s">
        <v>166</v>
      </c>
      <c r="J30" s="37" t="s">
        <v>131</v>
      </c>
      <c r="K30" s="37" t="s">
        <v>151</v>
      </c>
      <c r="L30" s="37">
        <v>1</v>
      </c>
      <c r="M30" s="37">
        <f>L30*5</f>
        <v>5</v>
      </c>
      <c r="N30" s="37">
        <v>100</v>
      </c>
      <c r="O30" s="60" t="s">
        <v>167</v>
      </c>
      <c r="P30" s="38">
        <v>1.2999999999999999E-3</v>
      </c>
      <c r="Q30" s="38">
        <f>P30*N30</f>
        <v>0.13</v>
      </c>
      <c r="R30" s="37"/>
      <c r="S30" s="59"/>
    </row>
    <row r="31" spans="1:19" x14ac:dyDescent="0.25">
      <c r="A31" s="1"/>
      <c r="B31" s="47">
        <f t="shared" si="0"/>
        <v>22</v>
      </c>
      <c r="C31" s="54" t="s">
        <v>13</v>
      </c>
      <c r="D31" s="51" t="s">
        <v>38</v>
      </c>
      <c r="E31" s="51" t="s">
        <v>63</v>
      </c>
      <c r="F31" s="51" t="s">
        <v>73</v>
      </c>
      <c r="G31" s="51" t="s">
        <v>97</v>
      </c>
      <c r="H31" s="51" t="s">
        <v>101</v>
      </c>
      <c r="I31" s="37" t="s">
        <v>166</v>
      </c>
      <c r="J31" s="51" t="s">
        <v>132</v>
      </c>
      <c r="K31" s="51" t="s">
        <v>152</v>
      </c>
      <c r="L31" s="51">
        <v>1</v>
      </c>
      <c r="M31" s="51">
        <f t="shared" ref="M31" si="21">L31*5</f>
        <v>5</v>
      </c>
      <c r="N31" s="51">
        <v>100</v>
      </c>
      <c r="O31" s="60" t="s">
        <v>167</v>
      </c>
      <c r="P31" s="52">
        <v>1.1999999999999999E-3</v>
      </c>
      <c r="Q31" s="52">
        <f t="shared" ref="Q31" si="22">P31*N31</f>
        <v>0.12</v>
      </c>
      <c r="R31" s="51"/>
      <c r="S31" s="59"/>
    </row>
    <row r="32" spans="1:19" x14ac:dyDescent="0.25">
      <c r="A32" s="1"/>
      <c r="B32" s="46">
        <f>ROW(B32) - ROW($B$9)</f>
        <v>23</v>
      </c>
      <c r="C32" s="53" t="s">
        <v>14</v>
      </c>
      <c r="D32" s="37" t="s">
        <v>39</v>
      </c>
      <c r="E32" s="37" t="s">
        <v>64</v>
      </c>
      <c r="F32" s="37" t="s">
        <v>74</v>
      </c>
      <c r="G32" s="37" t="s">
        <v>98</v>
      </c>
      <c r="H32" s="37" t="s">
        <v>109</v>
      </c>
      <c r="I32" s="51" t="s">
        <v>166</v>
      </c>
      <c r="J32" s="37" t="s">
        <v>133</v>
      </c>
      <c r="K32" s="37" t="s">
        <v>166</v>
      </c>
      <c r="L32" s="37">
        <v>1</v>
      </c>
      <c r="M32" s="37">
        <f>L32*5</f>
        <v>5</v>
      </c>
      <c r="N32" s="37">
        <v>6</v>
      </c>
      <c r="O32" s="60" t="s">
        <v>167</v>
      </c>
      <c r="P32" s="38">
        <v>2.641</v>
      </c>
      <c r="Q32" s="38">
        <f>P32*N32</f>
        <v>15.846</v>
      </c>
      <c r="R32" s="37"/>
      <c r="S32" s="59"/>
    </row>
    <row r="33" spans="1:19" x14ac:dyDescent="0.25">
      <c r="A33" s="1"/>
      <c r="B33" s="47">
        <f t="shared" si="0"/>
        <v>24</v>
      </c>
      <c r="C33" s="54" t="s">
        <v>15</v>
      </c>
      <c r="D33" s="51" t="s">
        <v>40</v>
      </c>
      <c r="E33" s="51" t="s">
        <v>65</v>
      </c>
      <c r="F33" s="51" t="s">
        <v>75</v>
      </c>
      <c r="G33" s="51" t="s">
        <v>99</v>
      </c>
      <c r="H33" s="51" t="s">
        <v>110</v>
      </c>
      <c r="I33" s="37" t="s">
        <v>166</v>
      </c>
      <c r="J33" s="51" t="s">
        <v>134</v>
      </c>
      <c r="K33" s="51" t="s">
        <v>166</v>
      </c>
      <c r="L33" s="51">
        <v>1</v>
      </c>
      <c r="M33" s="51">
        <f t="shared" ref="M33" si="23">L33*5</f>
        <v>5</v>
      </c>
      <c r="N33" s="51">
        <v>6</v>
      </c>
      <c r="O33" s="61" t="s">
        <v>167</v>
      </c>
      <c r="P33" s="52">
        <v>0.56479999999999997</v>
      </c>
      <c r="Q33" s="52">
        <f t="shared" ref="Q33" si="24">P33*N33</f>
        <v>3.3887999999999998</v>
      </c>
      <c r="R33" s="51"/>
      <c r="S33" s="59"/>
    </row>
    <row r="34" spans="1:19" ht="15.75" thickBot="1" x14ac:dyDescent="0.3">
      <c r="A34" s="1"/>
      <c r="B34" s="46">
        <f>ROW(B34) - ROW($B$9)</f>
        <v>25</v>
      </c>
      <c r="C34" s="53" t="s">
        <v>16</v>
      </c>
      <c r="D34" s="37" t="s">
        <v>41</v>
      </c>
      <c r="E34" s="37" t="s">
        <v>66</v>
      </c>
      <c r="F34" s="37" t="s">
        <v>164</v>
      </c>
      <c r="G34" s="37" t="s">
        <v>76</v>
      </c>
      <c r="H34" s="37" t="s">
        <v>111</v>
      </c>
      <c r="I34" s="51" t="s">
        <v>166</v>
      </c>
      <c r="J34" s="37" t="s">
        <v>135</v>
      </c>
      <c r="K34" s="37" t="s">
        <v>153</v>
      </c>
      <c r="L34" s="37">
        <v>1</v>
      </c>
      <c r="M34" s="37">
        <f>L34*5</f>
        <v>5</v>
      </c>
      <c r="N34" s="37">
        <v>6</v>
      </c>
      <c r="O34" s="60" t="s">
        <v>167</v>
      </c>
      <c r="P34" s="38">
        <v>0.25240000000000001</v>
      </c>
      <c r="Q34" s="38">
        <f>P34*N34</f>
        <v>1.5144000000000002</v>
      </c>
      <c r="R34" s="37"/>
      <c r="S34" s="39"/>
    </row>
    <row r="35" spans="1:19" ht="19.5" thickBot="1" x14ac:dyDescent="0.3">
      <c r="A35" s="1"/>
      <c r="B35" s="40"/>
      <c r="C35" s="41"/>
      <c r="D35" s="42"/>
      <c r="E35" s="43"/>
      <c r="F35" s="44"/>
      <c r="G35" s="45"/>
      <c r="H35" s="44"/>
      <c r="I35" s="45"/>
      <c r="J35" s="44"/>
      <c r="K35" s="45"/>
      <c r="L35" s="45"/>
      <c r="M35" s="45"/>
      <c r="N35" s="72" t="s">
        <v>5</v>
      </c>
      <c r="O35" s="73"/>
      <c r="P35" s="73"/>
      <c r="Q35" s="48">
        <f>SUM(Q10:Q34)</f>
        <v>57.770300000000013</v>
      </c>
      <c r="R35" s="68"/>
      <c r="S35" s="69"/>
    </row>
    <row r="36" spans="1:19" ht="19.5" thickBot="1" x14ac:dyDescent="0.3">
      <c r="A36" s="1"/>
      <c r="B36" s="25"/>
      <c r="C36" s="36"/>
      <c r="D36" s="9"/>
      <c r="E36" s="10"/>
      <c r="F36" s="10"/>
      <c r="G36" s="10"/>
      <c r="H36" s="10"/>
      <c r="I36" s="10"/>
      <c r="J36" s="10"/>
      <c r="K36" s="10"/>
      <c r="L36" s="10"/>
      <c r="M36" s="10"/>
      <c r="N36" s="72" t="s">
        <v>6</v>
      </c>
      <c r="O36" s="73"/>
      <c r="P36" s="73"/>
      <c r="Q36" s="49">
        <f>Q35/5</f>
        <v>11.554060000000003</v>
      </c>
      <c r="R36" s="70"/>
      <c r="S36" s="71"/>
    </row>
  </sheetData>
  <mergeCells count="5">
    <mergeCell ref="K1:S1"/>
    <mergeCell ref="S3:S8"/>
    <mergeCell ref="R35:S36"/>
    <mergeCell ref="N35:P35"/>
    <mergeCell ref="N36:P36"/>
  </mergeCells>
  <hyperlinks>
    <hyperlink ref="O10" r:id="rId1"/>
    <hyperlink ref="O11" r:id="rId2"/>
    <hyperlink ref="O12" r:id="rId3"/>
    <hyperlink ref="O13" r:id="rId4"/>
    <hyperlink ref="O15" r:id="rId5"/>
    <hyperlink ref="O16" r:id="rId6"/>
    <hyperlink ref="O18" r:id="rId7"/>
    <hyperlink ref="O21" r:id="rId8"/>
    <hyperlink ref="O22" r:id="rId9"/>
    <hyperlink ref="O23" r:id="rId10"/>
    <hyperlink ref="O24" r:id="rId11"/>
    <hyperlink ref="O25" r:id="rId12"/>
    <hyperlink ref="O26" r:id="rId13"/>
    <hyperlink ref="O27" r:id="rId14"/>
    <hyperlink ref="O28" r:id="rId15"/>
    <hyperlink ref="O29" r:id="rId16"/>
    <hyperlink ref="O30" r:id="rId17"/>
    <hyperlink ref="O31" r:id="rId18"/>
    <hyperlink ref="O32" r:id="rId19"/>
    <hyperlink ref="O33" r:id="rId20"/>
    <hyperlink ref="O34" r:id="rId21"/>
    <hyperlink ref="O19" r:id="rId22"/>
  </hyperlinks>
  <pageMargins left="0.7" right="0.7" top="0.75" bottom="0.75" header="0.3" footer="0.3"/>
  <pageSetup paperSize="9" orientation="portrait" r:id="rId23"/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2023-06-08T15:23:01Z</dcterms:modified>
</cp:coreProperties>
</file>