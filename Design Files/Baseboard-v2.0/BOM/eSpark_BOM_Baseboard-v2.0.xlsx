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chrisbyrd-esp32iotproduct\Design Files\Baseboard-v2.0\BOM\"/>
    </mc:Choice>
  </mc:AlternateContent>
  <bookViews>
    <workbookView xWindow="28680" yWindow="-120" windowWidth="29040" windowHeight="15840"/>
  </bookViews>
  <sheets>
    <sheet name="5 Boards" sheetId="1" r:id="rId1"/>
  </sheets>
  <calcPr calcId="162913"/>
</workbook>
</file>

<file path=xl/calcChain.xml><?xml version="1.0" encoding="utf-8"?>
<calcChain xmlns="http://schemas.openxmlformats.org/spreadsheetml/2006/main">
  <c r="Q92" i="1" l="1"/>
  <c r="Q62" i="1" l="1"/>
  <c r="M62" i="1"/>
  <c r="B62" i="1"/>
  <c r="Q72" i="1" l="1"/>
  <c r="M72" i="1"/>
  <c r="B72" i="1"/>
  <c r="Q91" i="1" l="1"/>
  <c r="M91" i="1"/>
  <c r="B91" i="1"/>
  <c r="Q90" i="1"/>
  <c r="M90" i="1"/>
  <c r="B90" i="1"/>
  <c r="Q89" i="1"/>
  <c r="M89" i="1"/>
  <c r="B89" i="1"/>
  <c r="Q88" i="1"/>
  <c r="M88" i="1"/>
  <c r="B88" i="1"/>
  <c r="Q87" i="1"/>
  <c r="M87" i="1"/>
  <c r="B87" i="1"/>
  <c r="Q86" i="1"/>
  <c r="M86" i="1"/>
  <c r="B86" i="1"/>
  <c r="Q85" i="1"/>
  <c r="M85" i="1"/>
  <c r="B85" i="1"/>
  <c r="Q84" i="1"/>
  <c r="M84" i="1"/>
  <c r="B84" i="1"/>
  <c r="Q83" i="1"/>
  <c r="M83" i="1"/>
  <c r="B83" i="1"/>
  <c r="Q82" i="1"/>
  <c r="M82" i="1"/>
  <c r="B82" i="1"/>
  <c r="Q81" i="1"/>
  <c r="M81" i="1"/>
  <c r="B81" i="1"/>
  <c r="Q80" i="1"/>
  <c r="M80" i="1"/>
  <c r="B80" i="1"/>
  <c r="Q79" i="1"/>
  <c r="M79" i="1"/>
  <c r="B79" i="1"/>
  <c r="Q78" i="1"/>
  <c r="M78" i="1"/>
  <c r="B78" i="1"/>
  <c r="Q77" i="1"/>
  <c r="M77" i="1"/>
  <c r="B77" i="1"/>
  <c r="Q76" i="1"/>
  <c r="M76" i="1"/>
  <c r="B76" i="1"/>
  <c r="Q75" i="1"/>
  <c r="M75" i="1"/>
  <c r="B75" i="1"/>
  <c r="Q74" i="1"/>
  <c r="M74" i="1"/>
  <c r="B74" i="1"/>
  <c r="M73" i="1"/>
  <c r="B73" i="1"/>
  <c r="Q71" i="1"/>
  <c r="M71" i="1"/>
  <c r="B71" i="1"/>
  <c r="Q70" i="1"/>
  <c r="M70" i="1"/>
  <c r="B70" i="1"/>
  <c r="Q69" i="1"/>
  <c r="M69" i="1"/>
  <c r="B69" i="1"/>
  <c r="Q68" i="1"/>
  <c r="M68" i="1"/>
  <c r="B68" i="1"/>
  <c r="Q67" i="1"/>
  <c r="M67" i="1"/>
  <c r="B67" i="1"/>
  <c r="Q61" i="1"/>
  <c r="M61" i="1"/>
  <c r="B61" i="1"/>
  <c r="Q66" i="1"/>
  <c r="M66" i="1"/>
  <c r="B66" i="1"/>
  <c r="Q65" i="1"/>
  <c r="M65" i="1"/>
  <c r="B65" i="1"/>
  <c r="Q64" i="1"/>
  <c r="M64" i="1"/>
  <c r="B64" i="1"/>
  <c r="Q63" i="1"/>
  <c r="M63" i="1"/>
  <c r="B63" i="1"/>
  <c r="Q60" i="1"/>
  <c r="M60" i="1"/>
  <c r="B60" i="1"/>
  <c r="Q59" i="1"/>
  <c r="M59" i="1"/>
  <c r="B59" i="1"/>
  <c r="Q58" i="1"/>
  <c r="M58" i="1"/>
  <c r="B58" i="1"/>
  <c r="Q57" i="1"/>
  <c r="M57" i="1"/>
  <c r="B57" i="1"/>
  <c r="Q56" i="1"/>
  <c r="M56" i="1"/>
  <c r="B56" i="1"/>
  <c r="Q55" i="1"/>
  <c r="M55" i="1"/>
  <c r="B55" i="1"/>
  <c r="Q54" i="1"/>
  <c r="M54" i="1"/>
  <c r="B54" i="1"/>
  <c r="Q53" i="1"/>
  <c r="M53" i="1"/>
  <c r="B53" i="1"/>
  <c r="Q52" i="1"/>
  <c r="M52" i="1"/>
  <c r="B52" i="1"/>
  <c r="M51" i="1"/>
  <c r="B51" i="1"/>
  <c r="Q50" i="1"/>
  <c r="M50" i="1"/>
  <c r="B50" i="1"/>
  <c r="Q49" i="1"/>
  <c r="M49" i="1"/>
  <c r="B49" i="1"/>
  <c r="M48" i="1"/>
  <c r="B48" i="1"/>
  <c r="Q47" i="1"/>
  <c r="M47" i="1"/>
  <c r="B47" i="1"/>
  <c r="Q46" i="1"/>
  <c r="M46" i="1"/>
  <c r="B46" i="1"/>
  <c r="Q45" i="1"/>
  <c r="M45" i="1"/>
  <c r="B45" i="1"/>
  <c r="Q44" i="1"/>
  <c r="M44" i="1"/>
  <c r="B44" i="1"/>
  <c r="Q43" i="1"/>
  <c r="M43" i="1"/>
  <c r="B43" i="1"/>
  <c r="Q42" i="1"/>
  <c r="M42" i="1"/>
  <c r="B42" i="1"/>
  <c r="Q41" i="1"/>
  <c r="M41" i="1"/>
  <c r="B41" i="1"/>
  <c r="Q40" i="1"/>
  <c r="M40" i="1"/>
  <c r="B40" i="1"/>
  <c r="Q39" i="1"/>
  <c r="M39" i="1"/>
  <c r="B39" i="1"/>
  <c r="Q38" i="1"/>
  <c r="M38" i="1"/>
  <c r="B38" i="1"/>
  <c r="Q37" i="1"/>
  <c r="M37" i="1"/>
  <c r="B37" i="1"/>
  <c r="Q36" i="1"/>
  <c r="M36" i="1"/>
  <c r="B36" i="1"/>
  <c r="Q35" i="1"/>
  <c r="M35" i="1"/>
  <c r="B35" i="1"/>
  <c r="Q34" i="1"/>
  <c r="M34" i="1"/>
  <c r="B34" i="1"/>
  <c r="Q33" i="1"/>
  <c r="M33" i="1"/>
  <c r="B33" i="1"/>
  <c r="Q32" i="1"/>
  <c r="M32" i="1"/>
  <c r="B32" i="1"/>
  <c r="Q31" i="1"/>
  <c r="M31" i="1"/>
  <c r="B31" i="1"/>
  <c r="Q30" i="1"/>
  <c r="M30" i="1"/>
  <c r="B30" i="1"/>
  <c r="Q29" i="1"/>
  <c r="M29" i="1"/>
  <c r="B29" i="1"/>
  <c r="Q28" i="1"/>
  <c r="M28" i="1"/>
  <c r="B28" i="1"/>
  <c r="Q27" i="1"/>
  <c r="M27" i="1"/>
  <c r="B27" i="1"/>
  <c r="Q26" i="1"/>
  <c r="M26" i="1"/>
  <c r="B26" i="1"/>
  <c r="Q25" i="1"/>
  <c r="M25" i="1"/>
  <c r="B25" i="1"/>
  <c r="Q24" i="1"/>
  <c r="M24" i="1"/>
  <c r="B24" i="1"/>
  <c r="Q23" i="1"/>
  <c r="M23" i="1"/>
  <c r="B23" i="1"/>
  <c r="Q22" i="1"/>
  <c r="M22" i="1"/>
  <c r="B22" i="1"/>
  <c r="Q21" i="1"/>
  <c r="M21" i="1"/>
  <c r="B21" i="1"/>
  <c r="Q20" i="1"/>
  <c r="M20" i="1"/>
  <c r="B20" i="1"/>
  <c r="Q19" i="1"/>
  <c r="M19" i="1"/>
  <c r="B19" i="1"/>
  <c r="Q18" i="1"/>
  <c r="M18" i="1"/>
  <c r="B18" i="1"/>
  <c r="Q17" i="1"/>
  <c r="M17" i="1"/>
  <c r="B17" i="1"/>
  <c r="Q16" i="1"/>
  <c r="M16" i="1"/>
  <c r="B16" i="1"/>
  <c r="Q15" i="1"/>
  <c r="M15" i="1"/>
  <c r="B15" i="1"/>
  <c r="Q14" i="1"/>
  <c r="M14" i="1"/>
  <c r="B14" i="1"/>
  <c r="Q13" i="1"/>
  <c r="M13" i="1"/>
  <c r="B13" i="1"/>
  <c r="Q12" i="1"/>
  <c r="M12" i="1"/>
  <c r="B12" i="1"/>
  <c r="Q11" i="1" l="1"/>
  <c r="Q93" i="1" s="1"/>
  <c r="M11" i="1"/>
  <c r="M10" i="1"/>
  <c r="B11" i="1"/>
  <c r="B10" i="1"/>
</calcChain>
</file>

<file path=xl/sharedStrings.xml><?xml version="1.0" encoding="utf-8"?>
<sst xmlns="http://schemas.openxmlformats.org/spreadsheetml/2006/main" count="855" uniqueCount="501">
  <si>
    <t>Component list</t>
  </si>
  <si>
    <t>Source Data From:</t>
  </si>
  <si>
    <t>Project:</t>
  </si>
  <si>
    <t>Variant:</t>
  </si>
  <si>
    <t>#</t>
  </si>
  <si>
    <t xml:space="preserve">Total Component Cost </t>
  </si>
  <si>
    <t>Single Board Cost</t>
  </si>
  <si>
    <t>None</t>
  </si>
  <si>
    <t>Item Type</t>
  </si>
  <si>
    <t>Capacitor</t>
  </si>
  <si>
    <t>Diode</t>
  </si>
  <si>
    <t>Fuse</t>
  </si>
  <si>
    <t>Ferrite Bead</t>
  </si>
  <si>
    <t>Terminal Block</t>
  </si>
  <si>
    <t>USB Connector</t>
  </si>
  <si>
    <t>Connector</t>
  </si>
  <si>
    <t>mPCI-E Connector</t>
  </si>
  <si>
    <t>Relay</t>
  </si>
  <si>
    <t>Inductor</t>
  </si>
  <si>
    <t>LED</t>
  </si>
  <si>
    <t>Resistor</t>
  </si>
  <si>
    <t>Varistor</t>
  </si>
  <si>
    <t>Solder Bridge</t>
  </si>
  <si>
    <t>Tactile Switch</t>
  </si>
  <si>
    <t>IC</t>
  </si>
  <si>
    <t>Crystal</t>
  </si>
  <si>
    <t>Designator</t>
  </si>
  <si>
    <t>ANT1</t>
  </si>
  <si>
    <t>C1</t>
  </si>
  <si>
    <t>C2, C9, C10, C13, C16, C17, C22, C23, C24, C27, C28, C32, C33, C34, C35, C36, C37, C38, C40, C41, C42, C43, C44, C45, C54</t>
  </si>
  <si>
    <t>C3, C19, C20</t>
  </si>
  <si>
    <t>C4, C5, C6</t>
  </si>
  <si>
    <t>C7, C8</t>
  </si>
  <si>
    <t>C11</t>
  </si>
  <si>
    <t>C12</t>
  </si>
  <si>
    <t>C14</t>
  </si>
  <si>
    <t>C15</t>
  </si>
  <si>
    <t>C18, C21, C26, C39</t>
  </si>
  <si>
    <t>C25, C48</t>
  </si>
  <si>
    <t>C29, C30</t>
  </si>
  <si>
    <t>C31, C46, C47</t>
  </si>
  <si>
    <t>D1</t>
  </si>
  <si>
    <t>D2</t>
  </si>
  <si>
    <t>D3</t>
  </si>
  <si>
    <t>D4</t>
  </si>
  <si>
    <t>D5, D12, D13</t>
  </si>
  <si>
    <t>D6, D7</t>
  </si>
  <si>
    <t>D8, D9, D10, D11</t>
  </si>
  <si>
    <t>D40, D41, D42, D43</t>
  </si>
  <si>
    <t>F1</t>
  </si>
  <si>
    <t>F2</t>
  </si>
  <si>
    <t>F19, F20, F21, F22</t>
  </si>
  <si>
    <t>FB1</t>
  </si>
  <si>
    <t>J1, J2, J4, J6, J7, J8, J10, J13</t>
  </si>
  <si>
    <t>J3</t>
  </si>
  <si>
    <t>J5, J9, J11, J14</t>
  </si>
  <si>
    <t>J12</t>
  </si>
  <si>
    <t>J17</t>
  </si>
  <si>
    <t>J19</t>
  </si>
  <si>
    <t>J20, J21</t>
  </si>
  <si>
    <t>K1, K2, K3</t>
  </si>
  <si>
    <t>L1</t>
  </si>
  <si>
    <t>L2</t>
  </si>
  <si>
    <t>LED1, LED3</t>
  </si>
  <si>
    <t>LED2</t>
  </si>
  <si>
    <t>Q1</t>
  </si>
  <si>
    <t>R1, R2</t>
  </si>
  <si>
    <t>R3</t>
  </si>
  <si>
    <t>R4</t>
  </si>
  <si>
    <t>R9</t>
  </si>
  <si>
    <t>R11, R29</t>
  </si>
  <si>
    <t>R14, R30</t>
  </si>
  <si>
    <t>R15, R16, R18, R19, R35, R36, R37, R38, R39, R40, R41, R42, R43, R44, R45, R46, R68, R69, R70, R71, R72, R77</t>
  </si>
  <si>
    <t>R17</t>
  </si>
  <si>
    <t>R25, R26, R32, R33</t>
  </si>
  <si>
    <t>R27</t>
  </si>
  <si>
    <t>R28</t>
  </si>
  <si>
    <t>R31</t>
  </si>
  <si>
    <t>R73, R74, R75, R76</t>
  </si>
  <si>
    <t>R78</t>
  </si>
  <si>
    <t>R87</t>
  </si>
  <si>
    <t>R90, R91</t>
  </si>
  <si>
    <t>R92</t>
  </si>
  <si>
    <t>SW1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</si>
  <si>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</si>
  <si>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</si>
  <si>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</si>
  <si>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</si>
  <si>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</si>
  <si>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</si>
  <si>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</si>
  <si>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</si>
  <si>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</si>
  <si>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U11, U27, U28</t>
  </si>
  <si>
    <t>U20</t>
  </si>
  <si>
    <t>U30</t>
  </si>
  <si>
    <t>U31</t>
  </si>
  <si>
    <t>U32</t>
  </si>
  <si>
    <t>U33</t>
  </si>
  <si>
    <t>X1</t>
  </si>
  <si>
    <t>X2</t>
  </si>
  <si>
    <t>Description</t>
  </si>
  <si>
    <t>CAP CER 4700PF 50V C0G/NPO 0603</t>
  </si>
  <si>
    <t>CAP CER 0.1UF 100V X5R 0402</t>
  </si>
  <si>
    <t>CAP CER 10000PF 50V X7R 0402</t>
  </si>
  <si>
    <t>68uF 50V SMD,D6.3xL7.7mm Aluminum Electrolytic Capacitors - SMD ROHS</t>
  </si>
  <si>
    <t>47uF 6.3V 5Ω@100kHz ±10% CASE-A-3216 Tantalum Capacitors ROHS</t>
  </si>
  <si>
    <t>CAP TANT 100UF 20% 10V 1411</t>
  </si>
  <si>
    <t>CAP CER 1UF 50V X5R 0402</t>
  </si>
  <si>
    <t>CAP CER 10UF 10V X5R 0402</t>
  </si>
  <si>
    <t>CAP CER 22PF 50V C0G/NPO 0402</t>
  </si>
  <si>
    <t>CAP CER 330PF 50V C0G/NPO 0603</t>
  </si>
  <si>
    <t>TVS DIODE 5VWM 6.3VC DSN0603-2</t>
  </si>
  <si>
    <t>58.1V 40V 36V Bi-Directional SMB(DO-214AA) TVS ROHS</t>
  </si>
  <si>
    <t>100V Single 650mV@20A 20A TO-277 Schottky Barrier Diodes (SBD) ROHS</t>
  </si>
  <si>
    <t>15V 19A 3.3V 4V Bidirectional SOD-323 ESD Protection Devices ROHS</t>
  </si>
  <si>
    <t>DIODE GEN PURP 75V 200MA SOD523F</t>
  </si>
  <si>
    <t>Single 5.2V~6V 200mW 5.6V SOD-323 Zener Diodes ROHS</t>
  </si>
  <si>
    <t>DIODE ZENER ARRAY 3.3V SOT363</t>
  </si>
  <si>
    <t>SMB(DO-214AA) TVS ROHS</t>
  </si>
  <si>
    <t>PTC RESET FUSE 6V 3A 1206</t>
  </si>
  <si>
    <t>30V 5A 5A 2920 Resettable Fuses ROHS</t>
  </si>
  <si>
    <t>9V 200mA 100A 500mA 0805 Resettable Fuses ROHS</t>
  </si>
  <si>
    <t>FERRITE BEAD 120 OHM 1206 1LN</t>
  </si>
  <si>
    <t>1x3P 18A -40℃~+105℃ 250V Black 12~30 Straight pin 5.08mm 2.5 1 3 Plugin,P=5.08mm Screw terminal ROHS</t>
  </si>
  <si>
    <t>250mA 1 16 Female Type-C SMD USB Connectors ROHS</t>
  </si>
  <si>
    <t>1x2P 18A -40℃~+105℃ 250V Black 12~30 Straight pin 5.08mm 2.5 1 2 Plugin,P=5.08mm Screw terminal ROHS</t>
  </si>
  <si>
    <t>1x6P SH 1 1mm 6 SMD,P=1mm Wire To Board / Wire To Wire Connector ROHS</t>
  </si>
  <si>
    <t>0.8mm mPCI-E Surface Mount 52 SMD,P=0.8mm Card Edge Connectors ROHS</t>
  </si>
  <si>
    <t>7A 10uH ±20% 10A SMD,10.3x10.5mm Power Inductors ROHS</t>
  </si>
  <si>
    <t>2nH ±0.3nH 0603 Inductors</t>
  </si>
  <si>
    <t>Green 520~535nm 0402 Light Emitting Diodes (LED) RoHS</t>
  </si>
  <si>
    <t>Red 632nm LED Indication - Discrete 2.05V 0603 (1608 Metric)</t>
  </si>
  <si>
    <t>Test Point ON</t>
  </si>
  <si>
    <t>TRANS PNP 40V 600MA SOT23-3</t>
  </si>
  <si>
    <t>RES SMD 5.1 KOHM 1% 1/5W 0402</t>
  </si>
  <si>
    <t>VARISTOR 47V 500A DISC 10MM</t>
  </si>
  <si>
    <t>RES SMD 1M OHM 5% 1/16W 0402</t>
  </si>
  <si>
    <t>RES SMD 10K OHM 1% 1/20W 0201</t>
  </si>
  <si>
    <t>RES 1K OHM 1% 1/20W 0201</t>
  </si>
  <si>
    <t>100mW Thick Film Resistors ±1% 3.24kΩ 0603 Chip Resistor - Surface Mount ROHS</t>
  </si>
  <si>
    <t>RES SMD 100K OHM 5% 1/20W 0201</t>
  </si>
  <si>
    <t>RES 470 OHM 5% 1/20W 0201</t>
  </si>
  <si>
    <t>RES 47K OHM 1% 1/16W 0402</t>
  </si>
  <si>
    <t>RES 4.7K OHM 1% 1/16W 0402</t>
  </si>
  <si>
    <t>RES 499 OHM 1% 1/16W 0402</t>
  </si>
  <si>
    <t>RES 56K OHM 1% 1/16W 0402</t>
  </si>
  <si>
    <t>RES 330K OHM 1% 1/10W 0603</t>
  </si>
  <si>
    <t>RES SMD 0402 150kOhm 5% Paper T/R</t>
  </si>
  <si>
    <t>RES SMD 68K OHM 0.1% 1/10W 0603</t>
  </si>
  <si>
    <t>RES 0 OHM JUMPER 1/16W 0402</t>
  </si>
  <si>
    <t>RES SMD 22 OHM 1% 1/5W 0402</t>
  </si>
  <si>
    <t>RES 120 OHM 1% 1/10W 0603</t>
  </si>
  <si>
    <t>RES SMD 68 OHM 0.1% 1/16W 0402</t>
  </si>
  <si>
    <t>RES SMD 680 OHM 1% 1/10W 0603</t>
  </si>
  <si>
    <t>RES 3.3K OHM 1% 1/16W 0402</t>
  </si>
  <si>
    <t>Solder Bridge ON</t>
  </si>
  <si>
    <t>50mA Lying SPST 24V Plugin Tactile Switches ROHS</t>
  </si>
  <si>
    <t>IC REG BUCK ADJUSTABLE 5A 8SOPWR</t>
  </si>
  <si>
    <t>1.6-V TO 5.5-V, 40-M, 2.5-A, LOW</t>
  </si>
  <si>
    <t>72dB@(120Hz) 5A Fixed 3.3V~3.3V Positive 12V TO-263-3 Linear Voltage Regulators (LDO) ROHS</t>
  </si>
  <si>
    <t>IC REG LDO ADJ 3A TO263-5</t>
  </si>
  <si>
    <t>IC FLASH 64M SPI 133MHZ 8SOIC</t>
  </si>
  <si>
    <t>SMD IC ESP32-S3R8, DUAL-CORE MCU</t>
  </si>
  <si>
    <t>IC AUTHENTICATION CHIP 8SOIC</t>
  </si>
  <si>
    <t>IC TELECOM INTERFACE 20SSOP</t>
  </si>
  <si>
    <t>IC RF SWITCH SPDT 3GHZ SOT23-6</t>
  </si>
  <si>
    <t>IC XPNDR 1.7MHZ I2C 28SSOP</t>
  </si>
  <si>
    <t>100uA@50V 3V@2V,300mA 1.6V@350mA 4mA@12V 100uA@50V 1.25V@350mA 500mA 25pF SOP-16_150mil Darlington Transistor Arrays ROHS</t>
  </si>
  <si>
    <t>IC TRANSCEIVER FULL 2/2 16SOIC</t>
  </si>
  <si>
    <t>SOP-8 RS-485/RS-422 ICs ROHS</t>
  </si>
  <si>
    <t>DGTL ISO 2.5KV GEN PURP 8SOIC</t>
  </si>
  <si>
    <t>40MHz SMD Crystal Resonator 15pF SMD3225-4P Crystals ROHS</t>
  </si>
  <si>
    <t>Footprint</t>
  </si>
  <si>
    <t>ANT*</t>
  </si>
  <si>
    <t>Cap-0603</t>
  </si>
  <si>
    <t>Cap-0402</t>
  </si>
  <si>
    <t>RVT1H680M0607</t>
  </si>
  <si>
    <t>Case-A</t>
  </si>
  <si>
    <t>Case-B</t>
  </si>
  <si>
    <t>DSN0603-2</t>
  </si>
  <si>
    <t>SMB_</t>
  </si>
  <si>
    <t>TO-277</t>
  </si>
  <si>
    <t>SOD-523F</t>
  </si>
  <si>
    <t>SOD-323</t>
  </si>
  <si>
    <t>SOT-363</t>
  </si>
  <si>
    <t>Fuse 1206 (3216 Metric)</t>
  </si>
  <si>
    <t>Fuse-2920</t>
  </si>
  <si>
    <t>Fuse-0805</t>
  </si>
  <si>
    <t>IND-1206</t>
  </si>
  <si>
    <t>DB128L-5.08-3P-BK-S</t>
  </si>
  <si>
    <t>DB128L-5.08-2P-BK-S</t>
  </si>
  <si>
    <t>91304-99-052R2</t>
  </si>
  <si>
    <t>PSPMAA1040-100M-ANP</t>
  </si>
  <si>
    <t>IND-0603 (1608 Metric)</t>
  </si>
  <si>
    <t>LED-0402</t>
  </si>
  <si>
    <t>LED-0603</t>
  </si>
  <si>
    <t>Test-point</t>
  </si>
  <si>
    <t>sot-23</t>
  </si>
  <si>
    <t>Res-0402</t>
  </si>
  <si>
    <t>B72210S0300K101</t>
  </si>
  <si>
    <t>Res-0201</t>
  </si>
  <si>
    <t>Res-0603</t>
  </si>
  <si>
    <t>Solder Bridge 0402</t>
  </si>
  <si>
    <t>1825027-8</t>
  </si>
  <si>
    <t>8-SO-EP_</t>
  </si>
  <si>
    <t>SOT-583</t>
  </si>
  <si>
    <t>TO263-3_</t>
  </si>
  <si>
    <t>TO-263-5 (D2PAK)</t>
  </si>
  <si>
    <t>SOIC-8 (208 mil)</t>
  </si>
  <si>
    <t>56-QFN (7x7)</t>
  </si>
  <si>
    <t>SOIC-8</t>
  </si>
  <si>
    <t>SSOP-20-5.2mm</t>
  </si>
  <si>
    <t>SOT-23-6</t>
  </si>
  <si>
    <t>SSOP-28-208mil</t>
  </si>
  <si>
    <t>SOP-16_150mil</t>
  </si>
  <si>
    <t>SOIC-16</t>
  </si>
  <si>
    <t>SOP-8</t>
  </si>
  <si>
    <t>Manufacturer Part Number</t>
  </si>
  <si>
    <t>CC0603JRNPO9BN472</t>
  </si>
  <si>
    <t>GRM155R62A104KE14D</t>
  </si>
  <si>
    <t>CC0402KRX7R9BB103</t>
  </si>
  <si>
    <t>CA45-A-6.3V-47uF-K</t>
  </si>
  <si>
    <t>TAJB107M010RNJ</t>
  </si>
  <si>
    <t>UMK105CBJ105MV-F</t>
  </si>
  <si>
    <t>CL05A106MP5NUNC</t>
  </si>
  <si>
    <t>CC0402JRNPO9BN220</t>
  </si>
  <si>
    <t>CC0603JRNPO9BN331</t>
  </si>
  <si>
    <t>PESD5V0H1BSFYL</t>
  </si>
  <si>
    <t>SMBJ36CA</t>
  </si>
  <si>
    <t>ST20100L</t>
  </si>
  <si>
    <t>1N4148WT</t>
  </si>
  <si>
    <t>BZT52C5V6S</t>
  </si>
  <si>
    <t>BZX84C3V3TS-7-F</t>
  </si>
  <si>
    <t>SMBJ26CA</t>
  </si>
  <si>
    <t>1206L300SLTHYR</t>
  </si>
  <si>
    <t>SHV2920P500-30-AA</t>
  </si>
  <si>
    <t>SMD0805P020TF</t>
  </si>
  <si>
    <t>BLM31PG121SN1L</t>
  </si>
  <si>
    <t>TYPE-C-31-M-12</t>
  </si>
  <si>
    <t>C145963</t>
  </si>
  <si>
    <t>SDCL1608C2N0STDF</t>
  </si>
  <si>
    <t>16-213/GHC-YR1S1/3T</t>
  </si>
  <si>
    <t>19-21/R7C-AK1L2BY/3T</t>
  </si>
  <si>
    <t>MMBT4403LT1G</t>
  </si>
  <si>
    <t>ERJ-PA2F5101X</t>
  </si>
  <si>
    <t>AF0402JR-071ML</t>
  </si>
  <si>
    <t>RC0201FR-0710KL</t>
  </si>
  <si>
    <t>RC0201FR-071KP</t>
  </si>
  <si>
    <t>0603WAF3241T5E</t>
  </si>
  <si>
    <t>RC0201JR-07100KL</t>
  </si>
  <si>
    <t>RC0201JR-07470RL</t>
  </si>
  <si>
    <t>RC0402FR-0747KL</t>
  </si>
  <si>
    <t>RC0402FR-074K7L</t>
  </si>
  <si>
    <t>RC0402FR-07499RL</t>
  </si>
  <si>
    <t>RC0402FR-0756KL</t>
  </si>
  <si>
    <t>RC0603FR-07330KL</t>
  </si>
  <si>
    <t>RC0402JR-07150KL</t>
  </si>
  <si>
    <t>RT0603BRD0768KL</t>
  </si>
  <si>
    <t>RC0402FR-070RL</t>
  </si>
  <si>
    <t>RCS040222R0FKED</t>
  </si>
  <si>
    <t>RC0603FR-07120RL</t>
  </si>
  <si>
    <t>ERA-2AEB680X</t>
  </si>
  <si>
    <t>RC0603FR-07680RL</t>
  </si>
  <si>
    <t>RC0402FR-073K3L</t>
  </si>
  <si>
    <t>TPS5450DDAR</t>
  </si>
  <si>
    <t>TPS2116DRLR</t>
  </si>
  <si>
    <t>LM1084S-3.3/TR</t>
  </si>
  <si>
    <t>MIC29302WU-TR</t>
  </si>
  <si>
    <t>W25Q64JVSSIQ TR</t>
  </si>
  <si>
    <t>ESP32-S3R8</t>
  </si>
  <si>
    <t>ATECC608B-SSHDA-B</t>
  </si>
  <si>
    <t>MT8870DN1</t>
  </si>
  <si>
    <t>HMC221BETR</t>
  </si>
  <si>
    <t>MCP23017T-E/SS</t>
  </si>
  <si>
    <t>ULN2003A</t>
  </si>
  <si>
    <t>MAX3232IDR</t>
  </si>
  <si>
    <t>SP3485EIM/TR</t>
  </si>
  <si>
    <t>ADUM1201ARZ-RL7</t>
  </si>
  <si>
    <t>ADUM1200ARZ-RL7</t>
  </si>
  <si>
    <t>X322540MPB4SI</t>
  </si>
  <si>
    <t>Manufacturer</t>
  </si>
  <si>
    <t>Yageo</t>
  </si>
  <si>
    <t>Murata</t>
  </si>
  <si>
    <t>ROQANG</t>
  </si>
  <si>
    <t>CEC</t>
  </si>
  <si>
    <t>Kyocera AVX</t>
  </si>
  <si>
    <t>Taiyo Yuden</t>
  </si>
  <si>
    <t>Samsung</t>
  </si>
  <si>
    <t>Nexperia</t>
  </si>
  <si>
    <t>Slkor(SLKORMICRO Elec.)</t>
  </si>
  <si>
    <t>Jiangsu Changjing Electronics Technology Co., Ltd.</t>
  </si>
  <si>
    <t>Brightking</t>
  </si>
  <si>
    <t>ON Semiconductor / Fairchild</t>
  </si>
  <si>
    <t>Jiangsu Changjing Electronics Technology Co.</t>
  </si>
  <si>
    <t>Diodes Incorporated</t>
  </si>
  <si>
    <t>MSKSEMI</t>
  </si>
  <si>
    <t>Littelfuse</t>
  </si>
  <si>
    <t>PTTC(Polytronics Tech)</t>
  </si>
  <si>
    <t>RUILON</t>
  </si>
  <si>
    <t>DIBO</t>
  </si>
  <si>
    <t>Korean Hroparts Elec</t>
  </si>
  <si>
    <t>BOOMELE</t>
  </si>
  <si>
    <t>UMAX</t>
  </si>
  <si>
    <t>PROD Tech</t>
  </si>
  <si>
    <t>Sunlord</t>
  </si>
  <si>
    <t>Everlight Elec</t>
  </si>
  <si>
    <t>ON Semiconductor</t>
  </si>
  <si>
    <t>Panasonic</t>
  </si>
  <si>
    <t>TDK EPCOS</t>
  </si>
  <si>
    <t>UNI-ROYAL</t>
  </si>
  <si>
    <t>Vishay Dale</t>
  </si>
  <si>
    <t>TE Connectivity</t>
  </si>
  <si>
    <t>Texas Instruments</t>
  </si>
  <si>
    <t>HGSEMI</t>
  </si>
  <si>
    <t>Microchip</t>
  </si>
  <si>
    <t>Winbond</t>
  </si>
  <si>
    <t>Espressif Systems</t>
  </si>
  <si>
    <t>Microsemi</t>
  </si>
  <si>
    <t>Analog Devices</t>
  </si>
  <si>
    <t>Mixic</t>
  </si>
  <si>
    <t>Yangxing Tech</t>
  </si>
  <si>
    <t>LCSC Part Number</t>
  </si>
  <si>
    <t>C576818</t>
  </si>
  <si>
    <t>C162178</t>
  </si>
  <si>
    <t>C60133</t>
  </si>
  <si>
    <t>C5221836</t>
  </si>
  <si>
    <t>C129570</t>
  </si>
  <si>
    <t>C7196</t>
  </si>
  <si>
    <t>C315248</t>
  </si>
  <si>
    <t>C106203</t>
  </si>
  <si>
    <t>C62784</t>
  </si>
  <si>
    <t>C477989</t>
  </si>
  <si>
    <t>C556189</t>
  </si>
  <si>
    <t>C2693410</t>
  </si>
  <si>
    <t>C232841</t>
  </si>
  <si>
    <t>C22612</t>
  </si>
  <si>
    <t>C5124989</t>
  </si>
  <si>
    <t>C5331111</t>
  </si>
  <si>
    <t>C207041</t>
  </si>
  <si>
    <t>C495350</t>
  </si>
  <si>
    <t>C20976</t>
  </si>
  <si>
    <t>C85841</t>
  </si>
  <si>
    <t>C430602</t>
  </si>
  <si>
    <t>C165948</t>
  </si>
  <si>
    <t>C430601</t>
  </si>
  <si>
    <t>C404126</t>
  </si>
  <si>
    <t>C2983105</t>
  </si>
  <si>
    <t>C370234</t>
  </si>
  <si>
    <t>C74338</t>
  </si>
  <si>
    <t>C1322287</t>
  </si>
  <si>
    <t>C78864</t>
  </si>
  <si>
    <t>C125513</t>
  </si>
  <si>
    <t>C144054</t>
  </si>
  <si>
    <t>C106225</t>
  </si>
  <si>
    <t>C22994</t>
  </si>
  <si>
    <t>C106230</t>
  </si>
  <si>
    <t>C93943</t>
  </si>
  <si>
    <t>C105871</t>
  </si>
  <si>
    <t>C137970</t>
  </si>
  <si>
    <t>C114756</t>
  </si>
  <si>
    <t>C114618</t>
  </si>
  <si>
    <t>C137919</t>
  </si>
  <si>
    <t>C106231</t>
  </si>
  <si>
    <t>C114640</t>
  </si>
  <si>
    <t>C445573</t>
  </si>
  <si>
    <t>C112310</t>
  </si>
  <si>
    <t>C137992</t>
  </si>
  <si>
    <t>C114425</t>
  </si>
  <si>
    <t>C3235557</t>
  </si>
  <si>
    <t>C259972</t>
  </si>
  <si>
    <t>C11149</t>
  </si>
  <si>
    <t>C179171</t>
  </si>
  <si>
    <t>C1522106</t>
  </si>
  <si>
    <t>C558584</t>
  </si>
  <si>
    <t>C181730</t>
  </si>
  <si>
    <t>C18261</t>
  </si>
  <si>
    <t>C519086</t>
  </si>
  <si>
    <t>C9669</t>
  </si>
  <si>
    <t>C15219</t>
  </si>
  <si>
    <t>C9010</t>
  </si>
  <si>
    <t>Antenna</t>
  </si>
  <si>
    <t>4.7nF</t>
  </si>
  <si>
    <t>0.1uf</t>
  </si>
  <si>
    <t>10nF</t>
  </si>
  <si>
    <t>68uF</t>
  </si>
  <si>
    <t>220uF</t>
  </si>
  <si>
    <t>10uF</t>
  </si>
  <si>
    <t>47uF</t>
  </si>
  <si>
    <t>330uF</t>
  </si>
  <si>
    <t>100uF</t>
  </si>
  <si>
    <t>1uF</t>
  </si>
  <si>
    <t>22PF</t>
  </si>
  <si>
    <t>330pF</t>
  </si>
  <si>
    <t>100MHz</t>
  </si>
  <si>
    <t>10uH</t>
  </si>
  <si>
    <t>2nH</t>
  </si>
  <si>
    <t>5.1K</t>
  </si>
  <si>
    <t>1M</t>
  </si>
  <si>
    <t>10K</t>
  </si>
  <si>
    <t>1K</t>
  </si>
  <si>
    <t>3.24K</t>
  </si>
  <si>
    <t>100K</t>
  </si>
  <si>
    <t>470R</t>
  </si>
  <si>
    <t>47K</t>
  </si>
  <si>
    <t>4.7K</t>
  </si>
  <si>
    <t>499R</t>
  </si>
  <si>
    <t>0R</t>
  </si>
  <si>
    <t>56k</t>
  </si>
  <si>
    <t>330K</t>
  </si>
  <si>
    <t>150K</t>
  </si>
  <si>
    <t>68K</t>
  </si>
  <si>
    <t>22R</t>
  </si>
  <si>
    <t>120R</t>
  </si>
  <si>
    <t>68R</t>
  </si>
  <si>
    <t>680R</t>
  </si>
  <si>
    <t>3.3K</t>
  </si>
  <si>
    <t>40MHz</t>
  </si>
  <si>
    <t>3.579545MHz</t>
  </si>
  <si>
    <t>Quantity</t>
  </si>
  <si>
    <t>Alternate Part Number</t>
  </si>
  <si>
    <t>MOQ (5 Boards)</t>
  </si>
  <si>
    <t>Links</t>
  </si>
  <si>
    <t>Unit Cost (5 Boards)</t>
  </si>
  <si>
    <t>Total Cost (5 Boards)</t>
  </si>
  <si>
    <t>Remarks</t>
  </si>
  <si>
    <t>Reviewer Remarks</t>
  </si>
  <si>
    <t>Quantity (5 Boards)</t>
  </si>
  <si>
    <t>Value</t>
  </si>
  <si>
    <t>-</t>
  </si>
  <si>
    <t>UFL Connector</t>
  </si>
  <si>
    <t>Test Point</t>
  </si>
  <si>
    <t>Mosfet</t>
  </si>
  <si>
    <t>Bill of Materials for Project [Baseboard-v2.0.]</t>
  </si>
  <si>
    <t>Baseboard-v2.0</t>
  </si>
  <si>
    <t>Custom</t>
  </si>
  <si>
    <t>LCSC</t>
  </si>
  <si>
    <t>--</t>
  </si>
  <si>
    <t>C705793</t>
  </si>
  <si>
    <t>C266196</t>
  </si>
  <si>
    <t>DO NOT MOUNT</t>
  </si>
  <si>
    <t>C1518208</t>
  </si>
  <si>
    <t>GRM155R61H105KE05D</t>
  </si>
  <si>
    <t>UDD32C03L01</t>
  </si>
  <si>
    <t>C78439</t>
  </si>
  <si>
    <t>RT0402BRE075K1L</t>
  </si>
  <si>
    <t>C853340</t>
  </si>
  <si>
    <t>RC0201FR-071KL</t>
  </si>
  <si>
    <t>C138165</t>
  </si>
  <si>
    <t>RC-01W471JT</t>
  </si>
  <si>
    <t>C304545</t>
  </si>
  <si>
    <t>0402WGJ0220TCE</t>
  </si>
  <si>
    <t>C25152</t>
  </si>
  <si>
    <t>chipsmall</t>
  </si>
  <si>
    <t>1 Inner bore SMA Board Edge Bend -55℃~+155℃ 50Ω Plugin RF Connectors / Coaxial Connectors ROHS</t>
  </si>
  <si>
    <t>HJ-SMA508</t>
  </si>
  <si>
    <t>HJ Tech</t>
  </si>
  <si>
    <t>C1509209</t>
  </si>
  <si>
    <t>CAP TANT 220UF 10% 10V 2917</t>
  </si>
  <si>
    <t>Case-D</t>
  </si>
  <si>
    <t>C8024</t>
  </si>
  <si>
    <t>10uF 10V 8Ω@100kHz ±10% CASE-A-3216 Tantalum Capacitors ROHS</t>
  </si>
  <si>
    <t>CA45-A-10V-10uF-K</t>
  </si>
  <si>
    <t>CEC(Shenzhen Zhenhua XinYun Elec)</t>
  </si>
  <si>
    <t>C128253</t>
  </si>
  <si>
    <t>CAP TANT 330UF 20% 16V 2917</t>
  </si>
  <si>
    <t>Case-E</t>
  </si>
  <si>
    <t>TAJE337M016RNJ</t>
  </si>
  <si>
    <t>C51599</t>
  </si>
  <si>
    <t>3.579545MHz 20pF ±30ppm HC-49S-SMD Crystals ROHS</t>
  </si>
  <si>
    <t>HC-49S-SMD</t>
  </si>
  <si>
    <t>TAXM3.579M2ILFBET2T</t>
  </si>
  <si>
    <t>TAE</t>
  </si>
  <si>
    <t>C362352</t>
  </si>
  <si>
    <t>R5, R7, R13, R34, R47, R48, R54, R55, R93, R94, R95, R96</t>
  </si>
  <si>
    <t>R12, R20</t>
  </si>
  <si>
    <t>R21, R63, R64, R65, R66, R67, R82, R83, R84, R88, R89</t>
  </si>
  <si>
    <t>Resistor Array</t>
  </si>
  <si>
    <t>RES ARRAY 4 RES 10K OHM 1206</t>
  </si>
  <si>
    <t>YC164-FR-0710KL</t>
  </si>
  <si>
    <t>C110924</t>
  </si>
  <si>
    <t>RELAY GEN PURPOSE SPDT 3A 5V</t>
  </si>
  <si>
    <t>J102K1CS35VDC.20</t>
  </si>
  <si>
    <t>CIT Relay &amp; Switch</t>
  </si>
  <si>
    <t>Chipsmall</t>
  </si>
  <si>
    <t>P1, P2, P3, P4, P5, P6, P7, P8, P9</t>
  </si>
  <si>
    <t>R6, R8, R10, R79, R80, R81, R85, R86</t>
  </si>
  <si>
    <t>R22, R23, R24</t>
  </si>
  <si>
    <t>RN1, RN2</t>
  </si>
  <si>
    <t>SB1, SB2, SB3</t>
  </si>
  <si>
    <t>TAJD227K010RNJ</t>
  </si>
  <si>
    <t>F0503-ZV-18-20T-R</t>
  </si>
  <si>
    <t>YC164-JR-07100KL</t>
  </si>
  <si>
    <t>FPC Connector</t>
  </si>
  <si>
    <t>Slide Lock 18P Contact, Vertical - One Side Brick nogging 0.5mm SMD,P=0.5mm FFC/FPC Connectors ROHS</t>
  </si>
  <si>
    <t>XFCN</t>
  </si>
  <si>
    <t>C481243</t>
  </si>
  <si>
    <t>RES ARRAY 4 RES 100K OHM 1206</t>
  </si>
  <si>
    <t>YC164-JR-070RL</t>
  </si>
  <si>
    <t>C192933</t>
  </si>
  <si>
    <t>DNP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</si>
</sst>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8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trike/>
      <sz val="9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8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4" borderId="1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0" fontId="12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11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1" xfId="0" applyNumberFormat="1" applyFont="1" applyFill="1" applyBorder="1" applyAlignment="1">
      <alignment horizontal="center" vertical="center"/>
    </xf>
    <xf numFmtId="0" fontId="19" fillId="2" borderId="16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 vertical="center" wrapText="1"/>
    </xf>
    <xf numFmtId="165" fontId="18" fillId="2" borderId="17" xfId="0" applyNumberFormat="1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 wrapText="1"/>
    </xf>
    <xf numFmtId="0" fontId="21" fillId="2" borderId="17" xfId="0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8" fillId="2" borderId="22" xfId="0" applyFont="1" applyFill="1" applyBorder="1" applyAlignment="1">
      <alignment horizontal="center" vertical="center" wrapText="1"/>
    </xf>
    <xf numFmtId="0" fontId="22" fillId="2" borderId="17" xfId="1" applyFill="1" applyBorder="1" applyAlignment="1">
      <alignment horizontal="center" vertical="center" wrapText="1"/>
    </xf>
    <xf numFmtId="0" fontId="18" fillId="2" borderId="17" xfId="0" quotePrefix="1" applyFont="1" applyFill="1" applyBorder="1" applyAlignment="1">
      <alignment horizontal="center" vertical="center" wrapText="1"/>
    </xf>
    <xf numFmtId="0" fontId="23" fillId="2" borderId="16" xfId="0" applyFont="1" applyFill="1" applyBorder="1" applyAlignment="1">
      <alignment horizontal="center" vertical="center" wrapText="1"/>
    </xf>
    <xf numFmtId="0" fontId="24" fillId="2" borderId="16" xfId="0" applyFont="1" applyFill="1" applyBorder="1" applyAlignment="1">
      <alignment horizontal="center" vertical="center" wrapText="1"/>
    </xf>
    <xf numFmtId="0" fontId="25" fillId="2" borderId="16" xfId="0" applyFont="1" applyFill="1" applyBorder="1" applyAlignment="1">
      <alignment horizontal="center" vertical="center" wrapText="1"/>
    </xf>
    <xf numFmtId="0" fontId="25" fillId="2" borderId="17" xfId="0" applyFont="1" applyFill="1" applyBorder="1" applyAlignment="1">
      <alignment horizontal="center" vertical="center" wrapText="1"/>
    </xf>
    <xf numFmtId="0" fontId="23" fillId="2" borderId="17" xfId="0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 vertical="center" wrapText="1"/>
    </xf>
    <xf numFmtId="0" fontId="19" fillId="2" borderId="17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26" fillId="0" borderId="0" xfId="0" applyFont="1"/>
    <xf numFmtId="0" fontId="27" fillId="0" borderId="0" xfId="0" applyFont="1"/>
    <xf numFmtId="0" fontId="22" fillId="2" borderId="16" xfId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0" xfId="0" applyFont="1" applyFill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20" fillId="3" borderId="20" xfId="0" applyFont="1" applyFill="1" applyBorder="1" applyAlignment="1" applyProtection="1">
      <alignment horizontal="center" vertical="top"/>
      <protection locked="0"/>
    </xf>
    <xf numFmtId="0" fontId="20" fillId="3" borderId="12" xfId="0" applyFont="1" applyFill="1" applyBorder="1" applyAlignment="1" applyProtection="1">
      <alignment horizontal="center" vertical="top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csc.com/product-detail/NOR-FLASH_Winbond-Elec-W25Q64JVSSIQ_C179171.html" TargetMode="External"/><Relationship Id="rId21" Type="http://schemas.openxmlformats.org/officeDocument/2006/relationships/hyperlink" Target="https://www.lcsc.com/product-detail/RS-485-RS-422-ICs_HGSEMI-SP3485EIM-TR_C519086.html" TargetMode="External"/><Relationship Id="rId42" Type="http://schemas.openxmlformats.org/officeDocument/2006/relationships/hyperlink" Target="https://www.lcsc.com/product-detail/Chip-Resistor-Surface-Mount_YAGEO-RC0402FR-0747KL_C93943.html" TargetMode="External"/><Relationship Id="rId47" Type="http://schemas.openxmlformats.org/officeDocument/2006/relationships/hyperlink" Target="https://www.lcsc.com/product-detail/Varistors_TDK-B72210S0300K101_C125513.html" TargetMode="External"/><Relationship Id="rId63" Type="http://schemas.openxmlformats.org/officeDocument/2006/relationships/hyperlink" Target="https://www.lcsc.com/product-detail/Zener-Diodes_Diodes-Incorporated-BZX84C3V3TS-7-F_C5124989.html" TargetMode="External"/><Relationship Id="rId68" Type="http://schemas.openxmlformats.org/officeDocument/2006/relationships/hyperlink" Target="https://www.lcsc.com/product-detail/Multilayer-Ceramic-Capacitors-MLCC-SMD-SMT_YAGEO-CC0603JRNPO9BN331_C62784.html" TargetMode="External"/><Relationship Id="rId16" Type="http://schemas.openxmlformats.org/officeDocument/2006/relationships/hyperlink" Target="https://www.lcsc.com/product-detail/Multilayer-Ceramic-Capacitors-MLCC-SMD-SMT_Murata-Electronics-GRM155R61H105KE05D_C1518208.html" TargetMode="External"/><Relationship Id="rId11" Type="http://schemas.openxmlformats.org/officeDocument/2006/relationships/hyperlink" Target="https://www.lcsc.com/product-detail/Chip-Resistor-Surface-Mount_FH-Guangdong-Fenghua-Advanced-Tech-RC-01W471JT_C304545.html" TargetMode="External"/><Relationship Id="rId32" Type="http://schemas.openxmlformats.org/officeDocument/2006/relationships/hyperlink" Target="https://www.lcsc.com/product-detail/Chip-Resistor-Surface-Mount_YAGEO-RC0603FR-07680RL_C112310.html" TargetMode="External"/><Relationship Id="rId37" Type="http://schemas.openxmlformats.org/officeDocument/2006/relationships/hyperlink" Target="https://www.lcsc.com/product-detail/Chip-Resistor-Surface-Mount_YAGEO-RC0402JR-07150KL_C137919.html" TargetMode="External"/><Relationship Id="rId53" Type="http://schemas.openxmlformats.org/officeDocument/2006/relationships/hyperlink" Target="https://www.lcsc.com/product-detail/Card-Edge-Connectors_UMAX-91304-99-052R2_C404126.html" TargetMode="External"/><Relationship Id="rId58" Type="http://schemas.openxmlformats.org/officeDocument/2006/relationships/hyperlink" Target="https://www.lcsc.com/product-detail/Ferrite-Beads_Murata-Electronics-BLM31PG121SN1L_C85841.html" TargetMode="External"/><Relationship Id="rId74" Type="http://schemas.openxmlformats.org/officeDocument/2006/relationships/hyperlink" Target="https://www.lcsc.com/product-detail/Multilayer-Ceramic-Capacitors-MLCC-SMD-SMT_YAGEO-CC0402KRX7R9BB103_C60133.html" TargetMode="External"/><Relationship Id="rId79" Type="http://schemas.openxmlformats.org/officeDocument/2006/relationships/hyperlink" Target="https://www.lcsc.com/product-detail/Resistor-Networks-Arrays_YAGEO-YC164-JR-07100KL_C192933.html" TargetMode="External"/><Relationship Id="rId5" Type="http://schemas.openxmlformats.org/officeDocument/2006/relationships/hyperlink" Target="https://www.lcsc.com/product-detail/Tantalum-Capacitors_Kyocera-AVX-TAJE337M016RNJ_C51599.html" TargetMode="External"/><Relationship Id="rId61" Type="http://schemas.openxmlformats.org/officeDocument/2006/relationships/hyperlink" Target="https://www.lcsc.com/product-detail/Resettable-Fuses_Littelfuse-1206L300SLTHYR_C207041.html" TargetMode="External"/><Relationship Id="rId19" Type="http://schemas.openxmlformats.org/officeDocument/2006/relationships/hyperlink" Target="https://www.lcsc.com/product-detail/Digital-Isolators_Analog-Devices-ADuM1200ARZ-RL7_C15219.html" TargetMode="External"/><Relationship Id="rId14" Type="http://schemas.openxmlformats.org/officeDocument/2006/relationships/hyperlink" Target="https://www.lcsc.com/product-detail/ESD-Protection-Devices_Brightking-UDD32C03L01_C78439.html" TargetMode="External"/><Relationship Id="rId22" Type="http://schemas.openxmlformats.org/officeDocument/2006/relationships/hyperlink" Target="https://www.lcsc.com/product-detail/RS232-ICs_Texas-Instruments-MAX3232IDR_C18261.html" TargetMode="External"/><Relationship Id="rId27" Type="http://schemas.openxmlformats.org/officeDocument/2006/relationships/hyperlink" Target="https://www.lcsc.com/product-detail/Linear-Voltage-Regulators-LDO_Microchip-Tech-MIC29302WU-TR_C11149.html" TargetMode="External"/><Relationship Id="rId30" Type="http://schemas.openxmlformats.org/officeDocument/2006/relationships/hyperlink" Target="https://www.lcsc.com/product-detail/DC-DC-Converters_Texas-Instruments-TPS5450DDAR_C114425.html" TargetMode="External"/><Relationship Id="rId35" Type="http://schemas.openxmlformats.org/officeDocument/2006/relationships/hyperlink" Target="https://www.lcsc.com/product-detail/Chip-Resistor-Surface-Mount_YAGEO-RC0402FR-070RL_C106231.html" TargetMode="External"/><Relationship Id="rId43" Type="http://schemas.openxmlformats.org/officeDocument/2006/relationships/hyperlink" Target="https://www.lcsc.com/product-detail/Chip-Resistor-Surface-Mount_YAGEO-RC0201JR-07100KL_C106230.html" TargetMode="External"/><Relationship Id="rId48" Type="http://schemas.openxmlformats.org/officeDocument/2006/relationships/hyperlink" Target="https://www.lcsc.com/product-detail/Bipolar-Transistors-BJT_onsemi-MMBT4403LT1G_C78864.html" TargetMode="External"/><Relationship Id="rId56" Type="http://schemas.openxmlformats.org/officeDocument/2006/relationships/hyperlink" Target="https://www.lcsc.com/product-detail/USB-Connectors_Korean-Hroparts-Elec-TYPE-C-31-M-12_C165948.html" TargetMode="External"/><Relationship Id="rId64" Type="http://schemas.openxmlformats.org/officeDocument/2006/relationships/hyperlink" Target="https://www.lcsc.com/product-detail/Zener-Diodes_Jiangsu-Changjing-Electronics-Technology-Co-Ltd-BZT52C5V6S_C22612.html" TargetMode="External"/><Relationship Id="rId69" Type="http://schemas.openxmlformats.org/officeDocument/2006/relationships/hyperlink" Target="https://www.lcsc.com/product-detail/Multilayer-Ceramic-Capacitors-MLCC-SMD-SMT_Samsung-Electro-Mechanics-CL05A106MP5NUNC_C315248.html" TargetMode="External"/><Relationship Id="rId77" Type="http://schemas.openxmlformats.org/officeDocument/2006/relationships/hyperlink" Target="https://www.lcsc.com/product-detail/Tantalum-Capacitors_Kyocera-AVX-TAJD227K010RNJ_C8024.html" TargetMode="External"/><Relationship Id="rId8" Type="http://schemas.openxmlformats.org/officeDocument/2006/relationships/hyperlink" Target="https://www.chipsmall.com/Products/ATECC608B-SSHDA-B_30785657.html" TargetMode="External"/><Relationship Id="rId51" Type="http://schemas.openxmlformats.org/officeDocument/2006/relationships/hyperlink" Target="https://www.lcsc.com/product-detail/Inductors-SMD_Sunlord-SDCL1608C2N0STDF_C370234.html" TargetMode="External"/><Relationship Id="rId72" Type="http://schemas.openxmlformats.org/officeDocument/2006/relationships/hyperlink" Target="https://www.lcsc.com/product-detail/Tantalum-Capacitors_CEC-Shenzhen-Zhenhua-XinYun-Elec-CA45-A-6-3V-47uF-K_C129570.html" TargetMode="External"/><Relationship Id="rId80" Type="http://schemas.openxmlformats.org/officeDocument/2006/relationships/printerSettings" Target="../printerSettings/printerSettings1.bin"/><Relationship Id="rId3" Type="http://schemas.openxmlformats.org/officeDocument/2006/relationships/hyperlink" Target="https://www.lcsc.com/product-detail/Crystals_TAE-Zhejiang-Abel-Elec-TAXM3-579M2ILFBET2T_C362352.html" TargetMode="External"/><Relationship Id="rId12" Type="http://schemas.openxmlformats.org/officeDocument/2006/relationships/hyperlink" Target="https://www.lcsc.com/product-detail/Chip-Resistor-Surface-Mount_YAGEO-RC0201FR-071KL_C138165.html" TargetMode="External"/><Relationship Id="rId17" Type="http://schemas.openxmlformats.org/officeDocument/2006/relationships/hyperlink" Target="https://www.lcsc.com/product-detail/Tactile-Switches_TE-Connectivity-1825027-8_C266196.html" TargetMode="External"/><Relationship Id="rId25" Type="http://schemas.openxmlformats.org/officeDocument/2006/relationships/hyperlink" Target="https://www.lcsc.com/product-detail/Telecommunication-Interface-ICs_Microchip-Tech-MT8870DN1_C1522106.html" TargetMode="External"/><Relationship Id="rId33" Type="http://schemas.openxmlformats.org/officeDocument/2006/relationships/hyperlink" Target="https://www.lcsc.com/product-detail/Chip-Resistor-Surface-Mount_PANASONIC-ERA2AEB680X_C445573.html" TargetMode="External"/><Relationship Id="rId38" Type="http://schemas.openxmlformats.org/officeDocument/2006/relationships/hyperlink" Target="https://www.lcsc.com/product-detail/Chip-Resistor-Surface-Mount_YAGEO-RC0603FR-07330KL_C114618.html" TargetMode="External"/><Relationship Id="rId46" Type="http://schemas.openxmlformats.org/officeDocument/2006/relationships/hyperlink" Target="https://www.lcsc.com/product-detail/Chip-Resistor-Surface-Mount_YAGEO-AF0402JR-071ML_C144054.html" TargetMode="External"/><Relationship Id="rId59" Type="http://schemas.openxmlformats.org/officeDocument/2006/relationships/hyperlink" Target="https://www.lcsc.com/product-detail/Resettable-Fuses_RUILON-Shenzhen-Ruilongyuan-Elec-SMD0805P020TF_C20976.html" TargetMode="External"/><Relationship Id="rId67" Type="http://schemas.openxmlformats.org/officeDocument/2006/relationships/hyperlink" Target="https://www.lcsc.com/product-detail/ESD-Protection-Devices_Nexperia-PESD5V0H1BSF_C477989.html" TargetMode="External"/><Relationship Id="rId20" Type="http://schemas.openxmlformats.org/officeDocument/2006/relationships/hyperlink" Target="https://www.lcsc.com/product-detail/Digital-Isolators_Analog-Devices-ADUM1201ARZ-RL7_C9669.html" TargetMode="External"/><Relationship Id="rId41" Type="http://schemas.openxmlformats.org/officeDocument/2006/relationships/hyperlink" Target="https://www.lcsc.com/product-detail/Chip-Resistor-Surface-Mount_YAGEO-RC0402FR-074K7L_C105871.html" TargetMode="External"/><Relationship Id="rId54" Type="http://schemas.openxmlformats.org/officeDocument/2006/relationships/hyperlink" Target="https://www.lcsc.com/product-detail/Wire-To-Board-Wire-To-Wire-Connector_BOOMELE-Boom-Precision-Elec-C145963_C145963.html" TargetMode="External"/><Relationship Id="rId62" Type="http://schemas.openxmlformats.org/officeDocument/2006/relationships/hyperlink" Target="https://www.lcsc.com/product-detail/TVS_MSKSEMI-SMBJ26CA_C5331111.html" TargetMode="External"/><Relationship Id="rId70" Type="http://schemas.openxmlformats.org/officeDocument/2006/relationships/hyperlink" Target="https://www.lcsc.com/product-detail/Multilayer-Ceramic-Capacitors-MLCC-SMD-SMT_YAGEO-CC0402JRNPO9BN220_C106203.html" TargetMode="External"/><Relationship Id="rId75" Type="http://schemas.openxmlformats.org/officeDocument/2006/relationships/hyperlink" Target="https://www.lcsc.com/product-detail/Multilayer-Ceramic-Capacitors-MLCC-SMD-SMT_Murata-Electronics-GRM155R62A104KE14D_C162178.html" TargetMode="External"/><Relationship Id="rId1" Type="http://schemas.openxmlformats.org/officeDocument/2006/relationships/hyperlink" Target="https://www.chipsmall.com/Products/J102K1CS35VDC-20_32030008.html" TargetMode="External"/><Relationship Id="rId6" Type="http://schemas.openxmlformats.org/officeDocument/2006/relationships/hyperlink" Target="https://www.lcsc.com/product-detail/Tantalum-Capacitors_CEC-Shenzhen-Zhenhua-XinYun-Elec-CA45-A-10V-10uF-K_C128253.html" TargetMode="External"/><Relationship Id="rId15" Type="http://schemas.openxmlformats.org/officeDocument/2006/relationships/hyperlink" Target="https://www.lcsc.com/product-detail/Schottky-Barrier-Diodes-SBD_Jiangsu-Changjing-Electronics-Technology-Co-Ltd-ST20100L_C2693410.html" TargetMode="External"/><Relationship Id="rId23" Type="http://schemas.openxmlformats.org/officeDocument/2006/relationships/hyperlink" Target="https://www.lcsc.com/product-detail/Darlington-Transistor-Arrays_Mixic-ULN2003A_C181730.html" TargetMode="External"/><Relationship Id="rId28" Type="http://schemas.openxmlformats.org/officeDocument/2006/relationships/hyperlink" Target="https://www.lcsc.com/product-detail/Linear-Voltage-Regulators-LDO_HGSEMI-LM1084S-3-3-TR_C259972.html" TargetMode="External"/><Relationship Id="rId36" Type="http://schemas.openxmlformats.org/officeDocument/2006/relationships/hyperlink" Target="https://www.lcsc.com/product-detail/Chip-Resistor-Surface-Mount_YAGEO-RT0603BRD0768KL_C705793.html" TargetMode="External"/><Relationship Id="rId49" Type="http://schemas.openxmlformats.org/officeDocument/2006/relationships/hyperlink" Target="https://www.lcsc.com/product-detail/Light-Emitting-Diodes-LED_Everlight-Elec-19-21-R7C-AK1L2BY-3T_C1322287.html" TargetMode="External"/><Relationship Id="rId57" Type="http://schemas.openxmlformats.org/officeDocument/2006/relationships/hyperlink" Target="https://www.lcsc.com/product-detail/Screw-terminal_DIBO-DB128L-5-08-3P-BK-S_C430602.html" TargetMode="External"/><Relationship Id="rId10" Type="http://schemas.openxmlformats.org/officeDocument/2006/relationships/hyperlink" Target="https://www.lcsc.com/product-detail/Chip-Resistor-Surface-Mount_UNI-ROYAL-Uniroyal-Elec-0402WGJ0220TCE_C25152.html" TargetMode="External"/><Relationship Id="rId31" Type="http://schemas.openxmlformats.org/officeDocument/2006/relationships/hyperlink" Target="https://www.lcsc.com/product-detail/Chip-Resistor-Surface-Mount_YAGEO-RC0402FR-073K3L_C137992.html" TargetMode="External"/><Relationship Id="rId44" Type="http://schemas.openxmlformats.org/officeDocument/2006/relationships/hyperlink" Target="https://www.lcsc.com/product-detail/Chip-Resistor-Surface-Mount_UNI-ROYAL-Uniroyal-Elec-0603WAF3241T5E_C22994.html" TargetMode="External"/><Relationship Id="rId52" Type="http://schemas.openxmlformats.org/officeDocument/2006/relationships/hyperlink" Target="https://www.lcsc.com/product-detail/Power-Inductors_PROD-Tech-PSPMAA1040-100M-ANP_C2983105.html" TargetMode="External"/><Relationship Id="rId60" Type="http://schemas.openxmlformats.org/officeDocument/2006/relationships/hyperlink" Target="https://www.lcsc.com/product-detail/Resettable-Fuses_PTTC-Polytronics-Tech-SHV2920P500-30-AA_C495350.html" TargetMode="External"/><Relationship Id="rId65" Type="http://schemas.openxmlformats.org/officeDocument/2006/relationships/hyperlink" Target="https://www.lcsc.com/product-detail/Switching-Diode_onsemi-1N4148WT_C232841.html" TargetMode="External"/><Relationship Id="rId73" Type="http://schemas.openxmlformats.org/officeDocument/2006/relationships/hyperlink" Target="https://www.lcsc.com/product-detail/Aluminum-Electrolytic-Capacitors-SMD_ROQANG-RVT1H680M0607_C5221836.html" TargetMode="External"/><Relationship Id="rId78" Type="http://schemas.openxmlformats.org/officeDocument/2006/relationships/hyperlink" Target="https://www.lcsc.com/product-detail/FFC-FPC-Connectors_XFCN-F0503-ZV-18-20T-R_C481243.html" TargetMode="External"/><Relationship Id="rId81" Type="http://schemas.openxmlformats.org/officeDocument/2006/relationships/drawing" Target="../drawings/drawing1.xml"/><Relationship Id="rId4" Type="http://schemas.openxmlformats.org/officeDocument/2006/relationships/hyperlink" Target="https://www.lcsc.com/product-detail/RF-Connectors-Coaxial-Connectors_HJ-Tech-HJ-SMA508_C1509209.html" TargetMode="External"/><Relationship Id="rId9" Type="http://schemas.openxmlformats.org/officeDocument/2006/relationships/hyperlink" Target="https://www.chipsmall.com/Products/ESP32-S3R8_33393977.html" TargetMode="External"/><Relationship Id="rId13" Type="http://schemas.openxmlformats.org/officeDocument/2006/relationships/hyperlink" Target="https://www.lcsc.com/product-detail/Chip-span-style-background-color-ff0-Resistor-span-Surface-Mount_YAGEO-RT0402BRE075K1L_C853340.html" TargetMode="External"/><Relationship Id="rId18" Type="http://schemas.openxmlformats.org/officeDocument/2006/relationships/hyperlink" Target="https://www.lcsc.com/product-detail/Crystals_Yangxing-Tech-X322540MPB4SI_C9010.html" TargetMode="External"/><Relationship Id="rId39" Type="http://schemas.openxmlformats.org/officeDocument/2006/relationships/hyperlink" Target="https://www.lcsc.com/product-detail/Chip-Resistor-Surface-Mount_YAGEO-RC0402FR-0756KL_C114756.html" TargetMode="External"/><Relationship Id="rId34" Type="http://schemas.openxmlformats.org/officeDocument/2006/relationships/hyperlink" Target="https://www.lcsc.com/product-detail/Chip-Resistor-Surface-Mount_YAGEO-RC0603FR-07120RL_C114640.html" TargetMode="External"/><Relationship Id="rId50" Type="http://schemas.openxmlformats.org/officeDocument/2006/relationships/hyperlink" Target="https://www.lcsc.com/product-detail/Light-Emitting-Diodes-LED_Everlight-Elec-16-213-GHC-YR1S1-3T_C74338.html" TargetMode="External"/><Relationship Id="rId55" Type="http://schemas.openxmlformats.org/officeDocument/2006/relationships/hyperlink" Target="https://www.lcsc.com/product-detail/Screw-terminal_DIBO-DB128L-5-08-2P-BK-S_C430601.html" TargetMode="External"/><Relationship Id="rId76" Type="http://schemas.openxmlformats.org/officeDocument/2006/relationships/hyperlink" Target="https://www.lcsc.com/product-detail/Multilayer-Ceramic-Capacitors-MLCC-SMD-SMT_YAGEO-CC0603JRNPO9BN472_C576818.html" TargetMode="External"/><Relationship Id="rId7" Type="http://schemas.openxmlformats.org/officeDocument/2006/relationships/hyperlink" Target="https://www.chipsmall.com/Products/HMC221BETR_12364157.html" TargetMode="External"/><Relationship Id="rId71" Type="http://schemas.openxmlformats.org/officeDocument/2006/relationships/hyperlink" Target="https://www.lcsc.com/product-detail/Tantalum-Capacitors_Kyocera-AVX-TAJB107M010RNJ_C7196.html" TargetMode="External"/><Relationship Id="rId2" Type="http://schemas.openxmlformats.org/officeDocument/2006/relationships/hyperlink" Target="https://www.lcsc.com/product-detail/Resistor-Networks-Arrays_YAGEO-YC164-FR-0710KL_C110924.html" TargetMode="External"/><Relationship Id="rId29" Type="http://schemas.openxmlformats.org/officeDocument/2006/relationships/hyperlink" Target="https://www.lcsc.com/product-detail/Power-Distribution-Switches_Texas-Instruments-TPS2116DRLR_C3235557.html" TargetMode="External"/><Relationship Id="rId24" Type="http://schemas.openxmlformats.org/officeDocument/2006/relationships/hyperlink" Target="https://www.lcsc.com/product-detail/I-O-Expanders_Microchip-Tech-MCP23017T-E-SS_C558584.html" TargetMode="External"/><Relationship Id="rId40" Type="http://schemas.openxmlformats.org/officeDocument/2006/relationships/hyperlink" Target="https://www.lcsc.com/product-detail/Chip-Resistor-Surface-Mount_YAGEO-RC0402FR-07499RL_C137970.html" TargetMode="External"/><Relationship Id="rId45" Type="http://schemas.openxmlformats.org/officeDocument/2006/relationships/hyperlink" Target="https://www.lcsc.com/product-detail/Chip-Resistor-Surface-Mount_YAGEO-RC0201FR-0710KL_C106225.html" TargetMode="External"/><Relationship Id="rId66" Type="http://schemas.openxmlformats.org/officeDocument/2006/relationships/hyperlink" Target="https://www.lcsc.com/product-detail/TVS_Slkor-SLKORMICRO-Elec-SMBJ36CA_C55618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A93"/>
  <sheetViews>
    <sheetView tabSelected="1" topLeftCell="A25" workbookViewId="0">
      <selection activeCell="F97" sqref="F97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27.42578125" customWidth="1"/>
    <col min="5" max="5" width="30.85546875" customWidth="1"/>
    <col min="6" max="6" width="22.28515625" bestFit="1" customWidth="1"/>
    <col min="7" max="7" width="25.28515625" bestFit="1" customWidth="1"/>
    <col min="8" max="8" width="21.42578125" bestFit="1" customWidth="1"/>
    <col min="9" max="9" width="21.5703125" bestFit="1" customWidth="1"/>
    <col min="10" max="10" width="17" bestFit="1" customWidth="1"/>
    <col min="11" max="11" width="10.7109375" bestFit="1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9.28515625" customWidth="1"/>
    <col min="16" max="16" width="18.7109375" bestFit="1" customWidth="1"/>
    <col min="17" max="17" width="19.28515625" bestFit="1" customWidth="1"/>
    <col min="18" max="18" width="16.5703125" bestFit="1" customWidth="1"/>
    <col min="19" max="19" width="26.85546875" bestFit="1" customWidth="1"/>
    <col min="21" max="21" width="25.140625" customWidth="1"/>
    <col min="22" max="22" width="25.28515625" bestFit="1" customWidth="1"/>
  </cols>
  <sheetData>
    <row r="1" spans="1:27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74"/>
      <c r="L1" s="74"/>
      <c r="M1" s="74"/>
      <c r="N1" s="74"/>
      <c r="O1" s="74"/>
      <c r="P1" s="74"/>
      <c r="Q1" s="74"/>
      <c r="R1" s="74"/>
      <c r="S1" s="75"/>
    </row>
    <row r="2" spans="1:27" ht="32.25" thickBot="1" x14ac:dyDescent="0.3">
      <c r="A2" s="1"/>
      <c r="B2" s="21"/>
      <c r="C2" s="31"/>
      <c r="D2" s="11" t="s">
        <v>0</v>
      </c>
      <c r="E2" s="11"/>
      <c r="F2" s="55" t="s">
        <v>433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27" x14ac:dyDescent="0.25">
      <c r="A3" s="1"/>
      <c r="B3" s="22"/>
      <c r="C3" s="32"/>
      <c r="D3" s="13" t="s">
        <v>1</v>
      </c>
      <c r="E3" s="13"/>
      <c r="F3" s="56" t="s">
        <v>434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76"/>
    </row>
    <row r="4" spans="1:27" x14ac:dyDescent="0.25">
      <c r="A4" s="1"/>
      <c r="B4" s="22"/>
      <c r="C4" s="32"/>
      <c r="D4" s="13" t="s">
        <v>2</v>
      </c>
      <c r="E4" s="13"/>
      <c r="F4" s="57" t="s">
        <v>434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77"/>
    </row>
    <row r="5" spans="1:27" x14ac:dyDescent="0.25">
      <c r="A5" s="1"/>
      <c r="B5" s="22"/>
      <c r="C5" s="32"/>
      <c r="D5" s="13" t="s">
        <v>3</v>
      </c>
      <c r="E5" s="13"/>
      <c r="F5" s="58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77"/>
    </row>
    <row r="6" spans="1:27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77"/>
    </row>
    <row r="7" spans="1:27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77"/>
    </row>
    <row r="8" spans="1:27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77"/>
    </row>
    <row r="9" spans="1:27" ht="15.75" thickBot="1" x14ac:dyDescent="0.3">
      <c r="A9" s="1"/>
      <c r="B9" s="30" t="s">
        <v>4</v>
      </c>
      <c r="C9" s="30" t="s">
        <v>8</v>
      </c>
      <c r="D9" s="30" t="s">
        <v>26</v>
      </c>
      <c r="E9" s="30" t="s">
        <v>101</v>
      </c>
      <c r="F9" s="30" t="s">
        <v>173</v>
      </c>
      <c r="G9" s="30" t="s">
        <v>218</v>
      </c>
      <c r="H9" s="30" t="s">
        <v>281</v>
      </c>
      <c r="I9" s="30" t="s">
        <v>420</v>
      </c>
      <c r="J9" s="30" t="s">
        <v>322</v>
      </c>
      <c r="K9" s="30" t="s">
        <v>428</v>
      </c>
      <c r="L9" s="30" t="s">
        <v>419</v>
      </c>
      <c r="M9" s="30" t="s">
        <v>427</v>
      </c>
      <c r="N9" s="30" t="s">
        <v>421</v>
      </c>
      <c r="O9" s="30" t="s">
        <v>422</v>
      </c>
      <c r="P9" s="30" t="s">
        <v>423</v>
      </c>
      <c r="Q9" s="30" t="s">
        <v>424</v>
      </c>
      <c r="R9" s="30" t="s">
        <v>425</v>
      </c>
      <c r="S9" s="30" t="s">
        <v>426</v>
      </c>
      <c r="U9" s="70"/>
      <c r="V9" s="70"/>
      <c r="W9" s="70"/>
      <c r="X9" s="70"/>
    </row>
    <row r="10" spans="1:27" x14ac:dyDescent="0.25">
      <c r="A10" s="1"/>
      <c r="B10" s="46">
        <f>ROW(B10) - ROW($B$9)</f>
        <v>1</v>
      </c>
      <c r="C10" s="53" t="s">
        <v>381</v>
      </c>
      <c r="D10" s="62" t="s">
        <v>27</v>
      </c>
      <c r="E10" s="62" t="s">
        <v>429</v>
      </c>
      <c r="F10" s="62" t="s">
        <v>174</v>
      </c>
      <c r="G10" s="62" t="s">
        <v>381</v>
      </c>
      <c r="H10" s="66" t="s">
        <v>429</v>
      </c>
      <c r="I10" s="66" t="s">
        <v>429</v>
      </c>
      <c r="J10" s="66" t="s">
        <v>429</v>
      </c>
      <c r="K10" s="62" t="s">
        <v>429</v>
      </c>
      <c r="L10" s="62">
        <v>1</v>
      </c>
      <c r="M10" s="62">
        <f>L10*5</f>
        <v>5</v>
      </c>
      <c r="N10" s="62" t="s">
        <v>429</v>
      </c>
      <c r="O10" s="62" t="s">
        <v>429</v>
      </c>
      <c r="P10" s="66" t="s">
        <v>429</v>
      </c>
      <c r="Q10" s="66" t="s">
        <v>429</v>
      </c>
      <c r="R10" s="63" t="s">
        <v>440</v>
      </c>
      <c r="S10" s="50"/>
      <c r="U10" s="70"/>
      <c r="V10" s="70"/>
      <c r="W10" s="70"/>
      <c r="X10" s="70"/>
    </row>
    <row r="11" spans="1:27" x14ac:dyDescent="0.25">
      <c r="A11" s="1"/>
      <c r="B11" s="47">
        <f t="shared" ref="B11:B90" si="0">ROW(B11) - ROW($B$9)</f>
        <v>2</v>
      </c>
      <c r="C11" s="54" t="s">
        <v>9</v>
      </c>
      <c r="D11" s="51" t="s">
        <v>28</v>
      </c>
      <c r="E11" s="51" t="s">
        <v>102</v>
      </c>
      <c r="F11" s="51" t="s">
        <v>175</v>
      </c>
      <c r="G11" s="51" t="s">
        <v>219</v>
      </c>
      <c r="H11" s="51" t="s">
        <v>282</v>
      </c>
      <c r="I11" s="51" t="s">
        <v>429</v>
      </c>
      <c r="J11" s="51" t="s">
        <v>323</v>
      </c>
      <c r="K11" s="51" t="s">
        <v>382</v>
      </c>
      <c r="L11" s="51">
        <v>1</v>
      </c>
      <c r="M11" s="51">
        <f t="shared" ref="M11" si="1">L11*5</f>
        <v>5</v>
      </c>
      <c r="N11" s="51">
        <v>20</v>
      </c>
      <c r="O11" s="60" t="s">
        <v>436</v>
      </c>
      <c r="P11" s="52">
        <v>2.01E-2</v>
      </c>
      <c r="Q11" s="52">
        <f t="shared" ref="Q11" si="2">P11*N11</f>
        <v>0.40200000000000002</v>
      </c>
      <c r="R11" s="51"/>
      <c r="S11" s="51"/>
      <c r="U11" s="70"/>
      <c r="V11" s="70"/>
      <c r="W11" s="70"/>
      <c r="X11" s="70"/>
      <c r="Y11" s="72"/>
      <c r="Z11" s="72"/>
      <c r="AA11" s="72"/>
    </row>
    <row r="12" spans="1:27" s="70" customFormat="1" ht="48" x14ac:dyDescent="0.25">
      <c r="A12" s="69"/>
      <c r="B12" s="46">
        <f>ROW(B12) - ROW($B$9)</f>
        <v>3</v>
      </c>
      <c r="C12" s="53" t="s">
        <v>9</v>
      </c>
      <c r="D12" s="37" t="s">
        <v>29</v>
      </c>
      <c r="E12" s="37" t="s">
        <v>103</v>
      </c>
      <c r="F12" s="37" t="s">
        <v>176</v>
      </c>
      <c r="G12" s="37" t="s">
        <v>220</v>
      </c>
      <c r="H12" s="37" t="s">
        <v>283</v>
      </c>
      <c r="I12" s="37" t="s">
        <v>429</v>
      </c>
      <c r="J12" s="37" t="s">
        <v>324</v>
      </c>
      <c r="K12" s="37" t="s">
        <v>383</v>
      </c>
      <c r="L12" s="37">
        <v>25</v>
      </c>
      <c r="M12" s="37">
        <f>L12*5</f>
        <v>125</v>
      </c>
      <c r="N12" s="37">
        <v>150</v>
      </c>
      <c r="O12" s="60" t="s">
        <v>436</v>
      </c>
      <c r="P12" s="38">
        <v>1.0500000000000001E-2</v>
      </c>
      <c r="Q12" s="38">
        <f>P12*N12</f>
        <v>1.5750000000000002</v>
      </c>
      <c r="R12" s="37"/>
      <c r="S12" s="59"/>
      <c r="Y12" s="72"/>
      <c r="Z12" s="72"/>
      <c r="AA12" s="72"/>
    </row>
    <row r="13" spans="1:27" s="70" customFormat="1" x14ac:dyDescent="0.25">
      <c r="A13" s="69"/>
      <c r="B13" s="47">
        <f t="shared" si="0"/>
        <v>4</v>
      </c>
      <c r="C13" s="54" t="s">
        <v>9</v>
      </c>
      <c r="D13" s="51" t="s">
        <v>30</v>
      </c>
      <c r="E13" s="51" t="s">
        <v>104</v>
      </c>
      <c r="F13" s="51" t="s">
        <v>176</v>
      </c>
      <c r="G13" s="51" t="s">
        <v>221</v>
      </c>
      <c r="H13" s="51" t="s">
        <v>282</v>
      </c>
      <c r="I13" s="51" t="s">
        <v>429</v>
      </c>
      <c r="J13" s="51" t="s">
        <v>325</v>
      </c>
      <c r="K13" s="51" t="s">
        <v>384</v>
      </c>
      <c r="L13" s="51">
        <v>3</v>
      </c>
      <c r="M13" s="51">
        <f t="shared" ref="M13" si="3">L13*5</f>
        <v>15</v>
      </c>
      <c r="N13" s="51">
        <v>100</v>
      </c>
      <c r="O13" s="60" t="s">
        <v>436</v>
      </c>
      <c r="P13" s="52">
        <v>8.9999999999999998E-4</v>
      </c>
      <c r="Q13" s="52">
        <f t="shared" ref="Q13" si="4">P13*N13</f>
        <v>0.09</v>
      </c>
      <c r="R13" s="51"/>
      <c r="S13" s="59"/>
      <c r="Y13" s="72"/>
      <c r="Z13" s="72"/>
      <c r="AA13" s="72"/>
    </row>
    <row r="14" spans="1:27" s="70" customFormat="1" ht="24" x14ac:dyDescent="0.25">
      <c r="A14" s="69"/>
      <c r="B14" s="46">
        <f>ROW(B14) - ROW($B$9)</f>
        <v>5</v>
      </c>
      <c r="C14" s="53" t="s">
        <v>9</v>
      </c>
      <c r="D14" s="37" t="s">
        <v>31</v>
      </c>
      <c r="E14" s="37" t="s">
        <v>105</v>
      </c>
      <c r="F14" s="37" t="s">
        <v>435</v>
      </c>
      <c r="G14" s="37" t="s">
        <v>177</v>
      </c>
      <c r="H14" s="37" t="s">
        <v>284</v>
      </c>
      <c r="I14" s="37" t="s">
        <v>429</v>
      </c>
      <c r="J14" s="37" t="s">
        <v>326</v>
      </c>
      <c r="K14" s="37" t="s">
        <v>385</v>
      </c>
      <c r="L14" s="37">
        <v>3</v>
      </c>
      <c r="M14" s="37">
        <f>L14*5</f>
        <v>15</v>
      </c>
      <c r="N14" s="37">
        <v>20</v>
      </c>
      <c r="O14" s="60" t="s">
        <v>436</v>
      </c>
      <c r="P14" s="38">
        <v>4.9099999999999998E-2</v>
      </c>
      <c r="Q14" s="38">
        <f>P14*N14</f>
        <v>0.98199999999999998</v>
      </c>
      <c r="R14" s="37"/>
      <c r="S14" s="59"/>
      <c r="Y14" s="72"/>
      <c r="Z14" s="72"/>
      <c r="AA14" s="72"/>
    </row>
    <row r="15" spans="1:27" s="70" customFormat="1" x14ac:dyDescent="0.25">
      <c r="A15" s="69"/>
      <c r="B15" s="47">
        <f t="shared" si="0"/>
        <v>6</v>
      </c>
      <c r="C15" s="54" t="s">
        <v>9</v>
      </c>
      <c r="D15" s="51" t="s">
        <v>32</v>
      </c>
      <c r="E15" s="51" t="s">
        <v>458</v>
      </c>
      <c r="F15" s="51" t="s">
        <v>459</v>
      </c>
      <c r="G15" s="51" t="s">
        <v>490</v>
      </c>
      <c r="H15" s="51" t="s">
        <v>286</v>
      </c>
      <c r="I15" s="51" t="s">
        <v>429</v>
      </c>
      <c r="J15" s="51" t="s">
        <v>460</v>
      </c>
      <c r="K15" s="51" t="s">
        <v>386</v>
      </c>
      <c r="L15" s="51">
        <v>2</v>
      </c>
      <c r="M15" s="51">
        <f t="shared" ref="M15" si="5">L15*5</f>
        <v>10</v>
      </c>
      <c r="N15" s="51">
        <v>11</v>
      </c>
      <c r="O15" s="60" t="s">
        <v>436</v>
      </c>
      <c r="P15" s="52">
        <v>0.25940000000000002</v>
      </c>
      <c r="Q15" s="52">
        <f t="shared" ref="Q15" si="6">P15*N15</f>
        <v>2.8534000000000002</v>
      </c>
      <c r="R15" s="51"/>
      <c r="S15" s="59"/>
      <c r="Y15" s="72"/>
      <c r="Z15" s="72"/>
      <c r="AA15" s="72"/>
    </row>
    <row r="16" spans="1:27" s="70" customFormat="1" ht="24" x14ac:dyDescent="0.25">
      <c r="A16" s="69"/>
      <c r="B16" s="46">
        <f>ROW(B16) - ROW($B$9)</f>
        <v>7</v>
      </c>
      <c r="C16" s="53" t="s">
        <v>9</v>
      </c>
      <c r="D16" s="37" t="s">
        <v>33</v>
      </c>
      <c r="E16" s="37" t="s">
        <v>461</v>
      </c>
      <c r="F16" s="37" t="s">
        <v>178</v>
      </c>
      <c r="G16" s="37" t="s">
        <v>462</v>
      </c>
      <c r="H16" s="37" t="s">
        <v>463</v>
      </c>
      <c r="I16" s="37" t="s">
        <v>429</v>
      </c>
      <c r="J16" s="37" t="s">
        <v>464</v>
      </c>
      <c r="K16" s="37" t="s">
        <v>387</v>
      </c>
      <c r="L16" s="37">
        <v>1</v>
      </c>
      <c r="M16" s="37">
        <f>L16*5</f>
        <v>5</v>
      </c>
      <c r="N16" s="37">
        <v>15</v>
      </c>
      <c r="O16" s="60" t="s">
        <v>436</v>
      </c>
      <c r="P16" s="38">
        <v>7.0900000000000005E-2</v>
      </c>
      <c r="Q16" s="38">
        <f>P16*N16</f>
        <v>1.0635000000000001</v>
      </c>
      <c r="R16" s="37"/>
      <c r="S16" s="59"/>
      <c r="Y16" s="72"/>
      <c r="Z16" s="72"/>
      <c r="AA16" s="72"/>
    </row>
    <row r="17" spans="1:27" s="70" customFormat="1" ht="24" x14ac:dyDescent="0.25">
      <c r="A17" s="69"/>
      <c r="B17" s="47">
        <f t="shared" si="0"/>
        <v>8</v>
      </c>
      <c r="C17" s="54" t="s">
        <v>9</v>
      </c>
      <c r="D17" s="51" t="s">
        <v>34</v>
      </c>
      <c r="E17" s="51" t="s">
        <v>106</v>
      </c>
      <c r="F17" s="51" t="s">
        <v>178</v>
      </c>
      <c r="G17" s="51" t="s">
        <v>222</v>
      </c>
      <c r="H17" s="51" t="s">
        <v>285</v>
      </c>
      <c r="I17" s="51" t="s">
        <v>429</v>
      </c>
      <c r="J17" s="51" t="s">
        <v>327</v>
      </c>
      <c r="K17" s="51" t="s">
        <v>388</v>
      </c>
      <c r="L17" s="51">
        <v>1</v>
      </c>
      <c r="M17" s="51">
        <f t="shared" ref="M17" si="7">L17*5</f>
        <v>5</v>
      </c>
      <c r="N17" s="51">
        <v>10</v>
      </c>
      <c r="O17" s="60" t="s">
        <v>436</v>
      </c>
      <c r="P17" s="52">
        <v>6.3E-2</v>
      </c>
      <c r="Q17" s="52">
        <f t="shared" ref="Q17" si="8">P17*N17</f>
        <v>0.63</v>
      </c>
      <c r="R17" s="51"/>
      <c r="S17" s="59"/>
      <c r="Y17" s="72"/>
      <c r="Z17" s="72"/>
      <c r="AA17" s="72"/>
    </row>
    <row r="18" spans="1:27" s="70" customFormat="1" x14ac:dyDescent="0.25">
      <c r="A18" s="69"/>
      <c r="B18" s="46">
        <f>ROW(B18) - ROW($B$9)</f>
        <v>9</v>
      </c>
      <c r="C18" s="53" t="s">
        <v>9</v>
      </c>
      <c r="D18" s="37" t="s">
        <v>35</v>
      </c>
      <c r="E18" s="37" t="s">
        <v>465</v>
      </c>
      <c r="F18" s="37" t="s">
        <v>466</v>
      </c>
      <c r="G18" s="37" t="s">
        <v>467</v>
      </c>
      <c r="H18" s="37" t="s">
        <v>286</v>
      </c>
      <c r="I18" s="37" t="s">
        <v>429</v>
      </c>
      <c r="J18" s="37" t="s">
        <v>468</v>
      </c>
      <c r="K18" s="37" t="s">
        <v>389</v>
      </c>
      <c r="L18" s="37">
        <v>1</v>
      </c>
      <c r="M18" s="37">
        <f>L18*5</f>
        <v>5</v>
      </c>
      <c r="N18" s="37">
        <v>6</v>
      </c>
      <c r="O18" s="60" t="s">
        <v>436</v>
      </c>
      <c r="P18" s="38">
        <v>1.7373000000000001</v>
      </c>
      <c r="Q18" s="38">
        <f>P18*N18</f>
        <v>10.4238</v>
      </c>
      <c r="R18" s="37"/>
      <c r="S18" s="59"/>
      <c r="Y18" s="72"/>
      <c r="Z18" s="72"/>
      <c r="AA18" s="72"/>
    </row>
    <row r="19" spans="1:27" s="70" customFormat="1" x14ac:dyDescent="0.25">
      <c r="A19" s="69"/>
      <c r="B19" s="47">
        <f t="shared" si="0"/>
        <v>10</v>
      </c>
      <c r="C19" s="54" t="s">
        <v>9</v>
      </c>
      <c r="D19" s="51" t="s">
        <v>36</v>
      </c>
      <c r="E19" s="51" t="s">
        <v>107</v>
      </c>
      <c r="F19" s="51" t="s">
        <v>179</v>
      </c>
      <c r="G19" s="51" t="s">
        <v>223</v>
      </c>
      <c r="H19" s="51" t="s">
        <v>286</v>
      </c>
      <c r="I19" s="51" t="s">
        <v>429</v>
      </c>
      <c r="J19" s="51" t="s">
        <v>328</v>
      </c>
      <c r="K19" s="51" t="s">
        <v>390</v>
      </c>
      <c r="L19" s="51">
        <v>1</v>
      </c>
      <c r="M19" s="51">
        <f t="shared" ref="M19" si="9">L19*5</f>
        <v>5</v>
      </c>
      <c r="N19" s="51">
        <v>10</v>
      </c>
      <c r="O19" s="60" t="s">
        <v>436</v>
      </c>
      <c r="P19" s="52">
        <v>0.26129999999999998</v>
      </c>
      <c r="Q19" s="52">
        <f t="shared" ref="Q19" si="10">P19*N19</f>
        <v>2.6129999999999995</v>
      </c>
      <c r="R19" s="51"/>
      <c r="S19" s="59"/>
      <c r="Y19" s="72"/>
      <c r="Z19" s="72"/>
      <c r="AA19" s="72"/>
    </row>
    <row r="20" spans="1:27" s="70" customFormat="1" x14ac:dyDescent="0.25">
      <c r="A20" s="69"/>
      <c r="B20" s="46">
        <f>ROW(B20) - ROW($B$9)</f>
        <v>11</v>
      </c>
      <c r="C20" s="53" t="s">
        <v>9</v>
      </c>
      <c r="D20" s="37" t="s">
        <v>37</v>
      </c>
      <c r="E20" s="37" t="s">
        <v>108</v>
      </c>
      <c r="F20" s="37" t="s">
        <v>176</v>
      </c>
      <c r="G20" s="62" t="s">
        <v>224</v>
      </c>
      <c r="H20" s="37" t="s">
        <v>287</v>
      </c>
      <c r="I20" s="37" t="s">
        <v>442</v>
      </c>
      <c r="J20" s="37" t="s">
        <v>441</v>
      </c>
      <c r="K20" s="37" t="s">
        <v>391</v>
      </c>
      <c r="L20" s="37">
        <v>4</v>
      </c>
      <c r="M20" s="37">
        <f>L20*5</f>
        <v>20</v>
      </c>
      <c r="N20" s="37">
        <v>30</v>
      </c>
      <c r="O20" s="60" t="s">
        <v>436</v>
      </c>
      <c r="P20" s="38">
        <v>4.2000000000000003E-2</v>
      </c>
      <c r="Q20" s="38">
        <f>P20*N20</f>
        <v>1.26</v>
      </c>
      <c r="R20" s="37"/>
      <c r="S20" s="59"/>
      <c r="Y20" s="72"/>
      <c r="Z20" s="72"/>
      <c r="AA20" s="72"/>
    </row>
    <row r="21" spans="1:27" s="70" customFormat="1" x14ac:dyDescent="0.25">
      <c r="A21" s="69"/>
      <c r="B21" s="47">
        <f t="shared" si="0"/>
        <v>12</v>
      </c>
      <c r="C21" s="54" t="s">
        <v>9</v>
      </c>
      <c r="D21" s="51" t="s">
        <v>38</v>
      </c>
      <c r="E21" s="51" t="s">
        <v>109</v>
      </c>
      <c r="F21" s="51" t="s">
        <v>176</v>
      </c>
      <c r="G21" s="51" t="s">
        <v>225</v>
      </c>
      <c r="H21" s="51" t="s">
        <v>288</v>
      </c>
      <c r="I21" s="51" t="s">
        <v>429</v>
      </c>
      <c r="J21" s="51" t="s">
        <v>329</v>
      </c>
      <c r="K21" s="51" t="s">
        <v>387</v>
      </c>
      <c r="L21" s="51">
        <v>2</v>
      </c>
      <c r="M21" s="51">
        <f t="shared" ref="M21" si="11">L21*5</f>
        <v>10</v>
      </c>
      <c r="N21" s="51">
        <v>50</v>
      </c>
      <c r="O21" s="60" t="s">
        <v>436</v>
      </c>
      <c r="P21" s="52">
        <v>1.0800000000000001E-2</v>
      </c>
      <c r="Q21" s="52">
        <f t="shared" ref="Q21" si="12">P21*N21</f>
        <v>0.54</v>
      </c>
      <c r="R21" s="51"/>
      <c r="S21" s="59"/>
      <c r="Y21" s="72"/>
      <c r="Z21" s="72"/>
      <c r="AA21" s="72"/>
    </row>
    <row r="22" spans="1:27" s="70" customFormat="1" x14ac:dyDescent="0.25">
      <c r="A22" s="69"/>
      <c r="B22" s="46">
        <f>ROW(B22) - ROW($B$9)</f>
        <v>13</v>
      </c>
      <c r="C22" s="53" t="s">
        <v>9</v>
      </c>
      <c r="D22" s="37" t="s">
        <v>39</v>
      </c>
      <c r="E22" s="37" t="s">
        <v>110</v>
      </c>
      <c r="F22" s="37" t="s">
        <v>176</v>
      </c>
      <c r="G22" s="37" t="s">
        <v>226</v>
      </c>
      <c r="H22" s="37" t="s">
        <v>282</v>
      </c>
      <c r="I22" s="37" t="s">
        <v>429</v>
      </c>
      <c r="J22" s="37" t="s">
        <v>330</v>
      </c>
      <c r="K22" s="37" t="s">
        <v>392</v>
      </c>
      <c r="L22" s="37">
        <v>2</v>
      </c>
      <c r="M22" s="37">
        <f>L22*5</f>
        <v>10</v>
      </c>
      <c r="N22" s="37">
        <v>100</v>
      </c>
      <c r="O22" s="60" t="s">
        <v>436</v>
      </c>
      <c r="P22" s="38">
        <v>1E-3</v>
      </c>
      <c r="Q22" s="38">
        <f>P22*N22</f>
        <v>0.1</v>
      </c>
      <c r="R22" s="37"/>
      <c r="S22" s="59"/>
      <c r="Y22" s="72"/>
      <c r="Z22" s="72"/>
      <c r="AA22" s="72"/>
    </row>
    <row r="23" spans="1:27" s="70" customFormat="1" x14ac:dyDescent="0.25">
      <c r="A23" s="69"/>
      <c r="B23" s="47">
        <f t="shared" si="0"/>
        <v>14</v>
      </c>
      <c r="C23" s="54" t="s">
        <v>9</v>
      </c>
      <c r="D23" s="51" t="s">
        <v>40</v>
      </c>
      <c r="E23" s="51" t="s">
        <v>111</v>
      </c>
      <c r="F23" s="51" t="s">
        <v>175</v>
      </c>
      <c r="G23" s="51" t="s">
        <v>227</v>
      </c>
      <c r="H23" s="51" t="s">
        <v>282</v>
      </c>
      <c r="I23" s="51" t="s">
        <v>429</v>
      </c>
      <c r="J23" s="51" t="s">
        <v>331</v>
      </c>
      <c r="K23" s="51" t="s">
        <v>393</v>
      </c>
      <c r="L23" s="51">
        <v>3</v>
      </c>
      <c r="M23" s="51">
        <f t="shared" ref="M23" si="13">L23*5</f>
        <v>15</v>
      </c>
      <c r="N23" s="51">
        <v>100</v>
      </c>
      <c r="O23" s="60" t="s">
        <v>436</v>
      </c>
      <c r="P23" s="52">
        <v>3.8999999999999998E-3</v>
      </c>
      <c r="Q23" s="52">
        <f t="shared" ref="Q23" si="14">P23*N23</f>
        <v>0.38999999999999996</v>
      </c>
      <c r="R23" s="51"/>
      <c r="S23" s="59"/>
      <c r="Y23" s="72"/>
      <c r="Z23" s="72"/>
      <c r="AA23" s="72"/>
    </row>
    <row r="24" spans="1:27" s="70" customFormat="1" x14ac:dyDescent="0.25">
      <c r="A24" s="69"/>
      <c r="B24" s="46">
        <f>ROW(B24) - ROW($B$9)</f>
        <v>15</v>
      </c>
      <c r="C24" s="53" t="s">
        <v>10</v>
      </c>
      <c r="D24" s="37" t="s">
        <v>41</v>
      </c>
      <c r="E24" s="37" t="s">
        <v>112</v>
      </c>
      <c r="F24" s="37" t="s">
        <v>180</v>
      </c>
      <c r="G24" s="37" t="s">
        <v>228</v>
      </c>
      <c r="H24" s="37" t="s">
        <v>289</v>
      </c>
      <c r="I24" s="37" t="s">
        <v>429</v>
      </c>
      <c r="J24" s="37" t="s">
        <v>332</v>
      </c>
      <c r="K24" s="37" t="s">
        <v>429</v>
      </c>
      <c r="L24" s="37">
        <v>1</v>
      </c>
      <c r="M24" s="37">
        <f>L24*5</f>
        <v>5</v>
      </c>
      <c r="N24" s="37">
        <v>10</v>
      </c>
      <c r="O24" s="60" t="s">
        <v>436</v>
      </c>
      <c r="P24" s="38">
        <v>5.5599999999999997E-2</v>
      </c>
      <c r="Q24" s="38">
        <f>P24*N24</f>
        <v>0.55599999999999994</v>
      </c>
      <c r="R24" s="37"/>
      <c r="S24" s="59"/>
      <c r="Y24" s="72"/>
      <c r="Z24" s="72"/>
      <c r="AA24" s="72"/>
    </row>
    <row r="25" spans="1:27" s="70" customFormat="1" ht="24" x14ac:dyDescent="0.25">
      <c r="A25" s="69"/>
      <c r="B25" s="47">
        <f t="shared" si="0"/>
        <v>16</v>
      </c>
      <c r="C25" s="54" t="s">
        <v>10</v>
      </c>
      <c r="D25" s="51" t="s">
        <v>42</v>
      </c>
      <c r="E25" s="51" t="s">
        <v>113</v>
      </c>
      <c r="F25" s="51" t="s">
        <v>181</v>
      </c>
      <c r="G25" s="51" t="s">
        <v>229</v>
      </c>
      <c r="H25" s="51" t="s">
        <v>290</v>
      </c>
      <c r="I25" s="51" t="s">
        <v>429</v>
      </c>
      <c r="J25" s="51" t="s">
        <v>333</v>
      </c>
      <c r="K25" s="51" t="s">
        <v>429</v>
      </c>
      <c r="L25" s="51">
        <v>1</v>
      </c>
      <c r="M25" s="51">
        <f t="shared" ref="M25" si="15">L25*5</f>
        <v>5</v>
      </c>
      <c r="N25" s="51">
        <v>10</v>
      </c>
      <c r="O25" s="60" t="s">
        <v>436</v>
      </c>
      <c r="P25" s="52">
        <v>4.4600000000000001E-2</v>
      </c>
      <c r="Q25" s="52">
        <f t="shared" ref="Q25" si="16">P25*N25</f>
        <v>0.44600000000000001</v>
      </c>
      <c r="R25" s="51"/>
      <c r="S25" s="59"/>
      <c r="Y25" s="72"/>
      <c r="Z25" s="72"/>
      <c r="AA25" s="72"/>
    </row>
    <row r="26" spans="1:27" s="70" customFormat="1" ht="36" x14ac:dyDescent="0.25">
      <c r="A26" s="69"/>
      <c r="B26" s="46">
        <f>ROW(B26) - ROW($B$9)</f>
        <v>17</v>
      </c>
      <c r="C26" s="53" t="s">
        <v>10</v>
      </c>
      <c r="D26" s="37" t="s">
        <v>43</v>
      </c>
      <c r="E26" s="37" t="s">
        <v>114</v>
      </c>
      <c r="F26" s="37" t="s">
        <v>182</v>
      </c>
      <c r="G26" s="37" t="s">
        <v>230</v>
      </c>
      <c r="H26" s="37" t="s">
        <v>291</v>
      </c>
      <c r="I26" s="37" t="s">
        <v>429</v>
      </c>
      <c r="J26" s="37" t="s">
        <v>334</v>
      </c>
      <c r="K26" s="37" t="s">
        <v>429</v>
      </c>
      <c r="L26" s="37">
        <v>1</v>
      </c>
      <c r="M26" s="37">
        <f>L26*5</f>
        <v>5</v>
      </c>
      <c r="N26" s="37">
        <v>6</v>
      </c>
      <c r="O26" s="60" t="s">
        <v>436</v>
      </c>
      <c r="P26" s="38">
        <v>0.46939999999999998</v>
      </c>
      <c r="Q26" s="38">
        <f>P26*N26</f>
        <v>2.8163999999999998</v>
      </c>
      <c r="R26" s="37"/>
      <c r="S26" s="59"/>
      <c r="Y26" s="72"/>
      <c r="Z26" s="72"/>
      <c r="AA26" s="72"/>
    </row>
    <row r="27" spans="1:27" s="70" customFormat="1" ht="24" x14ac:dyDescent="0.25">
      <c r="A27" s="69"/>
      <c r="B27" s="47">
        <f t="shared" si="0"/>
        <v>18</v>
      </c>
      <c r="C27" s="53" t="s">
        <v>10</v>
      </c>
      <c r="D27" s="51" t="s">
        <v>44</v>
      </c>
      <c r="E27" s="51" t="s">
        <v>115</v>
      </c>
      <c r="F27" s="51" t="s">
        <v>184</v>
      </c>
      <c r="G27" s="51" t="s">
        <v>443</v>
      </c>
      <c r="H27" s="51" t="s">
        <v>292</v>
      </c>
      <c r="I27" s="51" t="s">
        <v>429</v>
      </c>
      <c r="J27" s="51" t="s">
        <v>444</v>
      </c>
      <c r="K27" s="51" t="s">
        <v>429</v>
      </c>
      <c r="L27" s="51">
        <v>1</v>
      </c>
      <c r="M27" s="51">
        <f t="shared" ref="M27" si="17">L27*5</f>
        <v>5</v>
      </c>
      <c r="N27" s="51">
        <v>10</v>
      </c>
      <c r="O27" s="60" t="s">
        <v>436</v>
      </c>
      <c r="P27" s="52">
        <v>3.56E-2</v>
      </c>
      <c r="Q27" s="52">
        <f t="shared" ref="Q27" si="18">P27*N27</f>
        <v>0.35599999999999998</v>
      </c>
      <c r="R27" s="51"/>
      <c r="S27" s="59"/>
      <c r="Y27" s="72"/>
      <c r="Z27" s="72"/>
      <c r="AA27" s="72"/>
    </row>
    <row r="28" spans="1:27" s="70" customFormat="1" ht="24" x14ac:dyDescent="0.25">
      <c r="A28" s="69"/>
      <c r="B28" s="46">
        <f>ROW(B28) - ROW($B$9)</f>
        <v>19</v>
      </c>
      <c r="C28" s="53" t="s">
        <v>10</v>
      </c>
      <c r="D28" s="37" t="s">
        <v>45</v>
      </c>
      <c r="E28" s="37" t="s">
        <v>116</v>
      </c>
      <c r="F28" s="37" t="s">
        <v>183</v>
      </c>
      <c r="G28" s="37" t="s">
        <v>231</v>
      </c>
      <c r="H28" s="37" t="s">
        <v>293</v>
      </c>
      <c r="I28" s="37" t="s">
        <v>429</v>
      </c>
      <c r="J28" s="37" t="s">
        <v>335</v>
      </c>
      <c r="K28" s="37" t="s">
        <v>429</v>
      </c>
      <c r="L28" s="37">
        <v>3</v>
      </c>
      <c r="M28" s="37">
        <f>L28*5</f>
        <v>15</v>
      </c>
      <c r="N28" s="37">
        <v>20</v>
      </c>
      <c r="O28" s="60" t="s">
        <v>436</v>
      </c>
      <c r="P28" s="38">
        <v>2.46E-2</v>
      </c>
      <c r="Q28" s="38">
        <f>P28*N28</f>
        <v>0.49199999999999999</v>
      </c>
      <c r="R28" s="37"/>
      <c r="S28" s="59"/>
      <c r="Y28" s="72"/>
      <c r="Z28" s="72"/>
      <c r="AA28" s="72"/>
    </row>
    <row r="29" spans="1:27" s="70" customFormat="1" ht="36" x14ac:dyDescent="0.25">
      <c r="A29" s="69"/>
      <c r="B29" s="47">
        <f t="shared" si="0"/>
        <v>20</v>
      </c>
      <c r="C29" s="54" t="s">
        <v>10</v>
      </c>
      <c r="D29" s="51" t="s">
        <v>46</v>
      </c>
      <c r="E29" s="51" t="s">
        <v>117</v>
      </c>
      <c r="F29" s="51" t="s">
        <v>184</v>
      </c>
      <c r="G29" s="51" t="s">
        <v>232</v>
      </c>
      <c r="H29" s="51" t="s">
        <v>294</v>
      </c>
      <c r="I29" s="51" t="s">
        <v>429</v>
      </c>
      <c r="J29" s="51" t="s">
        <v>336</v>
      </c>
      <c r="K29" s="51" t="s">
        <v>429</v>
      </c>
      <c r="L29" s="51">
        <v>2</v>
      </c>
      <c r="M29" s="51">
        <f t="shared" ref="M29" si="19">L29*5</f>
        <v>10</v>
      </c>
      <c r="N29" s="51">
        <v>20</v>
      </c>
      <c r="O29" s="60" t="s">
        <v>436</v>
      </c>
      <c r="P29" s="52">
        <v>2.3400000000000001E-2</v>
      </c>
      <c r="Q29" s="52">
        <f t="shared" ref="Q29" si="20">P29*N29</f>
        <v>0.46800000000000003</v>
      </c>
      <c r="R29" s="51"/>
      <c r="S29" s="59"/>
      <c r="Y29" s="72"/>
      <c r="Z29" s="72"/>
      <c r="AA29" s="72"/>
    </row>
    <row r="30" spans="1:27" s="70" customFormat="1" x14ac:dyDescent="0.25">
      <c r="A30" s="69"/>
      <c r="B30" s="46">
        <f>ROW(B30) - ROW($B$9)</f>
        <v>21</v>
      </c>
      <c r="C30" s="53" t="s">
        <v>10</v>
      </c>
      <c r="D30" s="37" t="s">
        <v>47</v>
      </c>
      <c r="E30" s="37" t="s">
        <v>118</v>
      </c>
      <c r="F30" s="37" t="s">
        <v>185</v>
      </c>
      <c r="G30" s="37" t="s">
        <v>233</v>
      </c>
      <c r="H30" s="37" t="s">
        <v>295</v>
      </c>
      <c r="I30" s="37" t="s">
        <v>429</v>
      </c>
      <c r="J30" s="37" t="s">
        <v>337</v>
      </c>
      <c r="K30" s="37" t="s">
        <v>429</v>
      </c>
      <c r="L30" s="37">
        <v>4</v>
      </c>
      <c r="M30" s="37">
        <f>L30*5</f>
        <v>20</v>
      </c>
      <c r="N30" s="37">
        <v>25</v>
      </c>
      <c r="O30" s="60" t="s">
        <v>436</v>
      </c>
      <c r="P30" s="38">
        <v>0.1351</v>
      </c>
      <c r="Q30" s="38">
        <f>P30*N30</f>
        <v>3.3774999999999999</v>
      </c>
      <c r="R30" s="37"/>
      <c r="S30" s="59"/>
      <c r="Y30" s="72"/>
      <c r="Z30" s="72"/>
      <c r="AA30" s="72"/>
    </row>
    <row r="31" spans="1:27" s="70" customFormat="1" x14ac:dyDescent="0.25">
      <c r="A31" s="69"/>
      <c r="B31" s="47">
        <f t="shared" si="0"/>
        <v>22</v>
      </c>
      <c r="C31" s="54" t="s">
        <v>10</v>
      </c>
      <c r="D31" s="51" t="s">
        <v>48</v>
      </c>
      <c r="E31" s="51" t="s">
        <v>119</v>
      </c>
      <c r="F31" s="51" t="s">
        <v>181</v>
      </c>
      <c r="G31" s="51" t="s">
        <v>234</v>
      </c>
      <c r="H31" s="51" t="s">
        <v>296</v>
      </c>
      <c r="I31" s="51" t="s">
        <v>429</v>
      </c>
      <c r="J31" s="51" t="s">
        <v>338</v>
      </c>
      <c r="K31" s="51" t="s">
        <v>429</v>
      </c>
      <c r="L31" s="51">
        <v>4</v>
      </c>
      <c r="M31" s="51">
        <f t="shared" ref="M31" si="21">L31*5</f>
        <v>20</v>
      </c>
      <c r="N31" s="51">
        <v>30</v>
      </c>
      <c r="O31" s="60" t="s">
        <v>436</v>
      </c>
      <c r="P31" s="52">
        <v>4.7500000000000001E-2</v>
      </c>
      <c r="Q31" s="52">
        <f t="shared" ref="Q31" si="22">P31*N31</f>
        <v>1.425</v>
      </c>
      <c r="R31" s="51"/>
      <c r="S31" s="59"/>
      <c r="Y31" s="72"/>
      <c r="Z31" s="72"/>
      <c r="AA31" s="72"/>
    </row>
    <row r="32" spans="1:27" s="70" customFormat="1" x14ac:dyDescent="0.25">
      <c r="A32" s="69"/>
      <c r="B32" s="46">
        <f>ROW(B32) - ROW($B$9)</f>
        <v>23</v>
      </c>
      <c r="C32" s="53" t="s">
        <v>11</v>
      </c>
      <c r="D32" s="37" t="s">
        <v>49</v>
      </c>
      <c r="E32" s="37" t="s">
        <v>120</v>
      </c>
      <c r="F32" s="37" t="s">
        <v>186</v>
      </c>
      <c r="G32" s="37" t="s">
        <v>235</v>
      </c>
      <c r="H32" s="37" t="s">
        <v>297</v>
      </c>
      <c r="I32" s="37" t="s">
        <v>429</v>
      </c>
      <c r="J32" s="37" t="s">
        <v>339</v>
      </c>
      <c r="K32" s="37" t="s">
        <v>429</v>
      </c>
      <c r="L32" s="37">
        <v>1</v>
      </c>
      <c r="M32" s="37">
        <f>L32*5</f>
        <v>5</v>
      </c>
      <c r="N32" s="37">
        <v>10</v>
      </c>
      <c r="O32" s="60" t="s">
        <v>436</v>
      </c>
      <c r="P32" s="38">
        <v>0.2286</v>
      </c>
      <c r="Q32" s="38">
        <f>P32*N32</f>
        <v>2.286</v>
      </c>
      <c r="R32" s="37"/>
      <c r="S32" s="59"/>
      <c r="Y32" s="72"/>
      <c r="Z32" s="72"/>
      <c r="AA32" s="72"/>
    </row>
    <row r="33" spans="1:27" s="70" customFormat="1" ht="24" x14ac:dyDescent="0.25">
      <c r="A33" s="69"/>
      <c r="B33" s="47">
        <f t="shared" si="0"/>
        <v>24</v>
      </c>
      <c r="C33" s="54" t="s">
        <v>11</v>
      </c>
      <c r="D33" s="51" t="s">
        <v>50</v>
      </c>
      <c r="E33" s="51" t="s">
        <v>121</v>
      </c>
      <c r="F33" s="51" t="s">
        <v>187</v>
      </c>
      <c r="G33" s="51" t="s">
        <v>236</v>
      </c>
      <c r="H33" s="51" t="s">
        <v>298</v>
      </c>
      <c r="I33" s="51" t="s">
        <v>429</v>
      </c>
      <c r="J33" s="51" t="s">
        <v>340</v>
      </c>
      <c r="K33" s="51" t="s">
        <v>429</v>
      </c>
      <c r="L33" s="51">
        <v>1</v>
      </c>
      <c r="M33" s="51">
        <f t="shared" ref="M33" si="23">L33*5</f>
        <v>5</v>
      </c>
      <c r="N33" s="51">
        <v>6</v>
      </c>
      <c r="O33" s="60" t="s">
        <v>436</v>
      </c>
      <c r="P33" s="52">
        <v>1.1482000000000001</v>
      </c>
      <c r="Q33" s="52">
        <f t="shared" ref="Q33" si="24">P33*N33</f>
        <v>6.8892000000000007</v>
      </c>
      <c r="R33" s="51"/>
      <c r="S33" s="59"/>
      <c r="Y33" s="72"/>
      <c r="Z33" s="72"/>
      <c r="AA33" s="72"/>
    </row>
    <row r="34" spans="1:27" s="70" customFormat="1" ht="24" x14ac:dyDescent="0.25">
      <c r="A34" s="69"/>
      <c r="B34" s="46">
        <f>ROW(B34) - ROW($B$9)</f>
        <v>25</v>
      </c>
      <c r="C34" s="53" t="s">
        <v>11</v>
      </c>
      <c r="D34" s="37" t="s">
        <v>51</v>
      </c>
      <c r="E34" s="37" t="s">
        <v>122</v>
      </c>
      <c r="F34" s="37" t="s">
        <v>188</v>
      </c>
      <c r="G34" s="37" t="s">
        <v>237</v>
      </c>
      <c r="H34" s="37" t="s">
        <v>299</v>
      </c>
      <c r="I34" s="37" t="s">
        <v>429</v>
      </c>
      <c r="J34" s="37" t="s">
        <v>341</v>
      </c>
      <c r="K34" s="37" t="s">
        <v>429</v>
      </c>
      <c r="L34" s="37">
        <v>4</v>
      </c>
      <c r="M34" s="37">
        <f>L34*5</f>
        <v>20</v>
      </c>
      <c r="N34" s="37">
        <v>30</v>
      </c>
      <c r="O34" s="60" t="s">
        <v>436</v>
      </c>
      <c r="P34" s="38">
        <v>5.6099999999999997E-2</v>
      </c>
      <c r="Q34" s="38">
        <f>P34*N34</f>
        <v>1.6829999999999998</v>
      </c>
      <c r="R34" s="37"/>
      <c r="S34" s="59"/>
      <c r="Y34" s="72"/>
      <c r="Z34" s="72"/>
      <c r="AA34" s="72"/>
    </row>
    <row r="35" spans="1:27" s="70" customFormat="1" x14ac:dyDescent="0.25">
      <c r="A35" s="69"/>
      <c r="B35" s="47">
        <f t="shared" si="0"/>
        <v>26</v>
      </c>
      <c r="C35" s="54" t="s">
        <v>12</v>
      </c>
      <c r="D35" s="51" t="s">
        <v>52</v>
      </c>
      <c r="E35" s="51" t="s">
        <v>123</v>
      </c>
      <c r="F35" s="51" t="s">
        <v>189</v>
      </c>
      <c r="G35" s="51" t="s">
        <v>238</v>
      </c>
      <c r="H35" s="51" t="s">
        <v>283</v>
      </c>
      <c r="I35" s="61" t="s">
        <v>437</v>
      </c>
      <c r="J35" s="51" t="s">
        <v>342</v>
      </c>
      <c r="K35" s="51" t="s">
        <v>394</v>
      </c>
      <c r="L35" s="51">
        <v>1</v>
      </c>
      <c r="M35" s="51">
        <f t="shared" ref="M35" si="25">L35*5</f>
        <v>5</v>
      </c>
      <c r="N35" s="51">
        <v>10</v>
      </c>
      <c r="O35" s="60" t="s">
        <v>436</v>
      </c>
      <c r="P35" s="52">
        <v>8.8300000000000003E-2</v>
      </c>
      <c r="Q35" s="52">
        <f t="shared" ref="Q35" si="26">P35*N35</f>
        <v>0.88300000000000001</v>
      </c>
      <c r="R35" s="51"/>
      <c r="S35" s="59"/>
      <c r="Y35" s="72"/>
      <c r="Z35" s="72"/>
      <c r="AA35" s="72"/>
    </row>
    <row r="36" spans="1:27" s="70" customFormat="1" ht="48" x14ac:dyDescent="0.25">
      <c r="A36" s="69"/>
      <c r="B36" s="46">
        <f>ROW(B36) - ROW($B$9)</f>
        <v>27</v>
      </c>
      <c r="C36" s="53" t="s">
        <v>13</v>
      </c>
      <c r="D36" s="37" t="s">
        <v>53</v>
      </c>
      <c r="E36" s="37" t="s">
        <v>124</v>
      </c>
      <c r="F36" s="51" t="s">
        <v>435</v>
      </c>
      <c r="G36" s="37" t="s">
        <v>190</v>
      </c>
      <c r="H36" s="37" t="s">
        <v>300</v>
      </c>
      <c r="I36" s="37" t="s">
        <v>429</v>
      </c>
      <c r="J36" s="37" t="s">
        <v>343</v>
      </c>
      <c r="K36" s="37" t="s">
        <v>429</v>
      </c>
      <c r="L36" s="37">
        <v>8</v>
      </c>
      <c r="M36" s="37">
        <f>L36*5</f>
        <v>40</v>
      </c>
      <c r="N36" s="37">
        <v>45</v>
      </c>
      <c r="O36" s="60" t="s">
        <v>436</v>
      </c>
      <c r="P36" s="38">
        <v>0.2316</v>
      </c>
      <c r="Q36" s="38">
        <f>P36*N36</f>
        <v>10.422000000000001</v>
      </c>
      <c r="R36" s="37"/>
      <c r="S36" s="59"/>
      <c r="Y36" s="72"/>
      <c r="Z36" s="72"/>
      <c r="AA36" s="72"/>
    </row>
    <row r="37" spans="1:27" s="70" customFormat="1" ht="24" x14ac:dyDescent="0.25">
      <c r="A37" s="69"/>
      <c r="B37" s="47">
        <f t="shared" si="0"/>
        <v>28</v>
      </c>
      <c r="C37" s="54" t="s">
        <v>14</v>
      </c>
      <c r="D37" s="51" t="s">
        <v>54</v>
      </c>
      <c r="E37" s="51" t="s">
        <v>125</v>
      </c>
      <c r="F37" s="51" t="s">
        <v>435</v>
      </c>
      <c r="G37" s="51" t="s">
        <v>239</v>
      </c>
      <c r="H37" s="51" t="s">
        <v>301</v>
      </c>
      <c r="I37" s="51" t="s">
        <v>429</v>
      </c>
      <c r="J37" s="51" t="s">
        <v>344</v>
      </c>
      <c r="K37" s="51" t="s">
        <v>429</v>
      </c>
      <c r="L37" s="51">
        <v>1</v>
      </c>
      <c r="M37" s="51">
        <f t="shared" ref="M37" si="27">L37*5</f>
        <v>5</v>
      </c>
      <c r="N37" s="51">
        <v>10</v>
      </c>
      <c r="O37" s="60" t="s">
        <v>436</v>
      </c>
      <c r="P37" s="52">
        <v>0.21590000000000001</v>
      </c>
      <c r="Q37" s="52">
        <f t="shared" ref="Q37" si="28">P37*N37</f>
        <v>2.1590000000000003</v>
      </c>
      <c r="R37" s="51"/>
      <c r="S37" s="59"/>
      <c r="Y37" s="72"/>
      <c r="Z37" s="72"/>
      <c r="AA37" s="72"/>
    </row>
    <row r="38" spans="1:27" s="70" customFormat="1" ht="48" x14ac:dyDescent="0.25">
      <c r="A38" s="69"/>
      <c r="B38" s="46">
        <f>ROW(B38) - ROW($B$9)</f>
        <v>29</v>
      </c>
      <c r="C38" s="53" t="s">
        <v>13</v>
      </c>
      <c r="D38" s="37" t="s">
        <v>55</v>
      </c>
      <c r="E38" s="37" t="s">
        <v>126</v>
      </c>
      <c r="F38" s="51" t="s">
        <v>435</v>
      </c>
      <c r="G38" s="37" t="s">
        <v>191</v>
      </c>
      <c r="H38" s="37" t="s">
        <v>300</v>
      </c>
      <c r="I38" s="37" t="s">
        <v>429</v>
      </c>
      <c r="J38" s="37" t="s">
        <v>345</v>
      </c>
      <c r="K38" s="37" t="s">
        <v>429</v>
      </c>
      <c r="L38" s="37">
        <v>4</v>
      </c>
      <c r="M38" s="37">
        <f>L38*5</f>
        <v>20</v>
      </c>
      <c r="N38" s="37">
        <v>25</v>
      </c>
      <c r="O38" s="60" t="s">
        <v>436</v>
      </c>
      <c r="P38" s="38">
        <v>0.17299999999999999</v>
      </c>
      <c r="Q38" s="38">
        <f>P38*N38</f>
        <v>4.3249999999999993</v>
      </c>
      <c r="R38" s="37"/>
      <c r="S38" s="59"/>
      <c r="Y38" s="72"/>
      <c r="Z38" s="72"/>
      <c r="AA38" s="72"/>
    </row>
    <row r="39" spans="1:27" s="70" customFormat="1" ht="48" x14ac:dyDescent="0.25">
      <c r="A39" s="69"/>
      <c r="B39" s="47">
        <f t="shared" si="0"/>
        <v>30</v>
      </c>
      <c r="C39" s="54" t="s">
        <v>493</v>
      </c>
      <c r="D39" s="68" t="s">
        <v>56</v>
      </c>
      <c r="E39" s="51" t="s">
        <v>494</v>
      </c>
      <c r="F39" s="51" t="s">
        <v>435</v>
      </c>
      <c r="G39" s="51" t="s">
        <v>491</v>
      </c>
      <c r="H39" s="51" t="s">
        <v>495</v>
      </c>
      <c r="I39" s="51" t="s">
        <v>429</v>
      </c>
      <c r="J39" s="51" t="s">
        <v>496</v>
      </c>
      <c r="K39" s="51" t="s">
        <v>429</v>
      </c>
      <c r="L39" s="51">
        <v>1</v>
      </c>
      <c r="M39" s="51">
        <f t="shared" ref="M39" si="29">L39*5</f>
        <v>5</v>
      </c>
      <c r="N39" s="51">
        <v>10</v>
      </c>
      <c r="O39" s="60" t="s">
        <v>436</v>
      </c>
      <c r="P39" s="52">
        <v>0.14860000000000001</v>
      </c>
      <c r="Q39" s="52">
        <f t="shared" ref="Q39" si="30">P39*N39</f>
        <v>1.4860000000000002</v>
      </c>
      <c r="R39" s="51"/>
      <c r="S39" s="59"/>
      <c r="Y39" s="72"/>
      <c r="Z39" s="72"/>
      <c r="AA39" s="72"/>
    </row>
    <row r="40" spans="1:27" s="70" customFormat="1" ht="24" x14ac:dyDescent="0.25">
      <c r="A40" s="69"/>
      <c r="B40" s="46">
        <f>ROW(B40) - ROW($B$9)</f>
        <v>31</v>
      </c>
      <c r="C40" s="53" t="s">
        <v>15</v>
      </c>
      <c r="D40" s="37" t="s">
        <v>57</v>
      </c>
      <c r="E40" s="37" t="s">
        <v>127</v>
      </c>
      <c r="F40" s="51" t="s">
        <v>435</v>
      </c>
      <c r="G40" s="37" t="s">
        <v>240</v>
      </c>
      <c r="H40" s="37" t="s">
        <v>302</v>
      </c>
      <c r="I40" s="37" t="s">
        <v>429</v>
      </c>
      <c r="J40" s="37" t="s">
        <v>240</v>
      </c>
      <c r="K40" s="37" t="s">
        <v>429</v>
      </c>
      <c r="L40" s="37">
        <v>1</v>
      </c>
      <c r="M40" s="37">
        <f>L40*5</f>
        <v>5</v>
      </c>
      <c r="N40" s="37">
        <v>12</v>
      </c>
      <c r="O40" s="60" t="s">
        <v>436</v>
      </c>
      <c r="P40" s="38">
        <v>7.0400000000000004E-2</v>
      </c>
      <c r="Q40" s="38">
        <f>P40*N40</f>
        <v>0.8448</v>
      </c>
      <c r="R40" s="37"/>
      <c r="S40" s="59"/>
      <c r="Y40" s="72"/>
      <c r="Z40" s="72"/>
      <c r="AA40" s="72"/>
    </row>
    <row r="41" spans="1:27" s="70" customFormat="1" ht="36" x14ac:dyDescent="0.25">
      <c r="A41" s="69"/>
      <c r="B41" s="47">
        <f t="shared" si="0"/>
        <v>32</v>
      </c>
      <c r="C41" s="54" t="s">
        <v>430</v>
      </c>
      <c r="D41" s="51" t="s">
        <v>58</v>
      </c>
      <c r="E41" s="51" t="s">
        <v>454</v>
      </c>
      <c r="F41" s="51" t="s">
        <v>435</v>
      </c>
      <c r="G41" s="51" t="s">
        <v>455</v>
      </c>
      <c r="H41" s="51" t="s">
        <v>456</v>
      </c>
      <c r="I41" s="51"/>
      <c r="J41" s="51" t="s">
        <v>457</v>
      </c>
      <c r="K41" s="51" t="s">
        <v>429</v>
      </c>
      <c r="L41" s="51">
        <v>1</v>
      </c>
      <c r="M41" s="51">
        <f t="shared" ref="M41" si="31">L41*5</f>
        <v>5</v>
      </c>
      <c r="N41" s="51">
        <v>6</v>
      </c>
      <c r="O41" s="60" t="s">
        <v>436</v>
      </c>
      <c r="P41" s="52">
        <v>0.91159999999999997</v>
      </c>
      <c r="Q41" s="52">
        <f t="shared" ref="Q41" si="32">P41*N41</f>
        <v>5.4695999999999998</v>
      </c>
      <c r="R41" s="51"/>
      <c r="S41" s="59"/>
      <c r="Y41" s="72"/>
      <c r="Z41" s="72"/>
      <c r="AA41" s="72"/>
    </row>
    <row r="42" spans="1:27" s="70" customFormat="1" ht="36" x14ac:dyDescent="0.25">
      <c r="A42" s="69"/>
      <c r="B42" s="46">
        <f>ROW(B42) - ROW($B$9)</f>
        <v>33</v>
      </c>
      <c r="C42" s="53" t="s">
        <v>16</v>
      </c>
      <c r="D42" s="37" t="s">
        <v>59</v>
      </c>
      <c r="E42" s="37" t="s">
        <v>128</v>
      </c>
      <c r="F42" s="51" t="s">
        <v>435</v>
      </c>
      <c r="G42" s="37" t="s">
        <v>192</v>
      </c>
      <c r="H42" s="37" t="s">
        <v>303</v>
      </c>
      <c r="I42" s="37" t="s">
        <v>429</v>
      </c>
      <c r="J42" s="37" t="s">
        <v>346</v>
      </c>
      <c r="K42" s="37" t="s">
        <v>429</v>
      </c>
      <c r="L42" s="37">
        <v>2</v>
      </c>
      <c r="M42" s="37">
        <f>L42*5</f>
        <v>10</v>
      </c>
      <c r="N42" s="37">
        <v>11</v>
      </c>
      <c r="O42" s="60" t="s">
        <v>436</v>
      </c>
      <c r="P42" s="38">
        <v>0.81459999999999999</v>
      </c>
      <c r="Q42" s="38">
        <f>P42*N42</f>
        <v>8.9605999999999995</v>
      </c>
      <c r="R42" s="37"/>
      <c r="S42" s="59"/>
      <c r="Y42" s="72"/>
      <c r="Z42" s="72"/>
      <c r="AA42" s="72"/>
    </row>
    <row r="43" spans="1:27" s="70" customFormat="1" ht="30" x14ac:dyDescent="0.25">
      <c r="A43" s="69"/>
      <c r="B43" s="47">
        <f t="shared" si="0"/>
        <v>34</v>
      </c>
      <c r="C43" s="54" t="s">
        <v>17</v>
      </c>
      <c r="D43" s="51" t="s">
        <v>60</v>
      </c>
      <c r="E43" s="51" t="s">
        <v>481</v>
      </c>
      <c r="F43" s="51" t="s">
        <v>435</v>
      </c>
      <c r="G43" s="51" t="s">
        <v>482</v>
      </c>
      <c r="H43" s="51" t="s">
        <v>483</v>
      </c>
      <c r="I43" s="51" t="s">
        <v>429</v>
      </c>
      <c r="J43" s="51" t="s">
        <v>429</v>
      </c>
      <c r="K43" s="51" t="s">
        <v>429</v>
      </c>
      <c r="L43" s="51">
        <v>3</v>
      </c>
      <c r="M43" s="51">
        <f t="shared" ref="M43" si="33">L43*5</f>
        <v>15</v>
      </c>
      <c r="N43" s="51">
        <v>16</v>
      </c>
      <c r="O43" s="60" t="s">
        <v>484</v>
      </c>
      <c r="P43" s="52">
        <v>1.01</v>
      </c>
      <c r="Q43" s="52">
        <f t="shared" ref="Q43" si="34">P43*N43</f>
        <v>16.16</v>
      </c>
      <c r="R43" s="51"/>
      <c r="S43" s="59"/>
      <c r="Y43" s="72"/>
      <c r="Z43" s="72"/>
      <c r="AA43" s="72"/>
    </row>
    <row r="44" spans="1:27" s="70" customFormat="1" ht="24" x14ac:dyDescent="0.25">
      <c r="A44" s="69"/>
      <c r="B44" s="46">
        <f>ROW(B44) - ROW($B$9)</f>
        <v>35</v>
      </c>
      <c r="C44" s="53" t="s">
        <v>18</v>
      </c>
      <c r="D44" s="37" t="s">
        <v>61</v>
      </c>
      <c r="E44" s="37" t="s">
        <v>129</v>
      </c>
      <c r="F44" s="51" t="s">
        <v>435</v>
      </c>
      <c r="G44" s="37" t="s">
        <v>193</v>
      </c>
      <c r="H44" s="37" t="s">
        <v>304</v>
      </c>
      <c r="I44" s="37" t="s">
        <v>429</v>
      </c>
      <c r="J44" s="37" t="s">
        <v>347</v>
      </c>
      <c r="K44" s="37" t="s">
        <v>395</v>
      </c>
      <c r="L44" s="37">
        <v>1</v>
      </c>
      <c r="M44" s="37">
        <f>L44*5</f>
        <v>5</v>
      </c>
      <c r="N44" s="37">
        <v>10</v>
      </c>
      <c r="O44" s="60" t="s">
        <v>436</v>
      </c>
      <c r="P44" s="38">
        <v>0.2137</v>
      </c>
      <c r="Q44" s="38">
        <f>P44*N44</f>
        <v>2.137</v>
      </c>
      <c r="R44" s="37"/>
      <c r="S44" s="59"/>
      <c r="Y44" s="72"/>
      <c r="Z44" s="72"/>
      <c r="AA44" s="72"/>
    </row>
    <row r="45" spans="1:27" s="70" customFormat="1" x14ac:dyDescent="0.25">
      <c r="A45" s="69"/>
      <c r="B45" s="47">
        <f t="shared" si="0"/>
        <v>36</v>
      </c>
      <c r="C45" s="53" t="s">
        <v>18</v>
      </c>
      <c r="D45" s="51" t="s">
        <v>62</v>
      </c>
      <c r="E45" s="51" t="s">
        <v>130</v>
      </c>
      <c r="F45" s="51" t="s">
        <v>194</v>
      </c>
      <c r="G45" s="51" t="s">
        <v>241</v>
      </c>
      <c r="H45" s="51" t="s">
        <v>305</v>
      </c>
      <c r="I45" s="51" t="s">
        <v>429</v>
      </c>
      <c r="J45" s="51" t="s">
        <v>348</v>
      </c>
      <c r="K45" s="51" t="s">
        <v>396</v>
      </c>
      <c r="L45" s="51">
        <v>1</v>
      </c>
      <c r="M45" s="51">
        <f t="shared" ref="M45" si="35">L45*5</f>
        <v>5</v>
      </c>
      <c r="N45" s="51">
        <v>50</v>
      </c>
      <c r="O45" s="60" t="s">
        <v>436</v>
      </c>
      <c r="P45" s="52">
        <v>8.3000000000000001E-3</v>
      </c>
      <c r="Q45" s="52">
        <f t="shared" ref="Q45" si="36">P45*N45</f>
        <v>0.41499999999999998</v>
      </c>
      <c r="R45" s="51"/>
      <c r="S45" s="59"/>
      <c r="Y45" s="72"/>
      <c r="Z45" s="72"/>
      <c r="AA45" s="72"/>
    </row>
    <row r="46" spans="1:27" s="70" customFormat="1" ht="24" x14ac:dyDescent="0.25">
      <c r="A46" s="69"/>
      <c r="B46" s="46">
        <f>ROW(B46) - ROW($B$9)</f>
        <v>37</v>
      </c>
      <c r="C46" s="53" t="s">
        <v>19</v>
      </c>
      <c r="D46" s="37" t="s">
        <v>63</v>
      </c>
      <c r="E46" s="37" t="s">
        <v>131</v>
      </c>
      <c r="F46" s="37" t="s">
        <v>195</v>
      </c>
      <c r="G46" s="37" t="s">
        <v>242</v>
      </c>
      <c r="H46" s="37" t="s">
        <v>306</v>
      </c>
      <c r="I46" s="37" t="s">
        <v>429</v>
      </c>
      <c r="J46" s="37" t="s">
        <v>349</v>
      </c>
      <c r="K46" s="37" t="s">
        <v>429</v>
      </c>
      <c r="L46" s="37">
        <v>2</v>
      </c>
      <c r="M46" s="37">
        <f>L46*5</f>
        <v>10</v>
      </c>
      <c r="N46" s="37">
        <v>20</v>
      </c>
      <c r="O46" s="60" t="s">
        <v>436</v>
      </c>
      <c r="P46" s="38">
        <v>5.7599999999999998E-2</v>
      </c>
      <c r="Q46" s="38">
        <f>P46*N46</f>
        <v>1.1519999999999999</v>
      </c>
      <c r="R46" s="37"/>
      <c r="S46" s="59"/>
      <c r="Y46" s="72"/>
      <c r="Z46" s="72"/>
      <c r="AA46" s="72"/>
    </row>
    <row r="47" spans="1:27" s="70" customFormat="1" ht="24" x14ac:dyDescent="0.25">
      <c r="A47" s="69"/>
      <c r="B47" s="47">
        <f t="shared" si="0"/>
        <v>38</v>
      </c>
      <c r="C47" s="54" t="s">
        <v>19</v>
      </c>
      <c r="D47" s="51" t="s">
        <v>64</v>
      </c>
      <c r="E47" s="51" t="s">
        <v>132</v>
      </c>
      <c r="F47" s="51" t="s">
        <v>196</v>
      </c>
      <c r="G47" s="51" t="s">
        <v>243</v>
      </c>
      <c r="H47" s="51" t="s">
        <v>306</v>
      </c>
      <c r="I47" s="61" t="s">
        <v>437</v>
      </c>
      <c r="J47" s="51" t="s">
        <v>350</v>
      </c>
      <c r="K47" s="51" t="s">
        <v>429</v>
      </c>
      <c r="L47" s="51">
        <v>1</v>
      </c>
      <c r="M47" s="51">
        <f t="shared" ref="M47" si="37">L47*5</f>
        <v>5</v>
      </c>
      <c r="N47" s="51">
        <v>10</v>
      </c>
      <c r="O47" s="60" t="s">
        <v>436</v>
      </c>
      <c r="P47" s="52">
        <v>5.1499999999999997E-2</v>
      </c>
      <c r="Q47" s="52">
        <f t="shared" ref="Q47" si="38">P47*N47</f>
        <v>0.51500000000000001</v>
      </c>
      <c r="R47" s="51"/>
      <c r="S47" s="59"/>
      <c r="Y47" s="72"/>
      <c r="Z47" s="72"/>
      <c r="AA47" s="72"/>
    </row>
    <row r="48" spans="1:27" s="70" customFormat="1" x14ac:dyDescent="0.25">
      <c r="A48" s="69"/>
      <c r="B48" s="46">
        <f>ROW(B48) - ROW($B$9)</f>
        <v>39</v>
      </c>
      <c r="C48" s="53" t="s">
        <v>431</v>
      </c>
      <c r="D48" s="62" t="s">
        <v>485</v>
      </c>
      <c r="E48" s="62" t="s">
        <v>133</v>
      </c>
      <c r="F48" s="62" t="s">
        <v>435</v>
      </c>
      <c r="G48" s="62" t="s">
        <v>197</v>
      </c>
      <c r="H48" s="62" t="s">
        <v>429</v>
      </c>
      <c r="I48" s="62" t="s">
        <v>429</v>
      </c>
      <c r="J48" s="62" t="s">
        <v>429</v>
      </c>
      <c r="K48" s="62" t="s">
        <v>429</v>
      </c>
      <c r="L48" s="62">
        <v>9</v>
      </c>
      <c r="M48" s="62">
        <f>L48*5</f>
        <v>45</v>
      </c>
      <c r="N48" s="62" t="s">
        <v>429</v>
      </c>
      <c r="O48" s="62" t="s">
        <v>429</v>
      </c>
      <c r="P48" s="62" t="s">
        <v>429</v>
      </c>
      <c r="Q48" s="62" t="s">
        <v>429</v>
      </c>
      <c r="R48" s="63" t="s">
        <v>440</v>
      </c>
      <c r="S48" s="59"/>
      <c r="Y48" s="71"/>
      <c r="Z48" s="71"/>
      <c r="AA48" s="71"/>
    </row>
    <row r="49" spans="1:27" s="70" customFormat="1" x14ac:dyDescent="0.25">
      <c r="A49" s="69"/>
      <c r="B49" s="47">
        <f t="shared" si="0"/>
        <v>40</v>
      </c>
      <c r="C49" s="54" t="s">
        <v>432</v>
      </c>
      <c r="D49" s="51" t="s">
        <v>65</v>
      </c>
      <c r="E49" s="51" t="s">
        <v>134</v>
      </c>
      <c r="F49" s="51" t="s">
        <v>198</v>
      </c>
      <c r="G49" s="51" t="s">
        <v>244</v>
      </c>
      <c r="H49" s="51" t="s">
        <v>307</v>
      </c>
      <c r="I49" s="51"/>
      <c r="J49" s="51" t="s">
        <v>351</v>
      </c>
      <c r="K49" s="51" t="s">
        <v>429</v>
      </c>
      <c r="L49" s="51">
        <v>1</v>
      </c>
      <c r="M49" s="51">
        <f t="shared" ref="M49" si="39">L49*5</f>
        <v>5</v>
      </c>
      <c r="N49" s="51">
        <v>20</v>
      </c>
      <c r="O49" s="60" t="s">
        <v>436</v>
      </c>
      <c r="P49" s="52">
        <v>2.1000000000000001E-2</v>
      </c>
      <c r="Q49" s="52">
        <f t="shared" ref="Q49" si="40">P49*N49</f>
        <v>0.42000000000000004</v>
      </c>
      <c r="R49" s="51"/>
      <c r="S49" s="59"/>
      <c r="Y49"/>
      <c r="Z49"/>
      <c r="AA49"/>
    </row>
    <row r="50" spans="1:27" s="70" customFormat="1" x14ac:dyDescent="0.25">
      <c r="A50" s="69"/>
      <c r="B50" s="46">
        <f>ROW(B50) - ROW($B$9)</f>
        <v>41</v>
      </c>
      <c r="C50" s="53" t="s">
        <v>20</v>
      </c>
      <c r="D50" s="37" t="s">
        <v>66</v>
      </c>
      <c r="E50" s="37" t="s">
        <v>135</v>
      </c>
      <c r="F50" s="37" t="s">
        <v>199</v>
      </c>
      <c r="G50" s="62" t="s">
        <v>245</v>
      </c>
      <c r="H50" s="37" t="s">
        <v>308</v>
      </c>
      <c r="I50" s="37" t="s">
        <v>445</v>
      </c>
      <c r="J50" s="37" t="s">
        <v>446</v>
      </c>
      <c r="K50" s="37" t="s">
        <v>397</v>
      </c>
      <c r="L50" s="37">
        <v>2</v>
      </c>
      <c r="M50" s="37">
        <f>L50*5</f>
        <v>10</v>
      </c>
      <c r="N50" s="37">
        <v>20</v>
      </c>
      <c r="O50" s="60" t="s">
        <v>436</v>
      </c>
      <c r="P50" s="38">
        <v>2.1700000000000001E-2</v>
      </c>
      <c r="Q50" s="38">
        <f>P50*N50</f>
        <v>0.434</v>
      </c>
      <c r="R50" s="37"/>
      <c r="S50" s="59"/>
      <c r="Y50"/>
      <c r="Z50"/>
      <c r="AA50"/>
    </row>
    <row r="51" spans="1:27" s="70" customFormat="1" x14ac:dyDescent="0.25">
      <c r="A51" s="69"/>
      <c r="B51" s="47">
        <f t="shared" si="0"/>
        <v>42</v>
      </c>
      <c r="C51" s="54" t="s">
        <v>21</v>
      </c>
      <c r="D51" s="51" t="s">
        <v>67</v>
      </c>
      <c r="E51" s="51" t="s">
        <v>136</v>
      </c>
      <c r="F51" s="51" t="s">
        <v>435</v>
      </c>
      <c r="G51" s="51" t="s">
        <v>200</v>
      </c>
      <c r="H51" s="51" t="s">
        <v>309</v>
      </c>
      <c r="I51" s="51" t="s">
        <v>429</v>
      </c>
      <c r="J51" s="51" t="s">
        <v>352</v>
      </c>
      <c r="K51" s="51" t="s">
        <v>500</v>
      </c>
      <c r="L51" s="51">
        <v>1</v>
      </c>
      <c r="M51" s="51">
        <f t="shared" ref="M51" si="41">L51*5</f>
        <v>5</v>
      </c>
      <c r="N51" s="51">
        <v>10</v>
      </c>
      <c r="O51" s="60" t="s">
        <v>436</v>
      </c>
      <c r="P51" s="52" t="s">
        <v>429</v>
      </c>
      <c r="Q51" s="52" t="s">
        <v>429</v>
      </c>
      <c r="R51" s="63" t="s">
        <v>440</v>
      </c>
      <c r="S51" s="59"/>
      <c r="Y51"/>
      <c r="Z51"/>
      <c r="AA51"/>
    </row>
    <row r="52" spans="1:27" s="70" customFormat="1" x14ac:dyDescent="0.25">
      <c r="A52" s="69"/>
      <c r="B52" s="46">
        <f>ROW(B52) - ROW($B$9)</f>
        <v>43</v>
      </c>
      <c r="C52" s="53" t="s">
        <v>20</v>
      </c>
      <c r="D52" s="37" t="s">
        <v>68</v>
      </c>
      <c r="E52" s="37" t="s">
        <v>137</v>
      </c>
      <c r="F52" s="37" t="s">
        <v>199</v>
      </c>
      <c r="G52" s="37" t="s">
        <v>246</v>
      </c>
      <c r="H52" s="37" t="s">
        <v>282</v>
      </c>
      <c r="I52" s="37" t="s">
        <v>429</v>
      </c>
      <c r="J52" s="37" t="s">
        <v>353</v>
      </c>
      <c r="K52" s="37" t="s">
        <v>398</v>
      </c>
      <c r="L52" s="37">
        <v>1</v>
      </c>
      <c r="M52" s="37">
        <f>L52*5</f>
        <v>5</v>
      </c>
      <c r="N52" s="37">
        <v>100</v>
      </c>
      <c r="O52" s="60" t="s">
        <v>436</v>
      </c>
      <c r="P52" s="38">
        <v>2.5999999999999999E-3</v>
      </c>
      <c r="Q52" s="38">
        <f>P52*N52</f>
        <v>0.26</v>
      </c>
      <c r="R52" s="37"/>
      <c r="S52" s="59"/>
      <c r="Y52"/>
      <c r="Z52"/>
      <c r="AA52"/>
    </row>
    <row r="53" spans="1:27" s="70" customFormat="1" ht="24" x14ac:dyDescent="0.25">
      <c r="A53" s="69"/>
      <c r="B53" s="47">
        <f t="shared" si="0"/>
        <v>44</v>
      </c>
      <c r="C53" s="54" t="s">
        <v>20</v>
      </c>
      <c r="D53" s="51" t="s">
        <v>474</v>
      </c>
      <c r="E53" s="51" t="s">
        <v>138</v>
      </c>
      <c r="F53" s="51" t="s">
        <v>201</v>
      </c>
      <c r="G53" s="51" t="s">
        <v>247</v>
      </c>
      <c r="H53" s="51" t="s">
        <v>282</v>
      </c>
      <c r="I53" s="37" t="s">
        <v>429</v>
      </c>
      <c r="J53" s="51" t="s">
        <v>354</v>
      </c>
      <c r="K53" s="51" t="s">
        <v>399</v>
      </c>
      <c r="L53" s="51">
        <v>12</v>
      </c>
      <c r="M53" s="51">
        <f t="shared" ref="M53" si="42">L53*5</f>
        <v>60</v>
      </c>
      <c r="N53" s="51">
        <v>100</v>
      </c>
      <c r="O53" s="60" t="s">
        <v>436</v>
      </c>
      <c r="P53" s="52">
        <v>8.9999999999999998E-4</v>
      </c>
      <c r="Q53" s="52">
        <f t="shared" ref="Q53" si="43">P53*N53</f>
        <v>0.09</v>
      </c>
      <c r="R53" s="51"/>
      <c r="S53" s="59"/>
      <c r="Y53"/>
      <c r="Z53"/>
      <c r="AA53"/>
    </row>
    <row r="54" spans="1:27" s="70" customFormat="1" ht="24" x14ac:dyDescent="0.25">
      <c r="A54" s="69"/>
      <c r="B54" s="46">
        <f>ROW(B54) - ROW($B$9)</f>
        <v>45</v>
      </c>
      <c r="C54" s="54" t="s">
        <v>20</v>
      </c>
      <c r="D54" s="67" t="s">
        <v>486</v>
      </c>
      <c r="E54" s="37" t="s">
        <v>139</v>
      </c>
      <c r="F54" s="37" t="s">
        <v>201</v>
      </c>
      <c r="G54" s="62" t="s">
        <v>248</v>
      </c>
      <c r="H54" s="37" t="s">
        <v>282</v>
      </c>
      <c r="I54" s="37" t="s">
        <v>447</v>
      </c>
      <c r="J54" s="37" t="s">
        <v>448</v>
      </c>
      <c r="K54" s="37" t="s">
        <v>400</v>
      </c>
      <c r="L54" s="37">
        <v>8</v>
      </c>
      <c r="M54" s="37">
        <f>L54*5</f>
        <v>40</v>
      </c>
      <c r="N54" s="37">
        <v>100</v>
      </c>
      <c r="O54" s="60" t="s">
        <v>436</v>
      </c>
      <c r="P54" s="38">
        <v>8.9999999999999998E-4</v>
      </c>
      <c r="Q54" s="38">
        <f>P54*N54</f>
        <v>0.09</v>
      </c>
      <c r="R54" s="37"/>
      <c r="S54" s="59"/>
      <c r="Y54"/>
      <c r="Z54"/>
      <c r="AA54"/>
    </row>
    <row r="55" spans="1:27" s="70" customFormat="1" ht="36" x14ac:dyDescent="0.25">
      <c r="A55" s="69"/>
      <c r="B55" s="47">
        <f t="shared" si="0"/>
        <v>46</v>
      </c>
      <c r="C55" s="54" t="s">
        <v>20</v>
      </c>
      <c r="D55" s="51" t="s">
        <v>69</v>
      </c>
      <c r="E55" s="51" t="s">
        <v>140</v>
      </c>
      <c r="F55" s="51" t="s">
        <v>202</v>
      </c>
      <c r="G55" s="51" t="s">
        <v>249</v>
      </c>
      <c r="H55" s="51" t="s">
        <v>310</v>
      </c>
      <c r="I55" s="51" t="s">
        <v>429</v>
      </c>
      <c r="J55" s="51" t="s">
        <v>355</v>
      </c>
      <c r="K55" s="51" t="s">
        <v>401</v>
      </c>
      <c r="L55" s="51">
        <v>1</v>
      </c>
      <c r="M55" s="51">
        <f t="shared" ref="M55" si="44">L55*5</f>
        <v>5</v>
      </c>
      <c r="N55" s="51">
        <v>100</v>
      </c>
      <c r="O55" s="60" t="s">
        <v>436</v>
      </c>
      <c r="P55" s="52">
        <v>1E-3</v>
      </c>
      <c r="Q55" s="52">
        <f t="shared" ref="Q55" si="45">P55*N55</f>
        <v>0.1</v>
      </c>
      <c r="R55" s="51"/>
      <c r="S55" s="59"/>
      <c r="Y55"/>
      <c r="Z55"/>
      <c r="AA55"/>
    </row>
    <row r="56" spans="1:27" s="70" customFormat="1" x14ac:dyDescent="0.25">
      <c r="A56" s="69"/>
      <c r="B56" s="46">
        <f>ROW(B56) - ROW($B$9)</f>
        <v>47</v>
      </c>
      <c r="C56" s="54" t="s">
        <v>20</v>
      </c>
      <c r="D56" s="37" t="s">
        <v>70</v>
      </c>
      <c r="E56" s="37" t="s">
        <v>141</v>
      </c>
      <c r="F56" s="37" t="s">
        <v>201</v>
      </c>
      <c r="G56" s="37" t="s">
        <v>250</v>
      </c>
      <c r="H56" s="37" t="s">
        <v>282</v>
      </c>
      <c r="I56" s="37" t="s">
        <v>429</v>
      </c>
      <c r="J56" s="37" t="s">
        <v>356</v>
      </c>
      <c r="K56" s="37" t="s">
        <v>402</v>
      </c>
      <c r="L56" s="37">
        <v>2</v>
      </c>
      <c r="M56" s="37">
        <f>L56*5</f>
        <v>10</v>
      </c>
      <c r="N56" s="37">
        <v>100</v>
      </c>
      <c r="O56" s="60" t="s">
        <v>436</v>
      </c>
      <c r="P56" s="38">
        <v>8.0000000000000004E-4</v>
      </c>
      <c r="Q56" s="38">
        <f>P56*N56</f>
        <v>0.08</v>
      </c>
      <c r="R56" s="37"/>
      <c r="S56" s="59"/>
      <c r="Y56"/>
      <c r="Z56"/>
      <c r="AA56"/>
    </row>
    <row r="57" spans="1:27" s="70" customFormat="1" x14ac:dyDescent="0.25">
      <c r="A57" s="69"/>
      <c r="B57" s="47">
        <f t="shared" si="0"/>
        <v>48</v>
      </c>
      <c r="C57" s="54" t="s">
        <v>20</v>
      </c>
      <c r="D57" s="51" t="s">
        <v>475</v>
      </c>
      <c r="E57" s="51" t="s">
        <v>142</v>
      </c>
      <c r="F57" s="51" t="s">
        <v>201</v>
      </c>
      <c r="G57" s="62" t="s">
        <v>251</v>
      </c>
      <c r="H57" s="51" t="s">
        <v>282</v>
      </c>
      <c r="I57" s="51" t="s">
        <v>449</v>
      </c>
      <c r="J57" s="51" t="s">
        <v>450</v>
      </c>
      <c r="K57" s="51" t="s">
        <v>403</v>
      </c>
      <c r="L57" s="51">
        <v>2</v>
      </c>
      <c r="M57" s="51">
        <f t="shared" ref="M57" si="46">L57*5</f>
        <v>10</v>
      </c>
      <c r="N57" s="51">
        <v>100</v>
      </c>
      <c r="O57" s="60" t="s">
        <v>436</v>
      </c>
      <c r="P57" s="52">
        <v>5.0000000000000001E-4</v>
      </c>
      <c r="Q57" s="52">
        <f t="shared" ref="Q57" si="47">P57*N57</f>
        <v>0.05</v>
      </c>
      <c r="R57" s="51"/>
      <c r="S57" s="59"/>
      <c r="Y57"/>
      <c r="Z57"/>
      <c r="AA57"/>
    </row>
    <row r="58" spans="1:27" s="70" customFormat="1" x14ac:dyDescent="0.25">
      <c r="A58" s="69"/>
      <c r="B58" s="46">
        <f>ROW(B58) - ROW($B$9)</f>
        <v>49</v>
      </c>
      <c r="C58" s="53" t="s">
        <v>20</v>
      </c>
      <c r="D58" s="37" t="s">
        <v>71</v>
      </c>
      <c r="E58" s="37" t="s">
        <v>143</v>
      </c>
      <c r="F58" s="37" t="s">
        <v>199</v>
      </c>
      <c r="G58" s="37" t="s">
        <v>252</v>
      </c>
      <c r="H58" s="37" t="s">
        <v>282</v>
      </c>
      <c r="I58" s="37" t="s">
        <v>429</v>
      </c>
      <c r="J58" s="37" t="s">
        <v>357</v>
      </c>
      <c r="K58" s="37" t="s">
        <v>404</v>
      </c>
      <c r="L58" s="37">
        <v>2</v>
      </c>
      <c r="M58" s="37">
        <f>L58*5</f>
        <v>10</v>
      </c>
      <c r="N58" s="37">
        <v>100</v>
      </c>
      <c r="O58" s="60" t="s">
        <v>436</v>
      </c>
      <c r="P58" s="38">
        <v>6.9999999999999999E-4</v>
      </c>
      <c r="Q58" s="38">
        <f>P58*N58</f>
        <v>6.9999999999999993E-2</v>
      </c>
      <c r="R58" s="37"/>
      <c r="S58" s="59"/>
      <c r="Y58"/>
      <c r="Z58"/>
      <c r="AA58"/>
    </row>
    <row r="59" spans="1:27" s="70" customFormat="1" ht="48" x14ac:dyDescent="0.25">
      <c r="A59" s="69"/>
      <c r="B59" s="47">
        <f t="shared" si="0"/>
        <v>50</v>
      </c>
      <c r="C59" s="54" t="s">
        <v>20</v>
      </c>
      <c r="D59" s="51" t="s">
        <v>72</v>
      </c>
      <c r="E59" s="51" t="s">
        <v>144</v>
      </c>
      <c r="F59" s="51" t="s">
        <v>199</v>
      </c>
      <c r="G59" s="51" t="s">
        <v>253</v>
      </c>
      <c r="H59" s="51" t="s">
        <v>282</v>
      </c>
      <c r="I59" s="51" t="s">
        <v>429</v>
      </c>
      <c r="J59" s="51" t="s">
        <v>358</v>
      </c>
      <c r="K59" s="51" t="s">
        <v>405</v>
      </c>
      <c r="L59" s="51">
        <v>22</v>
      </c>
      <c r="M59" s="51">
        <f t="shared" ref="M59" si="48">L59*5</f>
        <v>110</v>
      </c>
      <c r="N59" s="51">
        <v>200</v>
      </c>
      <c r="O59" s="60" t="s">
        <v>436</v>
      </c>
      <c r="P59" s="52">
        <v>6.9999999999999999E-4</v>
      </c>
      <c r="Q59" s="52">
        <f t="shared" ref="Q59" si="49">P59*N59</f>
        <v>0.13999999999999999</v>
      </c>
      <c r="R59" s="51"/>
      <c r="S59" s="59"/>
      <c r="Y59"/>
      <c r="Z59"/>
      <c r="AA59"/>
    </row>
    <row r="60" spans="1:27" s="70" customFormat="1" x14ac:dyDescent="0.25">
      <c r="A60" s="69"/>
      <c r="B60" s="46">
        <f>ROW(B60) - ROW($B$9)</f>
        <v>51</v>
      </c>
      <c r="C60" s="54" t="s">
        <v>20</v>
      </c>
      <c r="D60" s="37" t="s">
        <v>73</v>
      </c>
      <c r="E60" s="37" t="s">
        <v>145</v>
      </c>
      <c r="F60" s="37" t="s">
        <v>199</v>
      </c>
      <c r="G60" s="37" t="s">
        <v>254</v>
      </c>
      <c r="H60" s="37" t="s">
        <v>282</v>
      </c>
      <c r="I60" s="37" t="s">
        <v>429</v>
      </c>
      <c r="J60" s="37" t="s">
        <v>359</v>
      </c>
      <c r="K60" s="37" t="s">
        <v>406</v>
      </c>
      <c r="L60" s="37">
        <v>1</v>
      </c>
      <c r="M60" s="37">
        <f>L60*5</f>
        <v>5</v>
      </c>
      <c r="N60" s="37">
        <v>100</v>
      </c>
      <c r="O60" s="60" t="s">
        <v>436</v>
      </c>
      <c r="P60" s="38">
        <v>5.9999999999999995E-4</v>
      </c>
      <c r="Q60" s="38">
        <f>P60*N60</f>
        <v>0.06</v>
      </c>
      <c r="R60" s="37"/>
      <c r="S60" s="59"/>
      <c r="Y60"/>
      <c r="Z60"/>
      <c r="AA60"/>
    </row>
    <row r="61" spans="1:27" s="70" customFormat="1" ht="24" x14ac:dyDescent="0.25">
      <c r="A61" s="69"/>
      <c r="B61" s="46">
        <f>ROW(B61) - ROW($B$9)</f>
        <v>52</v>
      </c>
      <c r="C61" s="53" t="s">
        <v>20</v>
      </c>
      <c r="D61" s="51" t="s">
        <v>476</v>
      </c>
      <c r="E61" s="37" t="s">
        <v>150</v>
      </c>
      <c r="F61" s="37" t="s">
        <v>199</v>
      </c>
      <c r="G61" s="37" t="s">
        <v>259</v>
      </c>
      <c r="H61" s="37" t="s">
        <v>282</v>
      </c>
      <c r="I61" s="37" t="s">
        <v>429</v>
      </c>
      <c r="J61" s="37" t="s">
        <v>363</v>
      </c>
      <c r="K61" s="37" t="s">
        <v>407</v>
      </c>
      <c r="L61" s="37">
        <v>11</v>
      </c>
      <c r="M61" s="37">
        <f>L61*5</f>
        <v>55</v>
      </c>
      <c r="N61" s="37">
        <v>100</v>
      </c>
      <c r="O61" s="60" t="s">
        <v>436</v>
      </c>
      <c r="P61" s="38">
        <v>6.9999999999999999E-4</v>
      </c>
      <c r="Q61" s="38">
        <f>P61*N61</f>
        <v>6.9999999999999993E-2</v>
      </c>
      <c r="R61" s="37"/>
      <c r="S61" s="59"/>
      <c r="Y61"/>
      <c r="Z61"/>
      <c r="AA61"/>
    </row>
    <row r="62" spans="1:27" x14ac:dyDescent="0.25">
      <c r="A62" s="1"/>
      <c r="B62" s="46">
        <f>ROW(B62) - ROW($B$9)</f>
        <v>53</v>
      </c>
      <c r="C62" s="54" t="s">
        <v>477</v>
      </c>
      <c r="D62" s="67" t="s">
        <v>487</v>
      </c>
      <c r="E62" s="37" t="s">
        <v>497</v>
      </c>
      <c r="F62" s="37" t="s">
        <v>498</v>
      </c>
      <c r="G62" s="37" t="s">
        <v>492</v>
      </c>
      <c r="H62" s="37" t="s">
        <v>282</v>
      </c>
      <c r="I62" s="37" t="s">
        <v>429</v>
      </c>
      <c r="J62" s="37" t="s">
        <v>499</v>
      </c>
      <c r="K62" s="37" t="s">
        <v>402</v>
      </c>
      <c r="L62" s="37">
        <v>3</v>
      </c>
      <c r="M62" s="37">
        <f>L62*5</f>
        <v>15</v>
      </c>
      <c r="N62" s="37">
        <v>100</v>
      </c>
      <c r="O62" s="73" t="s">
        <v>436</v>
      </c>
      <c r="P62" s="38">
        <v>6.8999999999999999E-3</v>
      </c>
      <c r="Q62" s="38">
        <f>P62*N62</f>
        <v>0.69</v>
      </c>
      <c r="R62" s="37"/>
      <c r="S62" s="59"/>
      <c r="U62" s="70"/>
      <c r="V62" s="70"/>
      <c r="W62" s="70"/>
      <c r="X62" s="70"/>
    </row>
    <row r="63" spans="1:27" s="70" customFormat="1" x14ac:dyDescent="0.25">
      <c r="A63" s="69"/>
      <c r="B63" s="46">
        <f>ROW(B63) - ROW($B$9)</f>
        <v>54</v>
      </c>
      <c r="C63" s="53" t="s">
        <v>20</v>
      </c>
      <c r="D63" s="37" t="s">
        <v>74</v>
      </c>
      <c r="E63" s="37" t="s">
        <v>146</v>
      </c>
      <c r="F63" s="37" t="s">
        <v>199</v>
      </c>
      <c r="G63" s="37" t="s">
        <v>255</v>
      </c>
      <c r="H63" s="37" t="s">
        <v>282</v>
      </c>
      <c r="I63" s="37" t="s">
        <v>429</v>
      </c>
      <c r="J63" s="37" t="s">
        <v>360</v>
      </c>
      <c r="K63" s="37" t="s">
        <v>408</v>
      </c>
      <c r="L63" s="37">
        <v>4</v>
      </c>
      <c r="M63" s="37">
        <f>L63*5</f>
        <v>20</v>
      </c>
      <c r="N63" s="37">
        <v>100</v>
      </c>
      <c r="O63" s="60" t="s">
        <v>436</v>
      </c>
      <c r="P63" s="38">
        <v>6.9999999999999999E-4</v>
      </c>
      <c r="Q63" s="38">
        <f>P63*N63</f>
        <v>6.9999999999999993E-2</v>
      </c>
      <c r="R63" s="37"/>
      <c r="S63" s="59"/>
      <c r="Y63"/>
      <c r="Z63"/>
      <c r="AA63"/>
    </row>
    <row r="64" spans="1:27" s="70" customFormat="1" x14ac:dyDescent="0.25">
      <c r="A64" s="69"/>
      <c r="B64" s="47">
        <f t="shared" si="0"/>
        <v>55</v>
      </c>
      <c r="C64" s="54" t="s">
        <v>20</v>
      </c>
      <c r="D64" s="51" t="s">
        <v>75</v>
      </c>
      <c r="E64" s="51" t="s">
        <v>147</v>
      </c>
      <c r="F64" s="51" t="s">
        <v>202</v>
      </c>
      <c r="G64" s="51" t="s">
        <v>256</v>
      </c>
      <c r="H64" s="51" t="s">
        <v>282</v>
      </c>
      <c r="I64" s="51" t="s">
        <v>429</v>
      </c>
      <c r="J64" s="51" t="s">
        <v>361</v>
      </c>
      <c r="K64" s="51" t="s">
        <v>409</v>
      </c>
      <c r="L64" s="51">
        <v>1</v>
      </c>
      <c r="M64" s="51">
        <f t="shared" ref="M64" si="50">L64*5</f>
        <v>5</v>
      </c>
      <c r="N64" s="51">
        <v>100</v>
      </c>
      <c r="O64" s="60" t="s">
        <v>436</v>
      </c>
      <c r="P64" s="52">
        <v>1.1999999999999999E-3</v>
      </c>
      <c r="Q64" s="52">
        <f t="shared" ref="Q64" si="51">P64*N64</f>
        <v>0.12</v>
      </c>
      <c r="R64" s="51"/>
      <c r="S64" s="59"/>
      <c r="Y64"/>
      <c r="Z64"/>
      <c r="AA64"/>
    </row>
    <row r="65" spans="1:27" s="70" customFormat="1" x14ac:dyDescent="0.25">
      <c r="A65" s="69"/>
      <c r="B65" s="46">
        <f>ROW(B65) - ROW($B$9)</f>
        <v>56</v>
      </c>
      <c r="C65" s="53" t="s">
        <v>20</v>
      </c>
      <c r="D65" s="37" t="s">
        <v>76</v>
      </c>
      <c r="E65" s="37" t="s">
        <v>148</v>
      </c>
      <c r="F65" s="37" t="s">
        <v>199</v>
      </c>
      <c r="G65" s="37" t="s">
        <v>257</v>
      </c>
      <c r="H65" s="37" t="s">
        <v>282</v>
      </c>
      <c r="I65" s="37" t="s">
        <v>429</v>
      </c>
      <c r="J65" s="37" t="s">
        <v>362</v>
      </c>
      <c r="K65" s="37" t="s">
        <v>410</v>
      </c>
      <c r="L65" s="37">
        <v>1</v>
      </c>
      <c r="M65" s="37">
        <f>L65*5</f>
        <v>5</v>
      </c>
      <c r="N65" s="37">
        <v>100</v>
      </c>
      <c r="O65" s="60" t="s">
        <v>436</v>
      </c>
      <c r="P65" s="38">
        <v>2.5000000000000001E-3</v>
      </c>
      <c r="Q65" s="38">
        <f>P65*N65</f>
        <v>0.25</v>
      </c>
      <c r="R65" s="37"/>
      <c r="S65" s="59"/>
      <c r="Y65"/>
      <c r="Z65"/>
      <c r="AA65"/>
    </row>
    <row r="66" spans="1:27" s="70" customFormat="1" x14ac:dyDescent="0.25">
      <c r="A66" s="69"/>
      <c r="B66" s="47">
        <f t="shared" si="0"/>
        <v>57</v>
      </c>
      <c r="C66" s="53" t="s">
        <v>20</v>
      </c>
      <c r="D66" s="51" t="s">
        <v>77</v>
      </c>
      <c r="E66" s="51" t="s">
        <v>149</v>
      </c>
      <c r="F66" s="51" t="s">
        <v>202</v>
      </c>
      <c r="G66" s="51" t="s">
        <v>258</v>
      </c>
      <c r="H66" s="51" t="s">
        <v>282</v>
      </c>
      <c r="I66" s="51" t="s">
        <v>429</v>
      </c>
      <c r="J66" s="51" t="s">
        <v>438</v>
      </c>
      <c r="K66" s="51" t="s">
        <v>411</v>
      </c>
      <c r="L66" s="51">
        <v>1</v>
      </c>
      <c r="M66" s="51">
        <f t="shared" ref="M66" si="52">L66*5</f>
        <v>5</v>
      </c>
      <c r="N66" s="51">
        <v>20</v>
      </c>
      <c r="O66" s="60" t="s">
        <v>436</v>
      </c>
      <c r="P66" s="52">
        <v>2.5999999999999999E-2</v>
      </c>
      <c r="Q66" s="52">
        <f t="shared" ref="Q66" si="53">P66*N66</f>
        <v>0.52</v>
      </c>
      <c r="R66" s="51"/>
      <c r="S66" s="59"/>
      <c r="Y66"/>
      <c r="Z66"/>
      <c r="AA66"/>
    </row>
    <row r="67" spans="1:27" s="70" customFormat="1" x14ac:dyDescent="0.25">
      <c r="A67" s="69"/>
      <c r="B67" s="47">
        <f t="shared" si="0"/>
        <v>58</v>
      </c>
      <c r="C67" s="53" t="s">
        <v>20</v>
      </c>
      <c r="D67" s="51" t="s">
        <v>78</v>
      </c>
      <c r="E67" s="51" t="s">
        <v>151</v>
      </c>
      <c r="F67" s="51" t="s">
        <v>199</v>
      </c>
      <c r="G67" s="62" t="s">
        <v>260</v>
      </c>
      <c r="H67" s="51" t="s">
        <v>311</v>
      </c>
      <c r="I67" s="51" t="s">
        <v>451</v>
      </c>
      <c r="J67" s="51" t="s">
        <v>452</v>
      </c>
      <c r="K67" s="51" t="s">
        <v>412</v>
      </c>
      <c r="L67" s="51">
        <v>4</v>
      </c>
      <c r="M67" s="51">
        <f t="shared" ref="M67" si="54">L67*5</f>
        <v>20</v>
      </c>
      <c r="N67" s="51">
        <v>100</v>
      </c>
      <c r="O67" s="60" t="s">
        <v>436</v>
      </c>
      <c r="P67" s="52">
        <v>4.0000000000000002E-4</v>
      </c>
      <c r="Q67" s="52">
        <f t="shared" ref="Q67" si="55">P67*N67</f>
        <v>0.04</v>
      </c>
      <c r="R67" s="51"/>
      <c r="S67" s="59"/>
      <c r="Y67"/>
      <c r="Z67"/>
      <c r="AA67"/>
    </row>
    <row r="68" spans="1:27" s="70" customFormat="1" x14ac:dyDescent="0.25">
      <c r="A68" s="69"/>
      <c r="B68" s="46">
        <f>ROW(B68) - ROW($B$9)</f>
        <v>59</v>
      </c>
      <c r="C68" s="53" t="s">
        <v>20</v>
      </c>
      <c r="D68" s="37" t="s">
        <v>79</v>
      </c>
      <c r="E68" s="37" t="s">
        <v>152</v>
      </c>
      <c r="F68" s="37" t="s">
        <v>202</v>
      </c>
      <c r="G68" s="37" t="s">
        <v>261</v>
      </c>
      <c r="H68" s="37" t="s">
        <v>282</v>
      </c>
      <c r="I68" s="37"/>
      <c r="J68" s="37" t="s">
        <v>364</v>
      </c>
      <c r="K68" s="37" t="s">
        <v>413</v>
      </c>
      <c r="L68" s="37">
        <v>1</v>
      </c>
      <c r="M68" s="37">
        <f>L68*5</f>
        <v>5</v>
      </c>
      <c r="N68" s="37">
        <v>100</v>
      </c>
      <c r="O68" s="60" t="s">
        <v>436</v>
      </c>
      <c r="P68" s="38">
        <v>1.1999999999999999E-3</v>
      </c>
      <c r="Q68" s="38">
        <f>P68*N68</f>
        <v>0.12</v>
      </c>
      <c r="R68" s="37"/>
      <c r="S68" s="59"/>
      <c r="Y68"/>
      <c r="Z68"/>
      <c r="AA68"/>
    </row>
    <row r="69" spans="1:27" s="70" customFormat="1" x14ac:dyDescent="0.25">
      <c r="A69" s="69"/>
      <c r="B69" s="47">
        <f t="shared" si="0"/>
        <v>60</v>
      </c>
      <c r="C69" s="53" t="s">
        <v>20</v>
      </c>
      <c r="D69" s="51" t="s">
        <v>80</v>
      </c>
      <c r="E69" s="51" t="s">
        <v>153</v>
      </c>
      <c r="F69" s="51" t="s">
        <v>199</v>
      </c>
      <c r="G69" s="51" t="s">
        <v>262</v>
      </c>
      <c r="H69" s="51" t="s">
        <v>308</v>
      </c>
      <c r="I69" s="51"/>
      <c r="J69" s="51" t="s">
        <v>365</v>
      </c>
      <c r="K69" s="51" t="s">
        <v>414</v>
      </c>
      <c r="L69" s="51">
        <v>1</v>
      </c>
      <c r="M69" s="51">
        <f t="shared" ref="M69" si="56">L69*5</f>
        <v>5</v>
      </c>
      <c r="N69" s="51">
        <v>10</v>
      </c>
      <c r="O69" s="60" t="s">
        <v>436</v>
      </c>
      <c r="P69" s="52">
        <v>5.3600000000000002E-2</v>
      </c>
      <c r="Q69" s="52">
        <f t="shared" ref="Q69" si="57">P69*N69</f>
        <v>0.53600000000000003</v>
      </c>
      <c r="R69" s="51"/>
      <c r="S69" s="59"/>
      <c r="Y69"/>
      <c r="Z69"/>
      <c r="AA69"/>
    </row>
    <row r="70" spans="1:27" s="70" customFormat="1" x14ac:dyDescent="0.25">
      <c r="A70" s="69"/>
      <c r="B70" s="46">
        <f>ROW(B70) - ROW($B$9)</f>
        <v>61</v>
      </c>
      <c r="C70" s="53" t="s">
        <v>20</v>
      </c>
      <c r="D70" s="37" t="s">
        <v>81</v>
      </c>
      <c r="E70" s="37" t="s">
        <v>154</v>
      </c>
      <c r="F70" s="37" t="s">
        <v>202</v>
      </c>
      <c r="G70" s="37" t="s">
        <v>263</v>
      </c>
      <c r="H70" s="37" t="s">
        <v>282</v>
      </c>
      <c r="I70" s="37"/>
      <c r="J70" s="37" t="s">
        <v>366</v>
      </c>
      <c r="K70" s="37" t="s">
        <v>415</v>
      </c>
      <c r="L70" s="37">
        <v>2</v>
      </c>
      <c r="M70" s="37">
        <f>L70*5</f>
        <v>10</v>
      </c>
      <c r="N70" s="37">
        <v>100</v>
      </c>
      <c r="O70" s="60" t="s">
        <v>436</v>
      </c>
      <c r="P70" s="38">
        <v>1.1999999999999999E-3</v>
      </c>
      <c r="Q70" s="38">
        <f>P70*N70</f>
        <v>0.12</v>
      </c>
      <c r="R70" s="37"/>
      <c r="S70" s="59"/>
      <c r="Y70"/>
      <c r="Z70"/>
      <c r="AA70"/>
    </row>
    <row r="71" spans="1:27" s="70" customFormat="1" x14ac:dyDescent="0.25">
      <c r="A71" s="69"/>
      <c r="B71" s="47">
        <f t="shared" si="0"/>
        <v>62</v>
      </c>
      <c r="C71" s="54" t="s">
        <v>20</v>
      </c>
      <c r="D71" s="51" t="s">
        <v>82</v>
      </c>
      <c r="E71" s="51" t="s">
        <v>155</v>
      </c>
      <c r="F71" s="51" t="s">
        <v>199</v>
      </c>
      <c r="G71" s="51" t="s">
        <v>264</v>
      </c>
      <c r="H71" s="51" t="s">
        <v>282</v>
      </c>
      <c r="I71" s="51"/>
      <c r="J71" s="51" t="s">
        <v>367</v>
      </c>
      <c r="K71" s="51" t="s">
        <v>416</v>
      </c>
      <c r="L71" s="51">
        <v>1</v>
      </c>
      <c r="M71" s="51">
        <f t="shared" ref="M71:M72" si="58">L71*5</f>
        <v>5</v>
      </c>
      <c r="N71" s="51">
        <v>100</v>
      </c>
      <c r="O71" s="60" t="s">
        <v>436</v>
      </c>
      <c r="P71" s="52">
        <v>6.9999999999999999E-4</v>
      </c>
      <c r="Q71" s="52">
        <f t="shared" ref="Q71:Q72" si="59">P71*N71</f>
        <v>6.9999999999999993E-2</v>
      </c>
      <c r="R71" s="51"/>
      <c r="S71" s="59"/>
      <c r="Y71"/>
      <c r="Z71"/>
      <c r="AA71"/>
    </row>
    <row r="72" spans="1:27" s="70" customFormat="1" x14ac:dyDescent="0.25">
      <c r="A72" s="69"/>
      <c r="B72" s="47">
        <f t="shared" si="0"/>
        <v>63</v>
      </c>
      <c r="C72" s="54" t="s">
        <v>477</v>
      </c>
      <c r="D72" s="67" t="s">
        <v>488</v>
      </c>
      <c r="E72" s="51" t="s">
        <v>478</v>
      </c>
      <c r="F72" s="51" t="s">
        <v>435</v>
      </c>
      <c r="G72" s="51" t="s">
        <v>479</v>
      </c>
      <c r="H72" s="51" t="s">
        <v>282</v>
      </c>
      <c r="I72" s="51" t="s">
        <v>429</v>
      </c>
      <c r="J72" s="51" t="s">
        <v>480</v>
      </c>
      <c r="K72" s="51" t="s">
        <v>399</v>
      </c>
      <c r="L72" s="51">
        <v>2</v>
      </c>
      <c r="M72" s="51">
        <f t="shared" si="58"/>
        <v>10</v>
      </c>
      <c r="N72" s="51">
        <v>50</v>
      </c>
      <c r="O72" s="60" t="s">
        <v>436</v>
      </c>
      <c r="P72" s="52">
        <v>8.6999999999999994E-3</v>
      </c>
      <c r="Q72" s="52">
        <f t="shared" si="59"/>
        <v>0.43499999999999994</v>
      </c>
      <c r="R72" s="51"/>
      <c r="S72" s="59"/>
      <c r="Y72"/>
      <c r="Z72"/>
      <c r="AA72"/>
    </row>
    <row r="73" spans="1:27" s="70" customFormat="1" x14ac:dyDescent="0.25">
      <c r="A73" s="69"/>
      <c r="B73" s="46">
        <f>ROW(B73) - ROW($B$9)</f>
        <v>64</v>
      </c>
      <c r="C73" s="53" t="s">
        <v>22</v>
      </c>
      <c r="D73" s="64" t="s">
        <v>489</v>
      </c>
      <c r="E73" s="64" t="s">
        <v>156</v>
      </c>
      <c r="F73" s="65" t="s">
        <v>435</v>
      </c>
      <c r="G73" s="64" t="s">
        <v>203</v>
      </c>
      <c r="H73" s="64" t="s">
        <v>429</v>
      </c>
      <c r="I73" s="64" t="s">
        <v>429</v>
      </c>
      <c r="J73" s="64" t="s">
        <v>429</v>
      </c>
      <c r="K73" s="64" t="s">
        <v>429</v>
      </c>
      <c r="L73" s="64">
        <v>3</v>
      </c>
      <c r="M73" s="64">
        <f>L73*5</f>
        <v>15</v>
      </c>
      <c r="N73" s="64" t="s">
        <v>429</v>
      </c>
      <c r="O73" s="64" t="s">
        <v>429</v>
      </c>
      <c r="P73" s="64" t="s">
        <v>429</v>
      </c>
      <c r="Q73" s="64" t="s">
        <v>429</v>
      </c>
      <c r="R73" s="63" t="s">
        <v>440</v>
      </c>
      <c r="S73" s="59"/>
      <c r="Y73"/>
      <c r="Z73"/>
      <c r="AA73"/>
    </row>
    <row r="74" spans="1:27" s="70" customFormat="1" ht="24" x14ac:dyDescent="0.25">
      <c r="A74" s="69"/>
      <c r="B74" s="47">
        <f t="shared" si="0"/>
        <v>65</v>
      </c>
      <c r="C74" s="54" t="s">
        <v>23</v>
      </c>
      <c r="D74" s="51" t="s">
        <v>83</v>
      </c>
      <c r="E74" s="51" t="s">
        <v>157</v>
      </c>
      <c r="F74" s="51" t="s">
        <v>435</v>
      </c>
      <c r="G74" s="51" t="s">
        <v>204</v>
      </c>
      <c r="H74" s="51" t="s">
        <v>312</v>
      </c>
      <c r="I74" s="51" t="s">
        <v>429</v>
      </c>
      <c r="J74" s="51" t="s">
        <v>439</v>
      </c>
      <c r="K74" s="51" t="s">
        <v>429</v>
      </c>
      <c r="L74" s="51">
        <v>1</v>
      </c>
      <c r="M74" s="51">
        <f t="shared" ref="M74" si="60">L74*5</f>
        <v>5</v>
      </c>
      <c r="N74" s="51">
        <v>10</v>
      </c>
      <c r="O74" s="60" t="s">
        <v>436</v>
      </c>
      <c r="P74" s="52">
        <v>0.1275</v>
      </c>
      <c r="Q74" s="52">
        <f t="shared" ref="Q74" si="61">P74*N74</f>
        <v>1.2749999999999999</v>
      </c>
      <c r="R74" s="51"/>
      <c r="S74" s="59"/>
      <c r="Y74"/>
      <c r="Z74"/>
      <c r="AA74"/>
    </row>
    <row r="75" spans="1:27" s="70" customFormat="1" x14ac:dyDescent="0.25">
      <c r="A75" s="69"/>
      <c r="B75" s="46">
        <f>ROW(B75) - ROW($B$9)</f>
        <v>66</v>
      </c>
      <c r="C75" s="53" t="s">
        <v>24</v>
      </c>
      <c r="D75" s="37" t="s">
        <v>84</v>
      </c>
      <c r="E75" s="37" t="s">
        <v>158</v>
      </c>
      <c r="F75" s="37" t="s">
        <v>205</v>
      </c>
      <c r="G75" s="37" t="s">
        <v>265</v>
      </c>
      <c r="H75" s="37" t="s">
        <v>313</v>
      </c>
      <c r="I75" s="37" t="s">
        <v>429</v>
      </c>
      <c r="J75" s="37" t="s">
        <v>368</v>
      </c>
      <c r="K75" s="37" t="s">
        <v>429</v>
      </c>
      <c r="L75" s="37">
        <v>1</v>
      </c>
      <c r="M75" s="37">
        <f>L75*5</f>
        <v>5</v>
      </c>
      <c r="N75" s="37">
        <v>6</v>
      </c>
      <c r="O75" s="60" t="s">
        <v>436</v>
      </c>
      <c r="P75" s="38">
        <v>0.82569999999999999</v>
      </c>
      <c r="Q75" s="38">
        <f>P75*N75</f>
        <v>4.9542000000000002</v>
      </c>
      <c r="R75" s="37"/>
      <c r="S75" s="59"/>
      <c r="Y75"/>
      <c r="Z75"/>
      <c r="AA75"/>
    </row>
    <row r="76" spans="1:27" s="70" customFormat="1" x14ac:dyDescent="0.25">
      <c r="A76" s="69"/>
      <c r="B76" s="47">
        <f t="shared" si="0"/>
        <v>67</v>
      </c>
      <c r="C76" s="54" t="s">
        <v>24</v>
      </c>
      <c r="D76" s="51" t="s">
        <v>85</v>
      </c>
      <c r="E76" s="51" t="s">
        <v>159</v>
      </c>
      <c r="F76" s="51" t="s">
        <v>206</v>
      </c>
      <c r="G76" s="51" t="s">
        <v>266</v>
      </c>
      <c r="H76" s="51" t="s">
        <v>313</v>
      </c>
      <c r="I76" s="51" t="s">
        <v>429</v>
      </c>
      <c r="J76" s="51" t="s">
        <v>369</v>
      </c>
      <c r="K76" s="51" t="s">
        <v>429</v>
      </c>
      <c r="L76" s="51">
        <v>1</v>
      </c>
      <c r="M76" s="51">
        <f t="shared" ref="M76" si="62">L76*5</f>
        <v>5</v>
      </c>
      <c r="N76" s="51">
        <v>6</v>
      </c>
      <c r="O76" s="60" t="s">
        <v>436</v>
      </c>
      <c r="P76" s="52">
        <v>0.70009999999999994</v>
      </c>
      <c r="Q76" s="52">
        <f t="shared" ref="Q76" si="63">P76*N76</f>
        <v>4.2005999999999997</v>
      </c>
      <c r="R76" s="51"/>
      <c r="S76" s="59"/>
      <c r="Y76"/>
      <c r="Z76"/>
      <c r="AA76"/>
    </row>
    <row r="77" spans="1:27" s="70" customFormat="1" ht="36" x14ac:dyDescent="0.25">
      <c r="A77" s="69"/>
      <c r="B77" s="46">
        <f>ROW(B77) - ROW($B$9)</f>
        <v>68</v>
      </c>
      <c r="C77" s="53" t="s">
        <v>24</v>
      </c>
      <c r="D77" s="37" t="s">
        <v>86</v>
      </c>
      <c r="E77" s="37" t="s">
        <v>160</v>
      </c>
      <c r="F77" s="37" t="s">
        <v>207</v>
      </c>
      <c r="G77" s="37" t="s">
        <v>267</v>
      </c>
      <c r="H77" s="37" t="s">
        <v>314</v>
      </c>
      <c r="I77" s="37" t="s">
        <v>429</v>
      </c>
      <c r="J77" s="37" t="s">
        <v>370</v>
      </c>
      <c r="K77" s="37" t="s">
        <v>429</v>
      </c>
      <c r="L77" s="37">
        <v>1</v>
      </c>
      <c r="M77" s="37">
        <f>L77*5</f>
        <v>5</v>
      </c>
      <c r="N77" s="37">
        <v>10</v>
      </c>
      <c r="O77" s="60" t="s">
        <v>436</v>
      </c>
      <c r="P77" s="38">
        <v>0.32279999999999998</v>
      </c>
      <c r="Q77" s="38">
        <f>P77*N77</f>
        <v>3.2279999999999998</v>
      </c>
      <c r="R77" s="37"/>
      <c r="S77" s="59"/>
      <c r="Y77"/>
      <c r="Z77"/>
      <c r="AA77"/>
    </row>
    <row r="78" spans="1:27" s="70" customFormat="1" x14ac:dyDescent="0.25">
      <c r="A78" s="69"/>
      <c r="B78" s="47">
        <f t="shared" si="0"/>
        <v>69</v>
      </c>
      <c r="C78" s="54" t="s">
        <v>24</v>
      </c>
      <c r="D78" s="51" t="s">
        <v>87</v>
      </c>
      <c r="E78" s="51" t="s">
        <v>161</v>
      </c>
      <c r="F78" s="51" t="s">
        <v>208</v>
      </c>
      <c r="G78" s="51" t="s">
        <v>268</v>
      </c>
      <c r="H78" s="51" t="s">
        <v>315</v>
      </c>
      <c r="I78" s="51" t="s">
        <v>429</v>
      </c>
      <c r="J78" s="51" t="s">
        <v>371</v>
      </c>
      <c r="K78" s="51" t="s">
        <v>429</v>
      </c>
      <c r="L78" s="51">
        <v>1</v>
      </c>
      <c r="M78" s="51">
        <f t="shared" ref="M78" si="64">L78*5</f>
        <v>5</v>
      </c>
      <c r="N78" s="51">
        <v>6</v>
      </c>
      <c r="O78" s="60" t="s">
        <v>436</v>
      </c>
      <c r="P78" s="52">
        <v>1.3062</v>
      </c>
      <c r="Q78" s="52">
        <f t="shared" ref="Q78" si="65">P78*N78</f>
        <v>7.8372000000000002</v>
      </c>
      <c r="R78" s="51"/>
      <c r="S78" s="59"/>
      <c r="Y78"/>
      <c r="Z78"/>
      <c r="AA78"/>
    </row>
    <row r="79" spans="1:27" s="70" customFormat="1" x14ac:dyDescent="0.25">
      <c r="A79" s="69"/>
      <c r="B79" s="46">
        <f>ROW(B79) - ROW($B$9)</f>
        <v>70</v>
      </c>
      <c r="C79" s="53" t="s">
        <v>24</v>
      </c>
      <c r="D79" s="37" t="s">
        <v>88</v>
      </c>
      <c r="E79" s="37" t="s">
        <v>162</v>
      </c>
      <c r="F79" s="37" t="s">
        <v>209</v>
      </c>
      <c r="G79" s="37" t="s">
        <v>269</v>
      </c>
      <c r="H79" s="37" t="s">
        <v>316</v>
      </c>
      <c r="I79" s="37"/>
      <c r="J79" s="37" t="s">
        <v>372</v>
      </c>
      <c r="K79" s="37" t="s">
        <v>429</v>
      </c>
      <c r="L79" s="37">
        <v>1</v>
      </c>
      <c r="M79" s="37">
        <f>L79*5</f>
        <v>5</v>
      </c>
      <c r="N79" s="37">
        <v>6</v>
      </c>
      <c r="O79" s="60" t="s">
        <v>436</v>
      </c>
      <c r="P79" s="38">
        <v>0.3644</v>
      </c>
      <c r="Q79" s="38">
        <f>P79*N79</f>
        <v>2.1863999999999999</v>
      </c>
      <c r="R79" s="37"/>
      <c r="S79" s="59"/>
      <c r="Y79"/>
      <c r="Z79"/>
      <c r="AA79"/>
    </row>
    <row r="80" spans="1:27" s="70" customFormat="1" ht="30" x14ac:dyDescent="0.25">
      <c r="A80" s="69"/>
      <c r="B80" s="47">
        <f t="shared" si="0"/>
        <v>71</v>
      </c>
      <c r="C80" s="54" t="s">
        <v>24</v>
      </c>
      <c r="D80" s="51" t="s">
        <v>89</v>
      </c>
      <c r="E80" s="51" t="s">
        <v>163</v>
      </c>
      <c r="F80" s="51" t="s">
        <v>210</v>
      </c>
      <c r="G80" s="51" t="s">
        <v>270</v>
      </c>
      <c r="H80" s="51" t="s">
        <v>317</v>
      </c>
      <c r="I80" s="51" t="s">
        <v>429</v>
      </c>
      <c r="J80" s="51" t="s">
        <v>429</v>
      </c>
      <c r="K80" s="51" t="s">
        <v>429</v>
      </c>
      <c r="L80" s="51">
        <v>1</v>
      </c>
      <c r="M80" s="51">
        <f t="shared" ref="M80" si="66">L80*5</f>
        <v>5</v>
      </c>
      <c r="N80" s="51">
        <v>6</v>
      </c>
      <c r="O80" s="60" t="s">
        <v>453</v>
      </c>
      <c r="P80" s="52">
        <v>2.5099999999999998</v>
      </c>
      <c r="Q80" s="52">
        <f t="shared" ref="Q80" si="67">P80*N80</f>
        <v>15.059999999999999</v>
      </c>
      <c r="R80" s="51"/>
      <c r="S80" s="59"/>
      <c r="Y80"/>
      <c r="Z80"/>
      <c r="AA80"/>
    </row>
    <row r="81" spans="1:27" s="70" customFormat="1" ht="30" x14ac:dyDescent="0.25">
      <c r="A81" s="69"/>
      <c r="B81" s="46">
        <f>ROW(B81) - ROW($B$9)</f>
        <v>72</v>
      </c>
      <c r="C81" s="53" t="s">
        <v>24</v>
      </c>
      <c r="D81" s="37" t="s">
        <v>90</v>
      </c>
      <c r="E81" s="37" t="s">
        <v>164</v>
      </c>
      <c r="F81" s="37" t="s">
        <v>211</v>
      </c>
      <c r="G81" s="37" t="s">
        <v>271</v>
      </c>
      <c r="H81" s="37" t="s">
        <v>315</v>
      </c>
      <c r="I81" s="37" t="s">
        <v>429</v>
      </c>
      <c r="J81" s="37" t="s">
        <v>429</v>
      </c>
      <c r="K81" s="37" t="s">
        <v>429</v>
      </c>
      <c r="L81" s="37">
        <v>1</v>
      </c>
      <c r="M81" s="37">
        <f>L81*5</f>
        <v>5</v>
      </c>
      <c r="N81" s="37">
        <v>6</v>
      </c>
      <c r="O81" s="60" t="s">
        <v>453</v>
      </c>
      <c r="P81" s="38">
        <v>3.4329999999999998</v>
      </c>
      <c r="Q81" s="38">
        <f>P81*N81</f>
        <v>20.597999999999999</v>
      </c>
      <c r="R81" s="37"/>
      <c r="S81" s="59"/>
      <c r="Y81"/>
      <c r="Z81"/>
      <c r="AA81"/>
    </row>
    <row r="82" spans="1:27" s="70" customFormat="1" x14ac:dyDescent="0.25">
      <c r="A82" s="69"/>
      <c r="B82" s="47">
        <f t="shared" si="0"/>
        <v>73</v>
      </c>
      <c r="C82" s="54" t="s">
        <v>24</v>
      </c>
      <c r="D82" s="51" t="s">
        <v>91</v>
      </c>
      <c r="E82" s="51" t="s">
        <v>165</v>
      </c>
      <c r="F82" s="51" t="s">
        <v>212</v>
      </c>
      <c r="G82" s="51" t="s">
        <v>272</v>
      </c>
      <c r="H82" s="51" t="s">
        <v>318</v>
      </c>
      <c r="I82" s="51"/>
      <c r="J82" s="51" t="s">
        <v>373</v>
      </c>
      <c r="K82" s="51" t="s">
        <v>429</v>
      </c>
      <c r="L82" s="51">
        <v>1</v>
      </c>
      <c r="M82" s="51">
        <f t="shared" ref="M82" si="68">L82*5</f>
        <v>5</v>
      </c>
      <c r="N82" s="51">
        <v>6</v>
      </c>
      <c r="O82" s="60" t="s">
        <v>436</v>
      </c>
      <c r="P82" s="52">
        <v>4.6247999999999996</v>
      </c>
      <c r="Q82" s="52">
        <f t="shared" ref="Q82" si="69">P82*N82</f>
        <v>27.748799999999996</v>
      </c>
      <c r="R82" s="51"/>
      <c r="S82" s="59"/>
      <c r="Y82"/>
      <c r="Z82"/>
      <c r="AA82"/>
    </row>
    <row r="83" spans="1:27" s="70" customFormat="1" ht="30" x14ac:dyDescent="0.25">
      <c r="A83" s="69"/>
      <c r="B83" s="46">
        <f>ROW(B83) - ROW($B$9)</f>
        <v>74</v>
      </c>
      <c r="C83" s="53" t="s">
        <v>24</v>
      </c>
      <c r="D83" s="37" t="s">
        <v>92</v>
      </c>
      <c r="E83" s="37" t="s">
        <v>166</v>
      </c>
      <c r="F83" s="37" t="s">
        <v>213</v>
      </c>
      <c r="G83" s="37" t="s">
        <v>273</v>
      </c>
      <c r="H83" s="37" t="s">
        <v>319</v>
      </c>
      <c r="I83" s="37" t="s">
        <v>429</v>
      </c>
      <c r="J83" s="37" t="s">
        <v>429</v>
      </c>
      <c r="K83" s="37" t="s">
        <v>429</v>
      </c>
      <c r="L83" s="37">
        <v>1</v>
      </c>
      <c r="M83" s="37">
        <f>L83*5</f>
        <v>5</v>
      </c>
      <c r="N83" s="37">
        <v>6</v>
      </c>
      <c r="O83" s="60" t="s">
        <v>453</v>
      </c>
      <c r="P83" s="38">
        <v>7.9</v>
      </c>
      <c r="Q83" s="38">
        <f>P83*N83</f>
        <v>47.400000000000006</v>
      </c>
      <c r="R83" s="63"/>
      <c r="S83" s="59"/>
      <c r="Y83"/>
      <c r="Z83"/>
      <c r="AA83"/>
    </row>
    <row r="84" spans="1:27" s="70" customFormat="1" x14ac:dyDescent="0.25">
      <c r="A84" s="69"/>
      <c r="B84" s="47">
        <f t="shared" si="0"/>
        <v>75</v>
      </c>
      <c r="C84" s="54" t="s">
        <v>24</v>
      </c>
      <c r="D84" s="51" t="s">
        <v>93</v>
      </c>
      <c r="E84" s="51" t="s">
        <v>167</v>
      </c>
      <c r="F84" s="51" t="s">
        <v>214</v>
      </c>
      <c r="G84" s="51" t="s">
        <v>274</v>
      </c>
      <c r="H84" s="51" t="s">
        <v>315</v>
      </c>
      <c r="I84" s="51" t="s">
        <v>429</v>
      </c>
      <c r="J84" s="51" t="s">
        <v>374</v>
      </c>
      <c r="K84" s="51" t="s">
        <v>429</v>
      </c>
      <c r="L84" s="51">
        <v>3</v>
      </c>
      <c r="M84" s="51">
        <f t="shared" ref="M84" si="70">L84*5</f>
        <v>15</v>
      </c>
      <c r="N84" s="51">
        <v>16</v>
      </c>
      <c r="O84" s="60" t="s">
        <v>436</v>
      </c>
      <c r="P84" s="52">
        <v>1.7437</v>
      </c>
      <c r="Q84" s="52">
        <f t="shared" ref="Q84" si="71">P84*N84</f>
        <v>27.8992</v>
      </c>
      <c r="R84" s="51"/>
      <c r="S84" s="59"/>
      <c r="Y84"/>
      <c r="Z84"/>
      <c r="AA84"/>
    </row>
    <row r="85" spans="1:27" s="70" customFormat="1" ht="60" x14ac:dyDescent="0.25">
      <c r="A85" s="69"/>
      <c r="B85" s="46">
        <f>ROW(B85) - ROW($B$9)</f>
        <v>76</v>
      </c>
      <c r="C85" s="53" t="s">
        <v>24</v>
      </c>
      <c r="D85" s="37" t="s">
        <v>94</v>
      </c>
      <c r="E85" s="37" t="s">
        <v>168</v>
      </c>
      <c r="F85" s="37" t="s">
        <v>215</v>
      </c>
      <c r="G85" s="37" t="s">
        <v>275</v>
      </c>
      <c r="H85" s="37" t="s">
        <v>320</v>
      </c>
      <c r="I85" s="37" t="s">
        <v>429</v>
      </c>
      <c r="J85" s="37" t="s">
        <v>375</v>
      </c>
      <c r="K85" s="37" t="s">
        <v>429</v>
      </c>
      <c r="L85" s="37">
        <v>1</v>
      </c>
      <c r="M85" s="37">
        <f>L85*5</f>
        <v>5</v>
      </c>
      <c r="N85" s="37">
        <v>10</v>
      </c>
      <c r="O85" s="60" t="s">
        <v>436</v>
      </c>
      <c r="P85" s="38">
        <v>7.7799999999999994E-2</v>
      </c>
      <c r="Q85" s="38">
        <f>P85*N85</f>
        <v>0.77799999999999991</v>
      </c>
      <c r="R85" s="37"/>
      <c r="S85" s="59"/>
      <c r="Y85"/>
      <c r="Z85"/>
      <c r="AA85"/>
    </row>
    <row r="86" spans="1:27" s="70" customFormat="1" x14ac:dyDescent="0.25">
      <c r="A86" s="69"/>
      <c r="B86" s="47">
        <f t="shared" si="0"/>
        <v>77</v>
      </c>
      <c r="C86" s="54" t="s">
        <v>24</v>
      </c>
      <c r="D86" s="51" t="s">
        <v>95</v>
      </c>
      <c r="E86" s="51" t="s">
        <v>169</v>
      </c>
      <c r="F86" s="51" t="s">
        <v>216</v>
      </c>
      <c r="G86" s="51" t="s">
        <v>276</v>
      </c>
      <c r="H86" s="51" t="s">
        <v>313</v>
      </c>
      <c r="I86" s="51" t="s">
        <v>429</v>
      </c>
      <c r="J86" s="51" t="s">
        <v>376</v>
      </c>
      <c r="K86" s="51" t="s">
        <v>429</v>
      </c>
      <c r="L86" s="51">
        <v>1</v>
      </c>
      <c r="M86" s="51">
        <f t="shared" ref="M86" si="72">L86*5</f>
        <v>5</v>
      </c>
      <c r="N86" s="51">
        <v>6</v>
      </c>
      <c r="O86" s="60" t="s">
        <v>436</v>
      </c>
      <c r="P86" s="52">
        <v>0.77800000000000002</v>
      </c>
      <c r="Q86" s="52">
        <f t="shared" ref="Q86" si="73">P86*N86</f>
        <v>4.6680000000000001</v>
      </c>
      <c r="R86" s="51"/>
      <c r="S86" s="59"/>
      <c r="Y86"/>
      <c r="Z86"/>
      <c r="AA86"/>
    </row>
    <row r="87" spans="1:27" s="70" customFormat="1" x14ac:dyDescent="0.25">
      <c r="A87" s="69"/>
      <c r="B87" s="46">
        <f>ROW(B87) - ROW($B$9)</f>
        <v>78</v>
      </c>
      <c r="C87" s="53" t="s">
        <v>24</v>
      </c>
      <c r="D87" s="37" t="s">
        <v>96</v>
      </c>
      <c r="E87" s="37" t="s">
        <v>170</v>
      </c>
      <c r="F87" s="37" t="s">
        <v>217</v>
      </c>
      <c r="G87" s="37" t="s">
        <v>277</v>
      </c>
      <c r="H87" s="37" t="s">
        <v>314</v>
      </c>
      <c r="I87" s="37" t="s">
        <v>429</v>
      </c>
      <c r="J87" s="37" t="s">
        <v>377</v>
      </c>
      <c r="K87" s="37" t="s">
        <v>429</v>
      </c>
      <c r="L87" s="37">
        <v>1</v>
      </c>
      <c r="M87" s="37">
        <f>L87*5</f>
        <v>5</v>
      </c>
      <c r="N87" s="37">
        <v>6</v>
      </c>
      <c r="O87" s="60" t="s">
        <v>436</v>
      </c>
      <c r="P87" s="38">
        <v>0.41049999999999998</v>
      </c>
      <c r="Q87" s="38">
        <f>P87*N87</f>
        <v>2.4630000000000001</v>
      </c>
      <c r="R87" s="37"/>
      <c r="S87" s="59"/>
      <c r="Y87"/>
      <c r="Z87"/>
      <c r="AA87"/>
    </row>
    <row r="88" spans="1:27" s="70" customFormat="1" x14ac:dyDescent="0.25">
      <c r="A88" s="69"/>
      <c r="B88" s="47">
        <f t="shared" si="0"/>
        <v>79</v>
      </c>
      <c r="C88" s="54" t="s">
        <v>24</v>
      </c>
      <c r="D88" s="51" t="s">
        <v>97</v>
      </c>
      <c r="E88" s="51" t="s">
        <v>171</v>
      </c>
      <c r="F88" s="51" t="s">
        <v>211</v>
      </c>
      <c r="G88" s="51" t="s">
        <v>278</v>
      </c>
      <c r="H88" s="51" t="s">
        <v>319</v>
      </c>
      <c r="I88" s="51" t="s">
        <v>429</v>
      </c>
      <c r="J88" s="51" t="s">
        <v>378</v>
      </c>
      <c r="K88" s="51" t="s">
        <v>429</v>
      </c>
      <c r="L88" s="51">
        <v>1</v>
      </c>
      <c r="M88" s="51">
        <f t="shared" ref="M88" si="74">L88*5</f>
        <v>5</v>
      </c>
      <c r="N88" s="51">
        <v>6</v>
      </c>
      <c r="O88" s="60" t="s">
        <v>436</v>
      </c>
      <c r="P88" s="52">
        <v>1.1837</v>
      </c>
      <c r="Q88" s="52">
        <f t="shared" ref="Q88" si="75">P88*N88</f>
        <v>7.1021999999999998</v>
      </c>
      <c r="R88" s="51"/>
      <c r="S88" s="59"/>
      <c r="Y88"/>
      <c r="Z88"/>
      <c r="AA88"/>
    </row>
    <row r="89" spans="1:27" s="70" customFormat="1" x14ac:dyDescent="0.25">
      <c r="A89" s="69"/>
      <c r="B89" s="46">
        <f>ROW(B89) - ROW($B$9)</f>
        <v>80</v>
      </c>
      <c r="C89" s="53" t="s">
        <v>24</v>
      </c>
      <c r="D89" s="37" t="s">
        <v>98</v>
      </c>
      <c r="E89" s="37" t="s">
        <v>171</v>
      </c>
      <c r="F89" s="37" t="s">
        <v>211</v>
      </c>
      <c r="G89" s="37" t="s">
        <v>279</v>
      </c>
      <c r="H89" s="37" t="s">
        <v>319</v>
      </c>
      <c r="I89" s="37" t="s">
        <v>429</v>
      </c>
      <c r="J89" s="37" t="s">
        <v>379</v>
      </c>
      <c r="K89" s="37" t="s">
        <v>429</v>
      </c>
      <c r="L89" s="37">
        <v>1</v>
      </c>
      <c r="M89" s="37">
        <f>L89*5</f>
        <v>5</v>
      </c>
      <c r="N89" s="37">
        <v>6</v>
      </c>
      <c r="O89" s="60" t="s">
        <v>436</v>
      </c>
      <c r="P89" s="38">
        <v>1.2107000000000001</v>
      </c>
      <c r="Q89" s="38">
        <f>P89*N89</f>
        <v>7.2642000000000007</v>
      </c>
      <c r="R89" s="37"/>
      <c r="S89" s="59"/>
      <c r="Y89"/>
      <c r="Z89"/>
      <c r="AA89"/>
    </row>
    <row r="90" spans="1:27" s="70" customFormat="1" ht="24" x14ac:dyDescent="0.25">
      <c r="A90" s="69"/>
      <c r="B90" s="47">
        <f t="shared" si="0"/>
        <v>81</v>
      </c>
      <c r="C90" s="54" t="s">
        <v>25</v>
      </c>
      <c r="D90" s="51" t="s">
        <v>99</v>
      </c>
      <c r="E90" s="51" t="s">
        <v>172</v>
      </c>
      <c r="F90" s="51" t="s">
        <v>435</v>
      </c>
      <c r="G90" s="51" t="s">
        <v>280</v>
      </c>
      <c r="H90" s="51" t="s">
        <v>321</v>
      </c>
      <c r="I90" s="51" t="s">
        <v>429</v>
      </c>
      <c r="J90" s="51" t="s">
        <v>380</v>
      </c>
      <c r="K90" s="51" t="s">
        <v>417</v>
      </c>
      <c r="L90" s="51">
        <v>1</v>
      </c>
      <c r="M90" s="51">
        <f t="shared" ref="M90" si="76">L90*5</f>
        <v>5</v>
      </c>
      <c r="N90" s="51">
        <v>10</v>
      </c>
      <c r="O90" s="60" t="s">
        <v>436</v>
      </c>
      <c r="P90" s="52">
        <v>0.08</v>
      </c>
      <c r="Q90" s="52">
        <f t="shared" ref="Q90" si="77">P90*N90</f>
        <v>0.8</v>
      </c>
      <c r="R90" s="51"/>
      <c r="S90" s="59"/>
      <c r="Y90"/>
      <c r="Z90"/>
      <c r="AA90"/>
    </row>
    <row r="91" spans="1:27" s="70" customFormat="1" ht="24.75" thickBot="1" x14ac:dyDescent="0.3">
      <c r="A91" s="69"/>
      <c r="B91" s="46">
        <f>ROW(B91) - ROW($B$9)</f>
        <v>82</v>
      </c>
      <c r="C91" s="53" t="s">
        <v>25</v>
      </c>
      <c r="D91" s="37" t="s">
        <v>100</v>
      </c>
      <c r="E91" s="37" t="s">
        <v>469</v>
      </c>
      <c r="F91" s="37" t="s">
        <v>470</v>
      </c>
      <c r="G91" s="37" t="s">
        <v>471</v>
      </c>
      <c r="H91" s="37" t="s">
        <v>472</v>
      </c>
      <c r="I91" s="37" t="s">
        <v>429</v>
      </c>
      <c r="J91" s="37" t="s">
        <v>473</v>
      </c>
      <c r="K91" s="37" t="s">
        <v>418</v>
      </c>
      <c r="L91" s="37">
        <v>1</v>
      </c>
      <c r="M91" s="37">
        <f>L91*5</f>
        <v>5</v>
      </c>
      <c r="N91" s="37">
        <v>10</v>
      </c>
      <c r="O91" s="60" t="s">
        <v>436</v>
      </c>
      <c r="P91" s="38">
        <v>0.1065</v>
      </c>
      <c r="Q91" s="38">
        <f>P91*N91</f>
        <v>1.0649999999999999</v>
      </c>
      <c r="R91" s="37"/>
      <c r="S91" s="39"/>
      <c r="Y91"/>
      <c r="Z91"/>
      <c r="AA91"/>
    </row>
    <row r="92" spans="1:27" ht="19.5" thickBot="1" x14ac:dyDescent="0.3">
      <c r="A92" s="1"/>
      <c r="B92" s="40"/>
      <c r="C92" s="41"/>
      <c r="D92" s="42"/>
      <c r="E92" s="43"/>
      <c r="F92" s="44"/>
      <c r="G92" s="45"/>
      <c r="H92" s="44"/>
      <c r="I92" s="45"/>
      <c r="J92" s="44"/>
      <c r="K92" s="45"/>
      <c r="L92" s="45"/>
      <c r="M92" s="45"/>
      <c r="N92" s="82" t="s">
        <v>5</v>
      </c>
      <c r="O92" s="83"/>
      <c r="P92" s="83"/>
      <c r="Q92" s="48">
        <f>SUM(Q10:Q91)</f>
        <v>290.00960000000003</v>
      </c>
      <c r="R92" s="78"/>
      <c r="S92" s="79"/>
      <c r="U92" s="70"/>
      <c r="V92" s="70"/>
      <c r="W92" s="70"/>
      <c r="X92" s="70"/>
    </row>
    <row r="93" spans="1:27" ht="19.5" thickBot="1" x14ac:dyDescent="0.3">
      <c r="A93" s="1"/>
      <c r="B93" s="25"/>
      <c r="C93" s="36"/>
      <c r="D93" s="9"/>
      <c r="E93" s="10"/>
      <c r="F93" s="10"/>
      <c r="G93" s="10"/>
      <c r="H93" s="10"/>
      <c r="I93" s="10"/>
      <c r="J93" s="10"/>
      <c r="K93" s="10"/>
      <c r="L93" s="10"/>
      <c r="M93" s="10"/>
      <c r="N93" s="82" t="s">
        <v>6</v>
      </c>
      <c r="O93" s="83"/>
      <c r="P93" s="83"/>
      <c r="Q93" s="49">
        <f>Q92/5</f>
        <v>58.001920000000005</v>
      </c>
      <c r="R93" s="80"/>
      <c r="S93" s="81"/>
      <c r="U93" s="70"/>
      <c r="V93" s="70"/>
      <c r="W93" s="70"/>
      <c r="X93" s="70"/>
    </row>
  </sheetData>
  <mergeCells count="5">
    <mergeCell ref="K1:S1"/>
    <mergeCell ref="S3:S8"/>
    <mergeCell ref="R92:S93"/>
    <mergeCell ref="N92:P92"/>
    <mergeCell ref="N93:P93"/>
  </mergeCells>
  <hyperlinks>
    <hyperlink ref="O43" r:id="rId1"/>
    <hyperlink ref="O72" r:id="rId2"/>
    <hyperlink ref="O91" r:id="rId3"/>
    <hyperlink ref="O41" r:id="rId4"/>
    <hyperlink ref="O18" r:id="rId5"/>
    <hyperlink ref="O16" r:id="rId6"/>
    <hyperlink ref="O83" r:id="rId7"/>
    <hyperlink ref="O81" r:id="rId8"/>
    <hyperlink ref="O80" r:id="rId9"/>
    <hyperlink ref="O67" r:id="rId10"/>
    <hyperlink ref="O57" r:id="rId11"/>
    <hyperlink ref="O54" r:id="rId12"/>
    <hyperlink ref="O50" r:id="rId13"/>
    <hyperlink ref="O27" r:id="rId14"/>
    <hyperlink ref="O26" r:id="rId15"/>
    <hyperlink ref="O20" r:id="rId16"/>
    <hyperlink ref="O74" r:id="rId17"/>
    <hyperlink ref="O90" r:id="rId18"/>
    <hyperlink ref="O89" r:id="rId19"/>
    <hyperlink ref="O88" r:id="rId20"/>
    <hyperlink ref="O87" r:id="rId21"/>
    <hyperlink ref="O86" r:id="rId22"/>
    <hyperlink ref="O85" r:id="rId23"/>
    <hyperlink ref="O84" r:id="rId24"/>
    <hyperlink ref="O82" r:id="rId25"/>
    <hyperlink ref="O79" r:id="rId26"/>
    <hyperlink ref="O78" r:id="rId27"/>
    <hyperlink ref="O77" r:id="rId28"/>
    <hyperlink ref="O76" r:id="rId29"/>
    <hyperlink ref="O75" r:id="rId30"/>
    <hyperlink ref="O71" r:id="rId31"/>
    <hyperlink ref="O70" r:id="rId32"/>
    <hyperlink ref="O69" r:id="rId33"/>
    <hyperlink ref="O68" r:id="rId34"/>
    <hyperlink ref="O61" r:id="rId35"/>
    <hyperlink ref="O66" r:id="rId36"/>
    <hyperlink ref="O65" r:id="rId37"/>
    <hyperlink ref="O64" r:id="rId38"/>
    <hyperlink ref="O63" r:id="rId39"/>
    <hyperlink ref="O60" r:id="rId40"/>
    <hyperlink ref="O59" r:id="rId41"/>
    <hyperlink ref="O58" r:id="rId42"/>
    <hyperlink ref="O56" r:id="rId43"/>
    <hyperlink ref="O55" r:id="rId44"/>
    <hyperlink ref="O53" r:id="rId45"/>
    <hyperlink ref="O52" r:id="rId46"/>
    <hyperlink ref="O51" r:id="rId47"/>
    <hyperlink ref="O49" r:id="rId48"/>
    <hyperlink ref="O47" r:id="rId49"/>
    <hyperlink ref="O46" r:id="rId50"/>
    <hyperlink ref="O45" r:id="rId51"/>
    <hyperlink ref="O44" r:id="rId52"/>
    <hyperlink ref="O42" r:id="rId53"/>
    <hyperlink ref="O40" r:id="rId54"/>
    <hyperlink ref="O38" r:id="rId55"/>
    <hyperlink ref="O37" r:id="rId56"/>
    <hyperlink ref="O36" r:id="rId57"/>
    <hyperlink ref="O35" r:id="rId58"/>
    <hyperlink ref="O34" r:id="rId59"/>
    <hyperlink ref="O33" r:id="rId60"/>
    <hyperlink ref="O32" r:id="rId61"/>
    <hyperlink ref="O31" r:id="rId62"/>
    <hyperlink ref="O30" r:id="rId63"/>
    <hyperlink ref="O29" r:id="rId64"/>
    <hyperlink ref="O28" r:id="rId65"/>
    <hyperlink ref="O25" r:id="rId66"/>
    <hyperlink ref="O24" r:id="rId67"/>
    <hyperlink ref="O23" r:id="rId68"/>
    <hyperlink ref="O21" r:id="rId69"/>
    <hyperlink ref="O22" r:id="rId70"/>
    <hyperlink ref="O19" r:id="rId71"/>
    <hyperlink ref="O17" r:id="rId72"/>
    <hyperlink ref="O14" r:id="rId73"/>
    <hyperlink ref="O13" r:id="rId74"/>
    <hyperlink ref="O12" r:id="rId75"/>
    <hyperlink ref="O11" r:id="rId76"/>
    <hyperlink ref="O15" r:id="rId77"/>
    <hyperlink ref="O39" r:id="rId78"/>
    <hyperlink ref="O62" r:id="rId79"/>
  </hyperlinks>
  <pageMargins left="0.7" right="0.7" top="0.75" bottom="0.75" header="0.3" footer="0.3"/>
  <pageSetup paperSize="9" orientation="portrait" r:id="rId80"/>
  <drawing r:id="rId8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2023-07-20T13:32:19Z</dcterms:modified>
</cp:coreProperties>
</file>