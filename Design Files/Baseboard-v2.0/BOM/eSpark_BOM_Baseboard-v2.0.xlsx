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92" i="1" l="1"/>
  <c r="Q93" i="1" s="1"/>
  <c r="M92" i="1"/>
  <c r="B92" i="1"/>
  <c r="Q62" i="1" l="1"/>
  <c r="M62" i="1"/>
  <c r="B62" i="1"/>
  <c r="Q72" i="1" l="1"/>
  <c r="M72" i="1"/>
  <c r="B72" i="1"/>
  <c r="Q91" i="1" l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M73" i="1"/>
  <c r="B73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1" i="1"/>
  <c r="M61" i="1"/>
  <c r="B61" i="1"/>
  <c r="Q66" i="1"/>
  <c r="M66" i="1"/>
  <c r="B66" i="1"/>
  <c r="Q65" i="1"/>
  <c r="M65" i="1"/>
  <c r="B65" i="1"/>
  <c r="Q64" i="1"/>
  <c r="M64" i="1"/>
  <c r="B64" i="1"/>
  <c r="Q63" i="1"/>
  <c r="M63" i="1"/>
  <c r="B63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M51" i="1"/>
  <c r="B51" i="1"/>
  <c r="Q50" i="1"/>
  <c r="M50" i="1"/>
  <c r="B50" i="1"/>
  <c r="Q49" i="1"/>
  <c r="M49" i="1"/>
  <c r="B49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94" i="1" s="1"/>
  <c r="M11" i="1"/>
  <c r="M10" i="1"/>
  <c r="B11" i="1"/>
  <c r="B10" i="1"/>
</calcChain>
</file>

<file path=xl/sharedStrings.xml><?xml version="1.0" encoding="utf-8"?>
<sst xmlns="http://schemas.openxmlformats.org/spreadsheetml/2006/main" count="865" uniqueCount="506">
  <si>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</si>
  <si>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</si>
  <si>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</si>
  <si>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</si>
  <si>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</si>
  <si>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</si>
  <si>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</si>
  <si>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</si>
  <si>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</si>
  <si>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</si>
  <si>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</si>
  <si>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</si>
  <si>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</si>
  <si>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</si>
  <si>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</si>
  <si>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</si>
  <si>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</si>
  <si>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Relay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</si>
  <si>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</si>
  <si>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</si>
  <si>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</si>
  <si>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</si>
  <si>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</si>
  <si>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</si>
  <si>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</si>
  <si>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</si>
  <si>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</si>
  <si>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</si>
  <si>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</si>
  <si>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</si>
  <si>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</si>
  <si>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</si>
  <si>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</si>
  <si>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</si>
  <si>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</si>
  <si>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</si>
  <si>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</si>
  <si>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</si>
  <si>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</si>
  <si>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</si>
  <si>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</si>
  <si>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</si>
  <si>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</si>
  <si>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</si>
  <si>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</si>
  <si>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</si>
  <si>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</si>
  <si>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</si>
  <si>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</si>
  <si>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</si>
  <si>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</si>
  <si>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</si>
  <si>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</si>
  <si>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</si>
  <si>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</si>
  <si>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</si>
  <si>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</si>
  <si>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</si>
  <si>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</si>
  <si>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</si>
  <si>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</si>
  <si>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</si>
  <si>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</si>
  <si>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</si>
  <si>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</si>
  <si>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</si>
  <si>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</si>
  <si>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</si>
  <si>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</si>
  <si>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</si>
  <si>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</si>
  <si>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</si>
  <si>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</si>
  <si>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</si>
  <si>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</si>
  <si>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</si>
  <si>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</si>
  <si>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</si>
  <si>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</si>
  <si>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</si>
  <si>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</si>
  <si>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</si>
  <si>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</si>
  <si>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</si>
  <si>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</si>
  <si>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</si>
  <si>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</si>
  <si>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</si>
  <si>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</si>
  <si>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</si>
  <si>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</si>
  <si>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</si>
  <si>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</si>
  <si>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</si>
  <si>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</si>
  <si>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</si>
  <si>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</si>
  <si>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</si>
  <si>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</si>
  <si>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</si>
  <si>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</si>
  <si>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</si>
  <si>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</si>
  <si>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</si>
  <si>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</si>
  <si>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</si>
  <si>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47uF 6.3V 5Ω@100kHz ±10% CASE-A-3216 Tantalum Capacitors ROHS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</si>
  <si>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</si>
  <si>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</si>
  <si>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</si>
  <si>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</si>
  <si>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</si>
  <si>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</si>
  <si>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</si>
  <si>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</si>
  <si>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</si>
  <si>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</si>
  <si>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</si>
  <si>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</si>
  <si>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</si>
  <si>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</si>
  <si>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</si>
  <si>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</si>
  <si>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</si>
  <si>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</si>
  <si>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</si>
  <si>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</si>
  <si>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</si>
  <si>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</si>
  <si>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</si>
  <si>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</si>
  <si>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</si>
  <si>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</si>
  <si>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</si>
  <si>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</si>
  <si>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</si>
  <si>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</si>
  <si>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</si>
  <si>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</si>
  <si>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</si>
  <si>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</si>
  <si>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</si>
  <si>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</si>
  <si>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</si>
  <si>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</si>
  <si>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</si>
  <si>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</si>
  <si>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</si>
  <si>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</si>
  <si>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</si>
  <si>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</si>
  <si>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</si>
  <si>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</si>
  <si>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</si>
  <si>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</si>
  <si>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</si>
  <si>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</si>
  <si>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</si>
  <si>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</si>
  <si>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</si>
  <si>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</si>
  <si>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</si>
  <si>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</si>
  <si>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</si>
  <si>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</si>
  <si>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</si>
  <si>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</si>
  <si>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</si>
  <si>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</si>
  <si>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</si>
  <si>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</si>
  <si>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</si>
  <si>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</si>
  <si>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</si>
  <si>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</si>
  <si>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</si>
  <si>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</si>
  <si>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</si>
  <si>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Case-A</t>
  </si>
  <si>
    <t>Case-B</t>
  </si>
  <si>
    <t>DSN0603-2</t>
  </si>
  <si>
    <t>SMB_</t>
  </si>
  <si>
    <t>TO-277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</si>
  <si>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</si>
  <si>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</si>
  <si>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</si>
  <si>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</si>
  <si>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</si>
  <si>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</si>
  <si>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</si>
  <si>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</si>
  <si>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</si>
  <si>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</si>
  <si>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</si>
  <si>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</si>
  <si>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</si>
  <si>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</si>
  <si>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</si>
  <si>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</si>
  <si>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</si>
  <si>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</si>
  <si>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</si>
  <si>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</si>
  <si>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</si>
  <si>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</si>
  <si>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</si>
  <si>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</si>
  <si>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</si>
  <si>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</si>
  <si>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</si>
  <si>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</si>
  <si>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</si>
  <si>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</si>
  <si>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</si>
  <si>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</si>
  <si>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</si>
  <si>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</si>
  <si>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</si>
  <si>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</si>
  <si>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</si>
  <si>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</si>
  <si>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</si>
  <si>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CA45-A-6.3V-47uF-K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</si>
  <si>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</si>
  <si>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</si>
  <si>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</si>
  <si>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</si>
  <si>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</si>
  <si>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</si>
  <si>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</si>
  <si>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</si>
  <si>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</si>
  <si>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</si>
  <si>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</si>
  <si>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</si>
  <si>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</si>
  <si>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</si>
  <si>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</si>
  <si>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</si>
  <si>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</si>
  <si>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</si>
  <si>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</si>
  <si>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</si>
  <si>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</si>
  <si>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</si>
  <si>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</si>
  <si>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</si>
  <si>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</si>
  <si>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</si>
  <si>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</si>
  <si>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</si>
  <si>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</si>
  <si>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</si>
  <si>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</si>
  <si>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</si>
  <si>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</si>
  <si>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</si>
  <si>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</si>
  <si>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</si>
  <si>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</si>
  <si>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</si>
  <si>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</si>
  <si>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</si>
  <si>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</si>
  <si>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</si>
  <si>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</si>
  <si>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</si>
  <si>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</si>
  <si>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</si>
  <si>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</si>
  <si>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</si>
  <si>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</si>
  <si>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</si>
  <si>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</si>
  <si>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</si>
  <si>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</si>
  <si>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</si>
  <si>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</si>
  <si>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</si>
  <si>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</si>
  <si>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</si>
  <si>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</si>
  <si>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</si>
  <si>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</si>
  <si>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</si>
  <si>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CEC</t>
  </si>
  <si>
    <t>Kyocera AVX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</si>
  <si>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</si>
  <si>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</si>
  <si>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</si>
  <si>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</si>
  <si>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</si>
  <si>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</si>
  <si>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</si>
  <si>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</si>
  <si>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</si>
  <si>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</si>
  <si>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</si>
  <si>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</si>
  <si>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</si>
  <si>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</si>
  <si>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</si>
  <si>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BOOMELE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</si>
  <si>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</si>
  <si>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</si>
  <si>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</si>
  <si>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</si>
  <si>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</si>
  <si>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</si>
  <si>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</si>
  <si>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</si>
  <si>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</si>
  <si>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</si>
  <si>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</si>
  <si>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</si>
  <si>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</si>
  <si>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</si>
  <si>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</si>
  <si>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</si>
  <si>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</si>
  <si>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</si>
  <si>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</si>
  <si>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LCSC Part Number</t>
  </si>
  <si>
    <t>C576818</t>
  </si>
  <si>
    <t>C162178</t>
  </si>
  <si>
    <t>C60133</t>
  </si>
  <si>
    <t>C5221836</t>
  </si>
  <si>
    <t>C129570</t>
  </si>
  <si>
    <t>C7196</t>
  </si>
  <si>
    <t>C315248</t>
  </si>
  <si>
    <t>C106203</t>
  </si>
  <si>
    <t>C62784</t>
  </si>
  <si>
    <t>C477989</t>
  </si>
  <si>
    <t>C556189</t>
  </si>
  <si>
    <t>C2693410</t>
  </si>
  <si>
    <t>C232841</t>
  </si>
  <si>
    <t>C22612</t>
  </si>
  <si>
    <t>C5124989</t>
  </si>
  <si>
    <t>C5331111</t>
  </si>
  <si>
    <t>C207041</t>
  </si>
  <si>
    <t>C495350</t>
  </si>
  <si>
    <t>C20976</t>
  </si>
  <si>
    <t>C85841</t>
  </si>
  <si>
    <t>C430602</t>
  </si>
  <si>
    <t>C165948</t>
  </si>
  <si>
    <t>C430601</t>
  </si>
  <si>
    <t>C404126</t>
  </si>
  <si>
    <t>C2983105</t>
  </si>
  <si>
    <t>C370234</t>
  </si>
  <si>
    <t>C74338</t>
  </si>
  <si>
    <t>C1322287</t>
  </si>
  <si>
    <t>C78864</t>
  </si>
  <si>
    <t>C125513</t>
  </si>
  <si>
    <t>C144054</t>
  </si>
  <si>
    <t>C106225</t>
  </si>
  <si>
    <t>C22994</t>
  </si>
  <si>
    <t>C106230</t>
  </si>
  <si>
    <t>C93943</t>
  </si>
  <si>
    <t>C105871</t>
  </si>
  <si>
    <t>C137970</t>
  </si>
  <si>
    <t>C114756</t>
  </si>
  <si>
    <t>C114618</t>
  </si>
  <si>
    <t>C137919</t>
  </si>
  <si>
    <t>C106231</t>
  </si>
  <si>
    <t>C114640</t>
  </si>
  <si>
    <t>C445573</t>
  </si>
  <si>
    <t>C112310</t>
  </si>
  <si>
    <t>C137992</t>
  </si>
  <si>
    <t>C114425</t>
  </si>
  <si>
    <t>C3235557</t>
  </si>
  <si>
    <t>C259972</t>
  </si>
  <si>
    <t>C11149</t>
  </si>
  <si>
    <t>C179171</t>
  </si>
  <si>
    <t>C1522106</t>
  </si>
  <si>
    <t>C558584</t>
  </si>
  <si>
    <t>C181730</t>
  </si>
  <si>
    <t>C18261</t>
  </si>
  <si>
    <t>C519086</t>
  </si>
  <si>
    <t>C9669</t>
  </si>
  <si>
    <t>C15219</t>
  </si>
  <si>
    <t>C9010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</si>
  <si>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</si>
  <si>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</si>
  <si>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</si>
  <si>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</si>
  <si>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</si>
  <si>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</si>
  <si>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</si>
  <si>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</si>
  <si>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</si>
  <si>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</si>
  <si>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</si>
  <si>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</si>
  <si>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</si>
  <si>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</si>
  <si>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</si>
  <si>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</si>
  <si>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</si>
  <si>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</si>
  <si>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</si>
  <si>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</si>
  <si>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</si>
  <si>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</si>
  <si>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</si>
  <si>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</si>
  <si>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</si>
  <si>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</si>
  <si>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0R</t>
  </si>
  <si>
    <t>56k</t>
  </si>
  <si>
    <t>330K</t>
  </si>
  <si>
    <t>150K</t>
  </si>
  <si>
    <t>68K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</si>
  <si>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</si>
  <si>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</si>
  <si>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</si>
  <si>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</si>
  <si>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</si>
  <si>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</si>
  <si>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</si>
  <si>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</si>
  <si>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Alternate Part Number</t>
  </si>
  <si>
    <t>MOQ (5 Boards)</t>
  </si>
  <si>
    <t>Links</t>
  </si>
  <si>
    <t>Unit Cost (5 Boards)</t>
  </si>
  <si>
    <t>Total Cost (5 Boards)</t>
  </si>
  <si>
    <t>Remarks</t>
  </si>
  <si>
    <t>Reviewer Remarks</t>
  </si>
  <si>
    <t>Quantity (5 Boards)</t>
  </si>
  <si>
    <t>Value</t>
  </si>
  <si>
    <t>-</t>
  </si>
  <si>
    <t>UFL Connector</t>
  </si>
  <si>
    <t>Test Point</t>
  </si>
  <si>
    <t>Mosfet</t>
  </si>
  <si>
    <t>Bill of Materials for Project [Baseboard-v2.0.]</t>
  </si>
  <si>
    <t>Baseboard-v2.0</t>
  </si>
  <si>
    <t>Custom</t>
  </si>
  <si>
    <t>LCSC</t>
  </si>
  <si>
    <t>--</t>
  </si>
  <si>
    <t>C705793</t>
  </si>
  <si>
    <t>C266196</t>
  </si>
  <si>
    <t>DO NOT MOUNT</t>
  </si>
  <si>
    <t>C1518208</t>
  </si>
  <si>
    <t>GRM155R61H105KE05D</t>
  </si>
  <si>
    <t>UDD32C03L01</t>
  </si>
  <si>
    <t>C78439</t>
  </si>
  <si>
    <t>RT0402BRE075K1L</t>
  </si>
  <si>
    <t>C853340</t>
  </si>
  <si>
    <t>RC0201FR-071KL</t>
  </si>
  <si>
    <t>C138165</t>
  </si>
  <si>
    <t>RC-01W471JT</t>
  </si>
  <si>
    <t>C304545</t>
  </si>
  <si>
    <t>0402WGJ0220TCE</t>
  </si>
  <si>
    <t>C25152</t>
  </si>
  <si>
    <t>chipsmall</t>
  </si>
  <si>
    <t>1 Inner bore SMA Board Edge Bend -55℃~+155℃ 50Ω Plugin RF Connectors / Coaxial Connectors ROHS</t>
  </si>
  <si>
    <t>HJ-SMA508</t>
  </si>
  <si>
    <t>HJ Tech</t>
  </si>
  <si>
    <t>C1509209</t>
  </si>
  <si>
    <t>CAP TANT 220UF 10% 10V 2917</t>
  </si>
  <si>
    <t>Case-D</t>
  </si>
  <si>
    <t>C8024</t>
  </si>
  <si>
    <t>10uF 10V 8Ω@100kHz ±10% CASE-A-3216 Tantalum Capacitors ROHS</t>
  </si>
  <si>
    <t>CA45-A-10V-10uF-K</t>
  </si>
  <si>
    <t>CEC(Shenzhen Zhenhua XinYun Elec)</t>
  </si>
  <si>
    <t>C128253</t>
  </si>
  <si>
    <t>CAP TANT 330UF 20% 16V 2917</t>
  </si>
  <si>
    <t>Case-E</t>
  </si>
  <si>
    <t>TAJE337M016RNJ</t>
  </si>
  <si>
    <t>C51599</t>
  </si>
  <si>
    <t>3.579545MHz 20pF ±30ppm HC-49S-SMD Crystals ROHS</t>
  </si>
  <si>
    <t>HC-49S-SMD</t>
  </si>
  <si>
    <t>TAXM3.579M2ILFBET2T</t>
  </si>
  <si>
    <t>TAE</t>
  </si>
  <si>
    <t>C362352</t>
  </si>
  <si>
    <t>R5, R7, R13, R34, R47, R48, R54, R55, R93, R94, R95, R96</t>
  </si>
  <si>
    <t>R12, R20</t>
  </si>
  <si>
    <t>R21, R63, R64, R65, R66, R67, R82, R83, R84, R88, R89</t>
  </si>
  <si>
    <t>Resistor Array</t>
  </si>
  <si>
    <t>RES ARRAY 4 RES 10K OHM 1206</t>
  </si>
  <si>
    <t>YC164-FR-0710KL</t>
  </si>
  <si>
    <t>C110924</t>
  </si>
  <si>
    <t>RELAY GEN PURPOSE SPDT 3A 5V</t>
  </si>
  <si>
    <t>J102K1CS35VDC.20</t>
  </si>
  <si>
    <t>CIT Relay &amp; Switch</t>
  </si>
  <si>
    <t>Chipsmall</t>
  </si>
  <si>
    <t>P1, P2, P3, P4, P5, P6, P7, P8, P9</t>
  </si>
  <si>
    <t>R6, R8, R10, R79, R80, R81, R85, R86</t>
  </si>
  <si>
    <t>R22, R23, R24</t>
  </si>
  <si>
    <t>RN1, RN2</t>
  </si>
  <si>
    <t>SB1, SB2, SB3</t>
  </si>
  <si>
    <t>TAJD227K010RNJ</t>
  </si>
  <si>
    <t>F0503-ZV-18-20T-R</t>
  </si>
  <si>
    <t>YC164-JR-07100KL</t>
  </si>
  <si>
    <t>FPC Connector</t>
  </si>
  <si>
    <t>Slide Lock 18P Contact, Vertical - One Side Brick nogging 0.5mm SMD,P=0.5mm FFC/FPC Connectors ROHS</t>
  </si>
  <si>
    <t>XFCN</t>
  </si>
  <si>
    <t>C481243</t>
  </si>
  <si>
    <t>RES ARRAY 4 RES 100K OHM 1206</t>
  </si>
  <si>
    <t>YC164-JR-070RL</t>
  </si>
  <si>
    <t>C192933</t>
  </si>
  <si>
    <t>DNP</t>
  </si>
  <si>
    <t>peripheral</t>
  </si>
  <si>
    <t>BAT WIRELESS</t>
  </si>
  <si>
    <t>BW2.4JWX195-13KJ</t>
  </si>
  <si>
    <t>C497018</t>
  </si>
  <si>
    <t>1.8 8dBi Vertical 50W - Antennas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</si>
</sst>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6" fillId="0" borderId="0" xfId="0" applyFont="1"/>
    <xf numFmtId="0" fontId="27" fillId="0" borderId="0" xfId="0" applyFont="1"/>
    <xf numFmtId="0" fontId="22" fillId="2" borderId="1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NOR-FLASH_Winbond-Elec-W25Q64JVSSIQ_C179171.html" TargetMode="External"/><Relationship Id="rId21" Type="http://schemas.openxmlformats.org/officeDocument/2006/relationships/hyperlink" Target="https://www.lcsc.com/product-detail/RS-485-RS-422-ICs_HGSEMI-SP3485EIM-TR_C519086.html" TargetMode="External"/><Relationship Id="rId42" Type="http://schemas.openxmlformats.org/officeDocument/2006/relationships/hyperlink" Target="https://www.lcsc.com/product-detail/Chip-Resistor-Surface-Mount_YAGEO-RC0402FR-0747KL_C93943.html" TargetMode="External"/><Relationship Id="rId47" Type="http://schemas.openxmlformats.org/officeDocument/2006/relationships/hyperlink" Target="https://www.lcsc.com/product-detail/Varistors_TDK-B72210S0300K101_C125513.html" TargetMode="External"/><Relationship Id="rId63" Type="http://schemas.openxmlformats.org/officeDocument/2006/relationships/hyperlink" Target="https://www.lcsc.com/product-detail/Zener-Diodes_Diodes-Incorporated-BZX84C3V3TS-7-F_C5124989.html" TargetMode="External"/><Relationship Id="rId68" Type="http://schemas.openxmlformats.org/officeDocument/2006/relationships/hyperlink" Target="https://www.lcsc.com/product-detail/Multilayer-Ceramic-Capacitors-MLCC-SMD-SMT_YAGEO-CC0603JRNPO9BN331_C62784.html" TargetMode="External"/><Relationship Id="rId16" Type="http://schemas.openxmlformats.org/officeDocument/2006/relationships/hyperlink" Target="https://www.lcsc.com/product-detail/Multilayer-Ceramic-Capacitors-MLCC-SMD-SMT_Murata-Electronics-GRM155R61H105KE05D_C1518208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32" Type="http://schemas.openxmlformats.org/officeDocument/2006/relationships/hyperlink" Target="https://www.lcsc.com/product-detail/Chip-Resistor-Surface-Mount_YAGEO-RC0603FR-07680RL_C112310.html" TargetMode="External"/><Relationship Id="rId37" Type="http://schemas.openxmlformats.org/officeDocument/2006/relationships/hyperlink" Target="https://www.lcsc.com/product-detail/Chip-Resistor-Surface-Mount_YAGEO-RC0402JR-07150KL_C137919.html" TargetMode="External"/><Relationship Id="rId53" Type="http://schemas.openxmlformats.org/officeDocument/2006/relationships/hyperlink" Target="https://www.lcsc.com/product-detail/Card-Edge-Connectors_UMAX-91304-99-052R2_C404126.html" TargetMode="External"/><Relationship Id="rId58" Type="http://schemas.openxmlformats.org/officeDocument/2006/relationships/hyperlink" Target="https://www.lcsc.com/product-detail/Ferrite-Beads_Murata-Electronics-BLM31PG121SN1L_C85841.html" TargetMode="External"/><Relationship Id="rId74" Type="http://schemas.openxmlformats.org/officeDocument/2006/relationships/hyperlink" Target="https://www.lcsc.com/product-detail/Multilayer-Ceramic-Capacitors-MLCC-SMD-SMT_YAGEO-CC0402KRX7R9BB103_C60133.html" TargetMode="External"/><Relationship Id="rId79" Type="http://schemas.openxmlformats.org/officeDocument/2006/relationships/hyperlink" Target="https://www.lcsc.com/product-detail/Resistor-Networks-Arrays_YAGEO-YC164-JR-07100KL_C192933.html" TargetMode="External"/><Relationship Id="rId5" Type="http://schemas.openxmlformats.org/officeDocument/2006/relationships/hyperlink" Target="https://www.lcsc.com/product-detail/Tantalum-Capacitors_Kyocera-AVX-TAJE337M016RNJ_C51599.html" TargetMode="External"/><Relationship Id="rId61" Type="http://schemas.openxmlformats.org/officeDocument/2006/relationships/hyperlink" Target="https://www.lcsc.com/product-detail/Resettable-Fuses_Littelfuse-1206L300SLTHYR_C207041.html" TargetMode="External"/><Relationship Id="rId82" Type="http://schemas.openxmlformats.org/officeDocument/2006/relationships/drawing" Target="../drawings/drawing1.xml"/><Relationship Id="rId19" Type="http://schemas.openxmlformats.org/officeDocument/2006/relationships/hyperlink" Target="https://www.lcsc.com/product-detail/Digital-Isolators_Analog-Devices-ADuM1200ARZ-RL7_C15219.html" TargetMode="External"/><Relationship Id="rId14" Type="http://schemas.openxmlformats.org/officeDocument/2006/relationships/hyperlink" Target="https://www.lcsc.com/product-detail/ESD-Protection-Devices_Brightking-UDD32C03L01_C78439.html" TargetMode="External"/><Relationship Id="rId22" Type="http://schemas.openxmlformats.org/officeDocument/2006/relationships/hyperlink" Target="https://www.lcsc.com/product-detail/RS232-ICs_Texas-Instruments-MAX3232IDR_C18261.html" TargetMode="External"/><Relationship Id="rId27" Type="http://schemas.openxmlformats.org/officeDocument/2006/relationships/hyperlink" Target="https://www.lcsc.com/product-detail/Linear-Voltage-Regulators-LDO_Microchip-Tech-MIC29302WU-TR_C11149.html" TargetMode="External"/><Relationship Id="rId30" Type="http://schemas.openxmlformats.org/officeDocument/2006/relationships/hyperlink" Target="https://www.lcsc.com/product-detail/DC-DC-Converters_Texas-Instruments-TPS5450DDAR_C114425.html" TargetMode="External"/><Relationship Id="rId35" Type="http://schemas.openxmlformats.org/officeDocument/2006/relationships/hyperlink" Target="https://www.lcsc.com/product-detail/Chip-Resistor-Surface-Mount_YAGEO-RC0402FR-070RL_C106231.html" TargetMode="External"/><Relationship Id="rId43" Type="http://schemas.openxmlformats.org/officeDocument/2006/relationships/hyperlink" Target="https://www.lcsc.com/product-detail/Chip-Resistor-Surface-Mount_YAGEO-RC0201JR-07100KL_C106230.html" TargetMode="External"/><Relationship Id="rId48" Type="http://schemas.openxmlformats.org/officeDocument/2006/relationships/hyperlink" Target="https://www.lcsc.com/product-detail/Bipolar-Transistors-BJT_onsemi-MMBT4403LT1G_C78864.html" TargetMode="External"/><Relationship Id="rId56" Type="http://schemas.openxmlformats.org/officeDocument/2006/relationships/hyperlink" Target="https://www.lcsc.com/product-detail/USB-Connectors_Korean-Hroparts-Elec-TYPE-C-31-M-12_C165948.html" TargetMode="External"/><Relationship Id="rId64" Type="http://schemas.openxmlformats.org/officeDocument/2006/relationships/hyperlink" Target="https://www.lcsc.com/product-detail/Zener-Diodes_Jiangsu-Changjing-Electronics-Technology-Co-Ltd-BZT52C5V6S_C22612.html" TargetMode="External"/><Relationship Id="rId69" Type="http://schemas.openxmlformats.org/officeDocument/2006/relationships/hyperlink" Target="https://www.lcsc.com/product-detail/Multilayer-Ceramic-Capacitors-MLCC-SMD-SMT_Samsung-Electro-Mechanics-CL05A106MP5NUNC_C315248.html" TargetMode="External"/><Relationship Id="rId77" Type="http://schemas.openxmlformats.org/officeDocument/2006/relationships/hyperlink" Target="https://www.lcsc.com/product-detail/Tantalum-Capacitors_Kyocera-AVX-TAJD227K010RNJ_C8024.html" TargetMode="External"/><Relationship Id="rId8" Type="http://schemas.openxmlformats.org/officeDocument/2006/relationships/hyperlink" Target="https://www.chipsmall.com/Products/ATECC608B-SSHDA-B_30785657.html" TargetMode="External"/><Relationship Id="rId51" Type="http://schemas.openxmlformats.org/officeDocument/2006/relationships/hyperlink" Target="https://www.lcsc.com/product-detail/Inductors-SMD_Sunlord-SDCL1608C2N0STDF_C370234.html" TargetMode="External"/><Relationship Id="rId72" Type="http://schemas.openxmlformats.org/officeDocument/2006/relationships/hyperlink" Target="https://www.lcsc.com/product-detail/Tantalum-Capacitors_CEC-Shenzhen-Zhenhua-XinYun-Elec-CA45-A-6-3V-47uF-K_C129570.html" TargetMode="External"/><Relationship Id="rId80" Type="http://schemas.openxmlformats.org/officeDocument/2006/relationships/hyperlink" Target="https://www.lcsc.com/product-detail/Antennas_BAT-WIRELESS-BW2-4JWX195-13KJ_C497018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Resistor-Surface-Mount_YAGEO-RC0201FR-071KL_C138165.html" TargetMode="External"/><Relationship Id="rId17" Type="http://schemas.openxmlformats.org/officeDocument/2006/relationships/hyperlink" Target="https://www.lcsc.com/product-detail/Tactile-Switches_TE-Connectivity-1825027-8_C266196.html" TargetMode="External"/><Relationship Id="rId25" Type="http://schemas.openxmlformats.org/officeDocument/2006/relationships/hyperlink" Target="https://www.lcsc.com/product-detail/Telecommunication-Interface-ICs_Microchip-Tech-MT8870DN1_C1522106.html" TargetMode="External"/><Relationship Id="rId33" Type="http://schemas.openxmlformats.org/officeDocument/2006/relationships/hyperlink" Target="https://www.lcsc.com/product-detail/Chip-Resistor-Surface-Mount_PANASONIC-ERA2AEB680X_C445573.html" TargetMode="External"/><Relationship Id="rId38" Type="http://schemas.openxmlformats.org/officeDocument/2006/relationships/hyperlink" Target="https://www.lcsc.com/product-detail/Chip-Resistor-Surface-Mount_YAGEO-RC0603FR-07330KL_C114618.html" TargetMode="External"/><Relationship Id="rId46" Type="http://schemas.openxmlformats.org/officeDocument/2006/relationships/hyperlink" Target="https://www.lcsc.com/product-detail/Chip-Resistor-Surface-Mount_YAGEO-AF0402JR-071ML_C144054.html" TargetMode="External"/><Relationship Id="rId59" Type="http://schemas.openxmlformats.org/officeDocument/2006/relationships/hyperlink" Target="https://www.lcsc.com/product-detail/Resettable-Fuses_RUILON-Shenzhen-Ruilongyuan-Elec-SMD0805P020TF_C20976.html" TargetMode="External"/><Relationship Id="rId67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Digital-Isolators_Analog-Devices-ADUM1201ARZ-RL7_C9669.html" TargetMode="External"/><Relationship Id="rId41" Type="http://schemas.openxmlformats.org/officeDocument/2006/relationships/hyperlink" Target="https://www.lcsc.com/product-detail/Chip-Resistor-Surface-Mount_YAGEO-RC0402FR-074K7L_C105871.html" TargetMode="External"/><Relationship Id="rId54" Type="http://schemas.openxmlformats.org/officeDocument/2006/relationships/hyperlink" Target="https://www.lcsc.com/product-detail/Wire-To-Board-Wire-To-Wire-Connector_BOOMELE-Boom-Precision-Elec-C145963_C145963.html" TargetMode="External"/><Relationship Id="rId62" Type="http://schemas.openxmlformats.org/officeDocument/2006/relationships/hyperlink" Target="https://www.lcsc.com/product-detail/TVS_MSKSEMI-SMBJ26CA_C5331111.html" TargetMode="External"/><Relationship Id="rId70" Type="http://schemas.openxmlformats.org/officeDocument/2006/relationships/hyperlink" Target="https://www.lcsc.com/product-detail/Multilayer-Ceramic-Capacitors-MLCC-SMD-SMT_YAGEO-CC0402JRNPO9BN220_C106203.html" TargetMode="External"/><Relationship Id="rId75" Type="http://schemas.openxmlformats.org/officeDocument/2006/relationships/hyperlink" Target="https://www.lcsc.com/product-detail/Multilayer-Ceramic-Capacitors-MLCC-SMD-SMT_Murata-Electronics-GRM155R62A104KE14D_C16217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lcsc.com/product-detail/Tantalum-Capacitors_CEC-Shenzhen-Zhenhua-XinYun-Elec-CA45-A-10V-10uF-K_C128253.html" TargetMode="External"/><Relationship Id="rId15" Type="http://schemas.openxmlformats.org/officeDocument/2006/relationships/hyperlink" Target="https://www.lcsc.com/product-detail/Schottky-Barrier-Diodes-SBD_Jiangsu-Changjing-Electronics-Technology-Co-Ltd-ST20100L_C2693410.html" TargetMode="External"/><Relationship Id="rId23" Type="http://schemas.openxmlformats.org/officeDocument/2006/relationships/hyperlink" Target="https://www.lcsc.com/product-detail/Darlington-Transistor-Arrays_Mixic-ULN2003A_C181730.html" TargetMode="External"/><Relationship Id="rId28" Type="http://schemas.openxmlformats.org/officeDocument/2006/relationships/hyperlink" Target="https://www.lcsc.com/product-detail/Linear-Voltage-Regulators-LDO_HGSEMI-LM1084S-3-3-TR_C259972.html" TargetMode="External"/><Relationship Id="rId36" Type="http://schemas.openxmlformats.org/officeDocument/2006/relationships/hyperlink" Target="https://www.lcsc.com/product-detail/Chip-Resistor-Surface-Mount_YAGEO-RT0603BRD0768KL_C705793.html" TargetMode="External"/><Relationship Id="rId49" Type="http://schemas.openxmlformats.org/officeDocument/2006/relationships/hyperlink" Target="https://www.lcsc.com/product-detail/Light-Emitting-Diodes-LED_Everlight-Elec-19-21-R7C-AK1L2BY-3T_C1322287.html" TargetMode="External"/><Relationship Id="rId57" Type="http://schemas.openxmlformats.org/officeDocument/2006/relationships/hyperlink" Target="https://www.lcsc.com/product-detail/Screw-terminal_DIBO-DB128L-5-08-3P-BK-S_C430602.html" TargetMode="External"/><Relationship Id="rId10" Type="http://schemas.openxmlformats.org/officeDocument/2006/relationships/hyperlink" Target="https://www.lcsc.com/product-detail/Chip-Resistor-Surface-Mount_UNI-ROYAL-Uniroyal-Elec-0402WGJ0220TCE_C25152.html" TargetMode="External"/><Relationship Id="rId31" Type="http://schemas.openxmlformats.org/officeDocument/2006/relationships/hyperlink" Target="https://www.lcsc.com/product-detail/Chip-Resistor-Surface-Mount_YAGEO-RC0402FR-073K3L_C137992.html" TargetMode="External"/><Relationship Id="rId44" Type="http://schemas.openxmlformats.org/officeDocument/2006/relationships/hyperlink" Target="https://www.lcsc.com/product-detail/Chip-Resistor-Surface-Mount_UNI-ROYAL-Uniroyal-Elec-0603WAF3241T5E_C22994.html" TargetMode="External"/><Relationship Id="rId52" Type="http://schemas.openxmlformats.org/officeDocument/2006/relationships/hyperlink" Target="https://www.lcsc.com/product-detail/Power-Inductors_PROD-Tech-PSPMAA1040-100M-ANP_C2983105.html" TargetMode="External"/><Relationship Id="rId60" Type="http://schemas.openxmlformats.org/officeDocument/2006/relationships/hyperlink" Target="https://www.lcsc.com/product-detail/Resettable-Fuses_PTTC-Polytronics-Tech-SHV2920P500-30-AA_C495350.html" TargetMode="External"/><Relationship Id="rId65" Type="http://schemas.openxmlformats.org/officeDocument/2006/relationships/hyperlink" Target="https://www.lcsc.com/product-detail/Switching-Diode_onsemi-1N4148WT_C232841.html" TargetMode="External"/><Relationship Id="rId73" Type="http://schemas.openxmlformats.org/officeDocument/2006/relationships/hyperlink" Target="https://www.lcsc.com/product-detail/Aluminum-Electrolytic-Capacitors-SMD_ROQANG-RVT1H680M0607_C5221836.html" TargetMode="External"/><Relationship Id="rId78" Type="http://schemas.openxmlformats.org/officeDocument/2006/relationships/hyperlink" Target="https://www.lcsc.com/product-detail/FFC-FPC-Connectors_XFCN-F0503-ZV-18-20T-R_C481243.html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RF-Connectors-Coaxial-Connectors_HJ-Tech-HJ-SMA508_C1509209.html" TargetMode="External"/><Relationship Id="rId9" Type="http://schemas.openxmlformats.org/officeDocument/2006/relationships/hyperlink" Target="https://www.chipsmall.com/Products/ESP32-S3R8_33393977.html" TargetMode="External"/><Relationship Id="rId13" Type="http://schemas.openxmlformats.org/officeDocument/2006/relationships/hyperlink" Target="https://www.lcsc.com/product-detail/Chip-span-style-background-color-ff0-Resistor-span-Surface-Mount_YAGEO-RT0402BRE075K1L_C853340.html" TargetMode="External"/><Relationship Id="rId18" Type="http://schemas.openxmlformats.org/officeDocument/2006/relationships/hyperlink" Target="https://www.lcsc.com/product-detail/Crystals_Yangxing-Tech-X322540MPB4SI_C9010.html" TargetMode="External"/><Relationship Id="rId39" Type="http://schemas.openxmlformats.org/officeDocument/2006/relationships/hyperlink" Target="https://www.lcsc.com/product-detail/Chip-Resistor-Surface-Mount_YAGEO-RC0402FR-0756KL_C114756.html" TargetMode="External"/><Relationship Id="rId34" Type="http://schemas.openxmlformats.org/officeDocument/2006/relationships/hyperlink" Target="https://www.lcsc.com/product-detail/Chip-Resistor-Surface-Mount_YAGEO-RC0603FR-07120RL_C114640.html" TargetMode="External"/><Relationship Id="rId50" Type="http://schemas.openxmlformats.org/officeDocument/2006/relationships/hyperlink" Target="https://www.lcsc.com/product-detail/Light-Emitting-Diodes-LED_Everlight-Elec-16-213-GHC-YR1S1-3T_C74338.html" TargetMode="External"/><Relationship Id="rId55" Type="http://schemas.openxmlformats.org/officeDocument/2006/relationships/hyperlink" Target="https://www.lcsc.com/product-detail/Screw-terminal_DIBO-DB128L-5-08-2P-BK-S_C430601.html" TargetMode="External"/><Relationship Id="rId76" Type="http://schemas.openxmlformats.org/officeDocument/2006/relationships/hyperlink" Target="https://www.lcsc.com/product-detail/Multilayer-Ceramic-Capacitors-MLCC-SMD-SMT_YAGEO-CC0603JRNPO9BN472_C576818.html" TargetMode="External"/><Relationship Id="rId7" Type="http://schemas.openxmlformats.org/officeDocument/2006/relationships/hyperlink" Target="https://www.chipsmall.com/Products/HMC221BETR_12364157.html" TargetMode="External"/><Relationship Id="rId71" Type="http://schemas.openxmlformats.org/officeDocument/2006/relationships/hyperlink" Target="https://www.lcsc.com/product-detail/Tantalum-Capacitors_Kyocera-AVX-TAJB107M010RNJ_C7196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Power-Distribution-Switches_Texas-Instruments-TPS2116DRLR_C3235557.html" TargetMode="External"/><Relationship Id="rId24" Type="http://schemas.openxmlformats.org/officeDocument/2006/relationships/hyperlink" Target="https://www.lcsc.com/product-detail/I-O-Expanders_Microchip-Tech-MCP23017T-E-SS_C558584.html" TargetMode="External"/><Relationship Id="rId40" Type="http://schemas.openxmlformats.org/officeDocument/2006/relationships/hyperlink" Target="https://www.lcsc.com/product-detail/Chip-Resistor-Surface-Mount_YAGEO-RC0402FR-07499RL_C137970.html" TargetMode="External"/><Relationship Id="rId45" Type="http://schemas.openxmlformats.org/officeDocument/2006/relationships/hyperlink" Target="https://www.lcsc.com/product-detail/Chip-Resistor-Surface-Mount_YAGEO-RC0201FR-0710KL_C106225.html" TargetMode="External"/><Relationship Id="rId66" Type="http://schemas.openxmlformats.org/officeDocument/2006/relationships/hyperlink" Target="https://www.lcsc.com/product-detail/TVS_Slkor-SLKORMICRO-Elec-SMBJ36CA_C5561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A94"/>
  <sheetViews>
    <sheetView tabSelected="1" topLeftCell="F76" workbookViewId="0">
      <selection activeCell="Q93" sqref="Q9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1" max="21" width="25.140625" customWidth="1"/>
    <col min="22" max="22" width="25.28515625" bestFit="1" customWidth="1"/>
  </cols>
  <sheetData>
    <row r="1" spans="1:27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4"/>
      <c r="L1" s="74"/>
      <c r="M1" s="74"/>
      <c r="N1" s="74"/>
      <c r="O1" s="74"/>
      <c r="P1" s="74"/>
      <c r="Q1" s="74"/>
      <c r="R1" s="74"/>
      <c r="S1" s="75"/>
    </row>
    <row r="2" spans="1:27" ht="32.25" thickBot="1" x14ac:dyDescent="0.3">
      <c r="A2" s="1"/>
      <c r="B2" s="21"/>
      <c r="C2" s="31"/>
      <c r="D2" s="11" t="s">
        <v>0</v>
      </c>
      <c r="E2" s="11"/>
      <c r="F2" s="55" t="s">
        <v>433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7" x14ac:dyDescent="0.25">
      <c r="A3" s="1"/>
      <c r="B3" s="22"/>
      <c r="C3" s="32"/>
      <c r="D3" s="13" t="s">
        <v>1</v>
      </c>
      <c r="E3" s="13"/>
      <c r="F3" s="56" t="s">
        <v>434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6"/>
    </row>
    <row r="4" spans="1:27" x14ac:dyDescent="0.25">
      <c r="A4" s="1"/>
      <c r="B4" s="22"/>
      <c r="C4" s="32"/>
      <c r="D4" s="13" t="s">
        <v>2</v>
      </c>
      <c r="E4" s="13"/>
      <c r="F4" s="57" t="s">
        <v>434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7"/>
    </row>
    <row r="5" spans="1:27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7"/>
    </row>
    <row r="6" spans="1:27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7"/>
    </row>
    <row r="7" spans="1:27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7"/>
    </row>
    <row r="8" spans="1:27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7"/>
    </row>
    <row r="9" spans="1:27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427</v>
      </c>
      <c r="N9" s="30" t="s">
        <v>421</v>
      </c>
      <c r="O9" s="30" t="s">
        <v>422</v>
      </c>
      <c r="P9" s="30" t="s">
        <v>423</v>
      </c>
      <c r="Q9" s="30" t="s">
        <v>424</v>
      </c>
      <c r="R9" s="30" t="s">
        <v>425</v>
      </c>
      <c r="S9" s="30" t="s">
        <v>426</v>
      </c>
      <c r="U9" s="70"/>
      <c r="V9" s="70"/>
      <c r="W9" s="70"/>
      <c r="X9" s="70"/>
    </row>
    <row r="10" spans="1:27" x14ac:dyDescent="0.25">
      <c r="A10" s="1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L10*5</f>
        <v>5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440</v>
      </c>
      <c r="S10" s="50"/>
      <c r="U10" s="70"/>
      <c r="V10" s="70"/>
      <c r="W10" s="70"/>
      <c r="X10" s="70"/>
    </row>
    <row r="11" spans="1:27" x14ac:dyDescent="0.25">
      <c r="A11" s="1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 t="shared" ref="M11" si="1">L11*5</f>
        <v>5</v>
      </c>
      <c r="N11" s="51">
        <v>20</v>
      </c>
      <c r="O11" s="60" t="s">
        <v>436</v>
      </c>
      <c r="P11" s="52">
        <v>2.01E-2</v>
      </c>
      <c r="Q11" s="52">
        <f t="shared" ref="Q11" si="2">P11*N11</f>
        <v>0.40200000000000002</v>
      </c>
      <c r="R11" s="51"/>
      <c r="S11" s="51"/>
      <c r="U11" s="70"/>
      <c r="V11" s="70"/>
      <c r="W11" s="70"/>
      <c r="X11" s="70"/>
      <c r="Y11" s="72"/>
      <c r="Z11" s="72"/>
      <c r="AA11" s="72"/>
    </row>
    <row r="12" spans="1:27" s="70" customFormat="1" ht="48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37">
        <f>L12*5</f>
        <v>125</v>
      </c>
      <c r="N12" s="37">
        <v>150</v>
      </c>
      <c r="O12" s="60" t="s">
        <v>436</v>
      </c>
      <c r="P12" s="38">
        <v>1.0500000000000001E-2</v>
      </c>
      <c r="Q12" s="38">
        <f>P12*N12</f>
        <v>1.5750000000000002</v>
      </c>
      <c r="R12" s="37"/>
      <c r="S12" s="59"/>
      <c r="Y12" s="72"/>
      <c r="Z12" s="72"/>
      <c r="AA12" s="72"/>
    </row>
    <row r="13" spans="1:27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ref="M13" si="3">L13*5</f>
        <v>15</v>
      </c>
      <c r="N13" s="51">
        <v>100</v>
      </c>
      <c r="O13" s="60" t="s">
        <v>436</v>
      </c>
      <c r="P13" s="52">
        <v>8.9999999999999998E-4</v>
      </c>
      <c r="Q13" s="52">
        <f t="shared" ref="Q13" si="4">P13*N13</f>
        <v>0.09</v>
      </c>
      <c r="R13" s="51"/>
      <c r="S13" s="59"/>
      <c r="Y13" s="72"/>
      <c r="Z13" s="72"/>
      <c r="AA13" s="72"/>
    </row>
    <row r="14" spans="1:27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435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37">
        <f>L14*5</f>
        <v>15</v>
      </c>
      <c r="N14" s="37">
        <v>20</v>
      </c>
      <c r="O14" s="60" t="s">
        <v>436</v>
      </c>
      <c r="P14" s="38">
        <v>4.9099999999999998E-2</v>
      </c>
      <c r="Q14" s="38">
        <f>P14*N14</f>
        <v>0.98199999999999998</v>
      </c>
      <c r="R14" s="37"/>
      <c r="S14" s="59"/>
      <c r="Y14" s="72"/>
      <c r="Z14" s="72"/>
      <c r="AA14" s="72"/>
    </row>
    <row r="15" spans="1:27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458</v>
      </c>
      <c r="F15" s="51" t="s">
        <v>459</v>
      </c>
      <c r="G15" s="51" t="s">
        <v>490</v>
      </c>
      <c r="H15" s="51" t="s">
        <v>286</v>
      </c>
      <c r="I15" s="51" t="s">
        <v>429</v>
      </c>
      <c r="J15" s="51" t="s">
        <v>460</v>
      </c>
      <c r="K15" s="51" t="s">
        <v>386</v>
      </c>
      <c r="L15" s="51">
        <v>2</v>
      </c>
      <c r="M15" s="51">
        <f t="shared" ref="M15" si="5">L15*5</f>
        <v>10</v>
      </c>
      <c r="N15" s="51">
        <v>11</v>
      </c>
      <c r="O15" s="60" t="s">
        <v>436</v>
      </c>
      <c r="P15" s="52">
        <v>0.25940000000000002</v>
      </c>
      <c r="Q15" s="52">
        <f t="shared" ref="Q15" si="6">P15*N15</f>
        <v>2.8534000000000002</v>
      </c>
      <c r="R15" s="51"/>
      <c r="S15" s="59"/>
      <c r="Y15" s="72"/>
      <c r="Z15" s="72"/>
      <c r="AA15" s="72"/>
    </row>
    <row r="16" spans="1:27" s="70" customFormat="1" ht="24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461</v>
      </c>
      <c r="F16" s="37" t="s">
        <v>178</v>
      </c>
      <c r="G16" s="37" t="s">
        <v>462</v>
      </c>
      <c r="H16" s="37" t="s">
        <v>463</v>
      </c>
      <c r="I16" s="37" t="s">
        <v>429</v>
      </c>
      <c r="J16" s="37" t="s">
        <v>464</v>
      </c>
      <c r="K16" s="37" t="s">
        <v>387</v>
      </c>
      <c r="L16" s="37">
        <v>1</v>
      </c>
      <c r="M16" s="37">
        <f>L16*5</f>
        <v>5</v>
      </c>
      <c r="N16" s="37">
        <v>15</v>
      </c>
      <c r="O16" s="60" t="s">
        <v>436</v>
      </c>
      <c r="P16" s="38">
        <v>7.0900000000000005E-2</v>
      </c>
      <c r="Q16" s="38">
        <f>P16*N16</f>
        <v>1.0635000000000001</v>
      </c>
      <c r="R16" s="37"/>
      <c r="S16" s="59"/>
      <c r="Y16" s="72"/>
      <c r="Z16" s="72"/>
      <c r="AA16" s="72"/>
    </row>
    <row r="17" spans="1:27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ref="M17" si="7">L17*5</f>
        <v>5</v>
      </c>
      <c r="N17" s="51">
        <v>10</v>
      </c>
      <c r="O17" s="60" t="s">
        <v>436</v>
      </c>
      <c r="P17" s="52">
        <v>6.3E-2</v>
      </c>
      <c r="Q17" s="52">
        <f t="shared" ref="Q17" si="8">P17*N17</f>
        <v>0.63</v>
      </c>
      <c r="R17" s="51"/>
      <c r="S17" s="59"/>
      <c r="Y17" s="72"/>
      <c r="Z17" s="72"/>
      <c r="AA17" s="72"/>
    </row>
    <row r="18" spans="1:27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465</v>
      </c>
      <c r="F18" s="37" t="s">
        <v>466</v>
      </c>
      <c r="G18" s="37" t="s">
        <v>467</v>
      </c>
      <c r="H18" s="37" t="s">
        <v>286</v>
      </c>
      <c r="I18" s="37" t="s">
        <v>429</v>
      </c>
      <c r="J18" s="37" t="s">
        <v>468</v>
      </c>
      <c r="K18" s="37" t="s">
        <v>389</v>
      </c>
      <c r="L18" s="37">
        <v>1</v>
      </c>
      <c r="M18" s="37">
        <f>L18*5</f>
        <v>5</v>
      </c>
      <c r="N18" s="37">
        <v>6</v>
      </c>
      <c r="O18" s="60" t="s">
        <v>436</v>
      </c>
      <c r="P18" s="38">
        <v>1.7373000000000001</v>
      </c>
      <c r="Q18" s="38">
        <f>P18*N18</f>
        <v>10.4238</v>
      </c>
      <c r="R18" s="37"/>
      <c r="S18" s="59"/>
      <c r="Y18" s="72"/>
      <c r="Z18" s="72"/>
      <c r="AA18" s="72"/>
    </row>
    <row r="19" spans="1:27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ref="M19" si="9">L19*5</f>
        <v>5</v>
      </c>
      <c r="N19" s="51">
        <v>10</v>
      </c>
      <c r="O19" s="60" t="s">
        <v>436</v>
      </c>
      <c r="P19" s="52">
        <v>0.26129999999999998</v>
      </c>
      <c r="Q19" s="52">
        <f t="shared" ref="Q19" si="10">P19*N19</f>
        <v>2.6129999999999995</v>
      </c>
      <c r="R19" s="51"/>
      <c r="S19" s="59"/>
      <c r="Y19" s="72"/>
      <c r="Z19" s="72"/>
      <c r="AA19" s="72"/>
    </row>
    <row r="20" spans="1:27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442</v>
      </c>
      <c r="J20" s="37" t="s">
        <v>441</v>
      </c>
      <c r="K20" s="37" t="s">
        <v>391</v>
      </c>
      <c r="L20" s="37">
        <v>4</v>
      </c>
      <c r="M20" s="37">
        <f>L20*5</f>
        <v>20</v>
      </c>
      <c r="N20" s="37">
        <v>30</v>
      </c>
      <c r="O20" s="60" t="s">
        <v>436</v>
      </c>
      <c r="P20" s="38">
        <v>4.2000000000000003E-2</v>
      </c>
      <c r="Q20" s="38">
        <f>P20*N20</f>
        <v>1.26</v>
      </c>
      <c r="R20" s="37"/>
      <c r="S20" s="59"/>
      <c r="Y20" s="72"/>
      <c r="Z20" s="72"/>
      <c r="AA20" s="72"/>
    </row>
    <row r="21" spans="1:27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ref="M21" si="11">L21*5</f>
        <v>10</v>
      </c>
      <c r="N21" s="51">
        <v>50</v>
      </c>
      <c r="O21" s="60" t="s">
        <v>436</v>
      </c>
      <c r="P21" s="52">
        <v>1.0800000000000001E-2</v>
      </c>
      <c r="Q21" s="52">
        <f t="shared" ref="Q21" si="12">P21*N21</f>
        <v>0.54</v>
      </c>
      <c r="R21" s="51"/>
      <c r="S21" s="59"/>
      <c r="Y21" s="72"/>
      <c r="Z21" s="72"/>
      <c r="AA21" s="72"/>
    </row>
    <row r="22" spans="1:27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37">
        <f>L22*5</f>
        <v>10</v>
      </c>
      <c r="N22" s="37">
        <v>100</v>
      </c>
      <c r="O22" s="60" t="s">
        <v>436</v>
      </c>
      <c r="P22" s="38">
        <v>1E-3</v>
      </c>
      <c r="Q22" s="38">
        <f>P22*N22</f>
        <v>0.1</v>
      </c>
      <c r="R22" s="37"/>
      <c r="S22" s="59"/>
      <c r="Y22" s="72"/>
      <c r="Z22" s="72"/>
      <c r="AA22" s="72"/>
    </row>
    <row r="23" spans="1:27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ref="M23" si="13">L23*5</f>
        <v>15</v>
      </c>
      <c r="N23" s="51">
        <v>100</v>
      </c>
      <c r="O23" s="60" t="s">
        <v>436</v>
      </c>
      <c r="P23" s="52">
        <v>3.8999999999999998E-3</v>
      </c>
      <c r="Q23" s="52">
        <f t="shared" ref="Q23" si="14">P23*N23</f>
        <v>0.38999999999999996</v>
      </c>
      <c r="R23" s="51"/>
      <c r="S23" s="59"/>
      <c r="Y23" s="72"/>
      <c r="Z23" s="72"/>
      <c r="AA23" s="72"/>
    </row>
    <row r="24" spans="1:27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37">
        <f>L24*5</f>
        <v>5</v>
      </c>
      <c r="N24" s="37">
        <v>10</v>
      </c>
      <c r="O24" s="60" t="s">
        <v>436</v>
      </c>
      <c r="P24" s="38">
        <v>5.5599999999999997E-2</v>
      </c>
      <c r="Q24" s="38">
        <f>P24*N24</f>
        <v>0.55599999999999994</v>
      </c>
      <c r="R24" s="37"/>
      <c r="S24" s="59"/>
      <c r="Y24" s="72"/>
      <c r="Z24" s="72"/>
      <c r="AA24" s="72"/>
    </row>
    <row r="25" spans="1:27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ref="M25" si="15">L25*5</f>
        <v>5</v>
      </c>
      <c r="N25" s="51">
        <v>10</v>
      </c>
      <c r="O25" s="60" t="s">
        <v>436</v>
      </c>
      <c r="P25" s="52">
        <v>4.4600000000000001E-2</v>
      </c>
      <c r="Q25" s="52">
        <f t="shared" ref="Q25" si="16">P25*N25</f>
        <v>0.44600000000000001</v>
      </c>
      <c r="R25" s="51"/>
      <c r="S25" s="59"/>
      <c r="Y25" s="72"/>
      <c r="Z25" s="72"/>
      <c r="AA25" s="72"/>
    </row>
    <row r="26" spans="1:27" s="70" customFormat="1" ht="36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37">
        <f>L26*5</f>
        <v>5</v>
      </c>
      <c r="N26" s="37">
        <v>6</v>
      </c>
      <c r="O26" s="60" t="s">
        <v>436</v>
      </c>
      <c r="P26" s="38">
        <v>0.46939999999999998</v>
      </c>
      <c r="Q26" s="38">
        <f>P26*N26</f>
        <v>2.8163999999999998</v>
      </c>
      <c r="R26" s="37"/>
      <c r="S26" s="59"/>
      <c r="Y26" s="72"/>
      <c r="Z26" s="72"/>
      <c r="AA26" s="72"/>
    </row>
    <row r="27" spans="1:27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443</v>
      </c>
      <c r="H27" s="51" t="s">
        <v>292</v>
      </c>
      <c r="I27" s="51" t="s">
        <v>429</v>
      </c>
      <c r="J27" s="51" t="s">
        <v>444</v>
      </c>
      <c r="K27" s="51" t="s">
        <v>429</v>
      </c>
      <c r="L27" s="51">
        <v>1</v>
      </c>
      <c r="M27" s="51">
        <f t="shared" ref="M27" si="17">L27*5</f>
        <v>5</v>
      </c>
      <c r="N27" s="51">
        <v>10</v>
      </c>
      <c r="O27" s="60" t="s">
        <v>436</v>
      </c>
      <c r="P27" s="52">
        <v>3.56E-2</v>
      </c>
      <c r="Q27" s="52">
        <f t="shared" ref="Q27" si="18">P27*N27</f>
        <v>0.35599999999999998</v>
      </c>
      <c r="R27" s="51"/>
      <c r="S27" s="59"/>
      <c r="Y27" s="72"/>
      <c r="Z27" s="72"/>
      <c r="AA27" s="72"/>
    </row>
    <row r="28" spans="1:27" s="70" customFormat="1" ht="24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37">
        <f>L28*5</f>
        <v>15</v>
      </c>
      <c r="N28" s="37">
        <v>20</v>
      </c>
      <c r="O28" s="60" t="s">
        <v>436</v>
      </c>
      <c r="P28" s="38">
        <v>2.46E-2</v>
      </c>
      <c r="Q28" s="38">
        <f>P28*N28</f>
        <v>0.49199999999999999</v>
      </c>
      <c r="R28" s="37"/>
      <c r="S28" s="59"/>
      <c r="Y28" s="72"/>
      <c r="Z28" s="72"/>
      <c r="AA28" s="72"/>
    </row>
    <row r="29" spans="1:27" s="70" customFormat="1" ht="36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ref="M29" si="19">L29*5</f>
        <v>10</v>
      </c>
      <c r="N29" s="51">
        <v>20</v>
      </c>
      <c r="O29" s="60" t="s">
        <v>436</v>
      </c>
      <c r="P29" s="52">
        <v>2.3400000000000001E-2</v>
      </c>
      <c r="Q29" s="52">
        <f t="shared" ref="Q29" si="20">P29*N29</f>
        <v>0.46800000000000003</v>
      </c>
      <c r="R29" s="51"/>
      <c r="S29" s="59"/>
      <c r="Y29" s="72"/>
      <c r="Z29" s="72"/>
      <c r="AA29" s="72"/>
    </row>
    <row r="30" spans="1:27" s="70" customFormat="1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37">
        <f>L30*5</f>
        <v>20</v>
      </c>
      <c r="N30" s="37">
        <v>25</v>
      </c>
      <c r="O30" s="60" t="s">
        <v>436</v>
      </c>
      <c r="P30" s="38">
        <v>0.1351</v>
      </c>
      <c r="Q30" s="38">
        <f>P30*N30</f>
        <v>3.3774999999999999</v>
      </c>
      <c r="R30" s="37"/>
      <c r="S30" s="59"/>
      <c r="Y30" s="72"/>
      <c r="Z30" s="72"/>
      <c r="AA30" s="72"/>
    </row>
    <row r="31" spans="1:27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ref="M31" si="21">L31*5</f>
        <v>20</v>
      </c>
      <c r="N31" s="51">
        <v>30</v>
      </c>
      <c r="O31" s="60" t="s">
        <v>436</v>
      </c>
      <c r="P31" s="52">
        <v>4.7500000000000001E-2</v>
      </c>
      <c r="Q31" s="52">
        <f t="shared" ref="Q31" si="22">P31*N31</f>
        <v>1.425</v>
      </c>
      <c r="R31" s="51"/>
      <c r="S31" s="59"/>
      <c r="Y31" s="72"/>
      <c r="Z31" s="72"/>
      <c r="AA31" s="72"/>
    </row>
    <row r="32" spans="1:27" s="70" customFormat="1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37">
        <f>L32*5</f>
        <v>5</v>
      </c>
      <c r="N32" s="37">
        <v>10</v>
      </c>
      <c r="O32" s="60" t="s">
        <v>436</v>
      </c>
      <c r="P32" s="38">
        <v>0.2286</v>
      </c>
      <c r="Q32" s="38">
        <f>P32*N32</f>
        <v>2.286</v>
      </c>
      <c r="R32" s="37"/>
      <c r="S32" s="59"/>
      <c r="Y32" s="72"/>
      <c r="Z32" s="72"/>
      <c r="AA32" s="72"/>
    </row>
    <row r="33" spans="1:27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ref="M33" si="23">L33*5</f>
        <v>5</v>
      </c>
      <c r="N33" s="51">
        <v>6</v>
      </c>
      <c r="O33" s="60" t="s">
        <v>436</v>
      </c>
      <c r="P33" s="52">
        <v>1.1482000000000001</v>
      </c>
      <c r="Q33" s="52">
        <f t="shared" ref="Q33" si="24">P33*N33</f>
        <v>6.8892000000000007</v>
      </c>
      <c r="R33" s="51"/>
      <c r="S33" s="59"/>
      <c r="Y33" s="72"/>
      <c r="Z33" s="72"/>
      <c r="AA33" s="72"/>
    </row>
    <row r="34" spans="1:27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37">
        <f>L34*5</f>
        <v>20</v>
      </c>
      <c r="N34" s="37">
        <v>30</v>
      </c>
      <c r="O34" s="60" t="s">
        <v>436</v>
      </c>
      <c r="P34" s="38">
        <v>5.6099999999999997E-2</v>
      </c>
      <c r="Q34" s="38">
        <f>P34*N34</f>
        <v>1.6829999999999998</v>
      </c>
      <c r="R34" s="37"/>
      <c r="S34" s="59"/>
      <c r="Y34" s="72"/>
      <c r="Z34" s="72"/>
      <c r="AA34" s="72"/>
    </row>
    <row r="35" spans="1:27" s="70" customFormat="1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437</v>
      </c>
      <c r="J35" s="51" t="s">
        <v>342</v>
      </c>
      <c r="K35" s="51" t="s">
        <v>394</v>
      </c>
      <c r="L35" s="51">
        <v>1</v>
      </c>
      <c r="M35" s="51">
        <f t="shared" ref="M35" si="25">L35*5</f>
        <v>5</v>
      </c>
      <c r="N35" s="51">
        <v>10</v>
      </c>
      <c r="O35" s="60" t="s">
        <v>436</v>
      </c>
      <c r="P35" s="52">
        <v>8.8300000000000003E-2</v>
      </c>
      <c r="Q35" s="52">
        <f t="shared" ref="Q35" si="26">P35*N35</f>
        <v>0.88300000000000001</v>
      </c>
      <c r="R35" s="51"/>
      <c r="S35" s="59"/>
      <c r="Y35" s="72"/>
      <c r="Z35" s="72"/>
      <c r="AA35" s="72"/>
    </row>
    <row r="36" spans="1:27" s="70" customFormat="1" ht="48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435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37">
        <f>L36*5</f>
        <v>40</v>
      </c>
      <c r="N36" s="37">
        <v>45</v>
      </c>
      <c r="O36" s="60" t="s">
        <v>436</v>
      </c>
      <c r="P36" s="38">
        <v>0.2316</v>
      </c>
      <c r="Q36" s="38">
        <f>P36*N36</f>
        <v>10.422000000000001</v>
      </c>
      <c r="R36" s="37"/>
      <c r="S36" s="59"/>
      <c r="Y36" s="72"/>
      <c r="Z36" s="72"/>
      <c r="AA36" s="72"/>
    </row>
    <row r="37" spans="1:27" s="70" customFormat="1" ht="24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435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ref="M37" si="27">L37*5</f>
        <v>5</v>
      </c>
      <c r="N37" s="51">
        <v>10</v>
      </c>
      <c r="O37" s="60" t="s">
        <v>436</v>
      </c>
      <c r="P37" s="52">
        <v>0.21590000000000001</v>
      </c>
      <c r="Q37" s="52">
        <f t="shared" ref="Q37" si="28">P37*N37</f>
        <v>2.1590000000000003</v>
      </c>
      <c r="R37" s="51"/>
      <c r="S37" s="59"/>
      <c r="Y37" s="72"/>
      <c r="Z37" s="72"/>
      <c r="AA37" s="72"/>
    </row>
    <row r="38" spans="1:27" s="70" customFormat="1" ht="48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435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37">
        <f>L38*5</f>
        <v>20</v>
      </c>
      <c r="N38" s="37">
        <v>25</v>
      </c>
      <c r="O38" s="60" t="s">
        <v>436</v>
      </c>
      <c r="P38" s="38">
        <v>0.17299999999999999</v>
      </c>
      <c r="Q38" s="38">
        <f>P38*N38</f>
        <v>4.3249999999999993</v>
      </c>
      <c r="R38" s="37"/>
      <c r="S38" s="59"/>
      <c r="Y38" s="72"/>
      <c r="Z38" s="72"/>
      <c r="AA38" s="72"/>
    </row>
    <row r="39" spans="1:27" s="70" customFormat="1" ht="48" x14ac:dyDescent="0.25">
      <c r="A39" s="69"/>
      <c r="B39" s="47">
        <f t="shared" si="0"/>
        <v>30</v>
      </c>
      <c r="C39" s="54" t="s">
        <v>493</v>
      </c>
      <c r="D39" s="68" t="s">
        <v>56</v>
      </c>
      <c r="E39" s="51" t="s">
        <v>494</v>
      </c>
      <c r="F39" s="51" t="s">
        <v>435</v>
      </c>
      <c r="G39" s="51" t="s">
        <v>491</v>
      </c>
      <c r="H39" s="51" t="s">
        <v>495</v>
      </c>
      <c r="I39" s="51" t="s">
        <v>429</v>
      </c>
      <c r="J39" s="51" t="s">
        <v>496</v>
      </c>
      <c r="K39" s="51" t="s">
        <v>429</v>
      </c>
      <c r="L39" s="51">
        <v>1</v>
      </c>
      <c r="M39" s="51">
        <f t="shared" ref="M39" si="29">L39*5</f>
        <v>5</v>
      </c>
      <c r="N39" s="51">
        <v>10</v>
      </c>
      <c r="O39" s="60" t="s">
        <v>436</v>
      </c>
      <c r="P39" s="52">
        <v>0.14860000000000001</v>
      </c>
      <c r="Q39" s="52">
        <f t="shared" ref="Q39" si="30">P39*N39</f>
        <v>1.4860000000000002</v>
      </c>
      <c r="R39" s="51"/>
      <c r="S39" s="59"/>
      <c r="Y39" s="72"/>
      <c r="Z39" s="72"/>
      <c r="AA39" s="72"/>
    </row>
    <row r="40" spans="1:27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435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37">
        <f>L40*5</f>
        <v>5</v>
      </c>
      <c r="N40" s="37">
        <v>12</v>
      </c>
      <c r="O40" s="60" t="s">
        <v>436</v>
      </c>
      <c r="P40" s="38">
        <v>7.0400000000000004E-2</v>
      </c>
      <c r="Q40" s="38">
        <f>P40*N40</f>
        <v>0.8448</v>
      </c>
      <c r="R40" s="37"/>
      <c r="S40" s="59"/>
      <c r="Y40" s="72"/>
      <c r="Z40" s="72"/>
      <c r="AA40" s="72"/>
    </row>
    <row r="41" spans="1:27" s="70" customFormat="1" ht="36" x14ac:dyDescent="0.25">
      <c r="A41" s="69"/>
      <c r="B41" s="47">
        <f t="shared" si="0"/>
        <v>32</v>
      </c>
      <c r="C41" s="54" t="s">
        <v>430</v>
      </c>
      <c r="D41" s="51" t="s">
        <v>58</v>
      </c>
      <c r="E41" s="51" t="s">
        <v>454</v>
      </c>
      <c r="F41" s="51" t="s">
        <v>435</v>
      </c>
      <c r="G41" s="51" t="s">
        <v>455</v>
      </c>
      <c r="H41" s="51" t="s">
        <v>456</v>
      </c>
      <c r="I41" s="51"/>
      <c r="J41" s="51" t="s">
        <v>457</v>
      </c>
      <c r="K41" s="51" t="s">
        <v>429</v>
      </c>
      <c r="L41" s="51">
        <v>1</v>
      </c>
      <c r="M41" s="51">
        <f t="shared" ref="M41" si="31">L41*5</f>
        <v>5</v>
      </c>
      <c r="N41" s="51">
        <v>6</v>
      </c>
      <c r="O41" s="60" t="s">
        <v>436</v>
      </c>
      <c r="P41" s="52">
        <v>0.91159999999999997</v>
      </c>
      <c r="Q41" s="52">
        <f t="shared" ref="Q41" si="32">P41*N41</f>
        <v>5.4695999999999998</v>
      </c>
      <c r="R41" s="51"/>
      <c r="S41" s="59"/>
      <c r="Y41" s="72"/>
      <c r="Z41" s="72"/>
      <c r="AA41" s="72"/>
    </row>
    <row r="42" spans="1:27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435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37">
        <f>L42*5</f>
        <v>10</v>
      </c>
      <c r="N42" s="37">
        <v>11</v>
      </c>
      <c r="O42" s="60" t="s">
        <v>436</v>
      </c>
      <c r="P42" s="38">
        <v>0.81459999999999999</v>
      </c>
      <c r="Q42" s="38">
        <f>P42*N42</f>
        <v>8.9605999999999995</v>
      </c>
      <c r="R42" s="37"/>
      <c r="S42" s="59"/>
      <c r="Y42" s="72"/>
      <c r="Z42" s="72"/>
      <c r="AA42" s="72"/>
    </row>
    <row r="43" spans="1:27" s="70" customFormat="1" ht="30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481</v>
      </c>
      <c r="F43" s="51" t="s">
        <v>435</v>
      </c>
      <c r="G43" s="51" t="s">
        <v>482</v>
      </c>
      <c r="H43" s="51" t="s">
        <v>483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ref="M43" si="33">L43*5</f>
        <v>15</v>
      </c>
      <c r="N43" s="51">
        <v>16</v>
      </c>
      <c r="O43" s="60" t="s">
        <v>484</v>
      </c>
      <c r="P43" s="52">
        <v>1.01</v>
      </c>
      <c r="Q43" s="52">
        <f t="shared" ref="Q43" si="34">P43*N43</f>
        <v>16.16</v>
      </c>
      <c r="R43" s="51"/>
      <c r="S43" s="59"/>
      <c r="Y43" s="72"/>
      <c r="Z43" s="72"/>
      <c r="AA43" s="72"/>
    </row>
    <row r="44" spans="1:27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435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37">
        <f>L44*5</f>
        <v>5</v>
      </c>
      <c r="N44" s="37">
        <v>10</v>
      </c>
      <c r="O44" s="60" t="s">
        <v>436</v>
      </c>
      <c r="P44" s="38">
        <v>0.2137</v>
      </c>
      <c r="Q44" s="38">
        <f>P44*N44</f>
        <v>2.137</v>
      </c>
      <c r="R44" s="37"/>
      <c r="S44" s="59"/>
      <c r="Y44" s="72"/>
      <c r="Z44" s="72"/>
      <c r="AA44" s="72"/>
    </row>
    <row r="45" spans="1:27" s="70" customFormat="1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ref="M45" si="35">L45*5</f>
        <v>5</v>
      </c>
      <c r="N45" s="51">
        <v>50</v>
      </c>
      <c r="O45" s="60" t="s">
        <v>436</v>
      </c>
      <c r="P45" s="52">
        <v>8.3000000000000001E-3</v>
      </c>
      <c r="Q45" s="52">
        <f t="shared" ref="Q45" si="36">P45*N45</f>
        <v>0.41499999999999998</v>
      </c>
      <c r="R45" s="51"/>
      <c r="S45" s="59"/>
      <c r="Y45" s="72"/>
      <c r="Z45" s="72"/>
      <c r="AA45" s="72"/>
    </row>
    <row r="46" spans="1:27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37">
        <f>L46*5</f>
        <v>10</v>
      </c>
      <c r="N46" s="37">
        <v>20</v>
      </c>
      <c r="O46" s="60" t="s">
        <v>436</v>
      </c>
      <c r="P46" s="38">
        <v>5.7599999999999998E-2</v>
      </c>
      <c r="Q46" s="38">
        <f>P46*N46</f>
        <v>1.1519999999999999</v>
      </c>
      <c r="R46" s="37"/>
      <c r="S46" s="59"/>
      <c r="Y46" s="72"/>
      <c r="Z46" s="72"/>
      <c r="AA46" s="72"/>
    </row>
    <row r="47" spans="1:27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437</v>
      </c>
      <c r="J47" s="51" t="s">
        <v>350</v>
      </c>
      <c r="K47" s="51" t="s">
        <v>429</v>
      </c>
      <c r="L47" s="51">
        <v>1</v>
      </c>
      <c r="M47" s="51">
        <f t="shared" ref="M47" si="37">L47*5</f>
        <v>5</v>
      </c>
      <c r="N47" s="51">
        <v>10</v>
      </c>
      <c r="O47" s="60" t="s">
        <v>436</v>
      </c>
      <c r="P47" s="52">
        <v>5.1499999999999997E-2</v>
      </c>
      <c r="Q47" s="52">
        <f t="shared" ref="Q47" si="38">P47*N47</f>
        <v>0.51500000000000001</v>
      </c>
      <c r="R47" s="51"/>
      <c r="S47" s="59"/>
      <c r="Y47" s="72"/>
      <c r="Z47" s="72"/>
      <c r="AA47" s="72"/>
    </row>
    <row r="48" spans="1:27" s="70" customFormat="1" x14ac:dyDescent="0.25">
      <c r="A48" s="69"/>
      <c r="B48" s="46">
        <f>ROW(B48) - ROW($B$9)</f>
        <v>39</v>
      </c>
      <c r="C48" s="53" t="s">
        <v>431</v>
      </c>
      <c r="D48" s="62" t="s">
        <v>485</v>
      </c>
      <c r="E48" s="62" t="s">
        <v>133</v>
      </c>
      <c r="F48" s="62" t="s">
        <v>435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62">
        <f>L48*5</f>
        <v>45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440</v>
      </c>
      <c r="S48" s="59"/>
      <c r="Y48" s="71"/>
      <c r="Z48" s="71"/>
      <c r="AA48" s="71"/>
    </row>
    <row r="49" spans="1:27" s="70" customFormat="1" x14ac:dyDescent="0.25">
      <c r="A49" s="69"/>
      <c r="B49" s="47">
        <f t="shared" si="0"/>
        <v>40</v>
      </c>
      <c r="C49" s="54" t="s">
        <v>432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ref="M49" si="39">L49*5</f>
        <v>5</v>
      </c>
      <c r="N49" s="51">
        <v>20</v>
      </c>
      <c r="O49" s="60" t="s">
        <v>436</v>
      </c>
      <c r="P49" s="52">
        <v>2.1000000000000001E-2</v>
      </c>
      <c r="Q49" s="52">
        <f t="shared" ref="Q49" si="40">P49*N49</f>
        <v>0.42000000000000004</v>
      </c>
      <c r="R49" s="51"/>
      <c r="S49" s="59"/>
      <c r="Y49"/>
      <c r="Z49"/>
      <c r="AA49"/>
    </row>
    <row r="50" spans="1:27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445</v>
      </c>
      <c r="J50" s="37" t="s">
        <v>446</v>
      </c>
      <c r="K50" s="37" t="s">
        <v>397</v>
      </c>
      <c r="L50" s="37">
        <v>2</v>
      </c>
      <c r="M50" s="37">
        <f>L50*5</f>
        <v>10</v>
      </c>
      <c r="N50" s="37">
        <v>20</v>
      </c>
      <c r="O50" s="60" t="s">
        <v>436</v>
      </c>
      <c r="P50" s="38">
        <v>2.1700000000000001E-2</v>
      </c>
      <c r="Q50" s="38">
        <f>P50*N50</f>
        <v>0.434</v>
      </c>
      <c r="R50" s="37"/>
      <c r="S50" s="59"/>
      <c r="Y50"/>
      <c r="Z50"/>
      <c r="AA50"/>
    </row>
    <row r="51" spans="1:27" s="70" customFormat="1" x14ac:dyDescent="0.25">
      <c r="A51" s="69"/>
      <c r="B51" s="47">
        <f t="shared" si="0"/>
        <v>42</v>
      </c>
      <c r="C51" s="54" t="s">
        <v>21</v>
      </c>
      <c r="D51" s="51" t="s">
        <v>67</v>
      </c>
      <c r="E51" s="51" t="s">
        <v>136</v>
      </c>
      <c r="F51" s="51" t="s">
        <v>435</v>
      </c>
      <c r="G51" s="51" t="s">
        <v>200</v>
      </c>
      <c r="H51" s="51" t="s">
        <v>309</v>
      </c>
      <c r="I51" s="51" t="s">
        <v>429</v>
      </c>
      <c r="J51" s="51" t="s">
        <v>352</v>
      </c>
      <c r="K51" s="51" t="s">
        <v>500</v>
      </c>
      <c r="L51" s="51">
        <v>1</v>
      </c>
      <c r="M51" s="51">
        <f t="shared" ref="M51" si="41">L51*5</f>
        <v>5</v>
      </c>
      <c r="N51" s="51">
        <v>10</v>
      </c>
      <c r="O51" s="60" t="s">
        <v>436</v>
      </c>
      <c r="P51" s="52" t="s">
        <v>429</v>
      </c>
      <c r="Q51" s="52" t="s">
        <v>429</v>
      </c>
      <c r="R51" s="63" t="s">
        <v>440</v>
      </c>
      <c r="S51" s="59"/>
      <c r="Y51"/>
      <c r="Z51"/>
      <c r="AA51"/>
    </row>
    <row r="52" spans="1:27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37">
        <f>L52*5</f>
        <v>5</v>
      </c>
      <c r="N52" s="37">
        <v>100</v>
      </c>
      <c r="O52" s="60" t="s">
        <v>436</v>
      </c>
      <c r="P52" s="38">
        <v>2.5999999999999999E-3</v>
      </c>
      <c r="Q52" s="38">
        <f>P52*N52</f>
        <v>0.26</v>
      </c>
      <c r="R52" s="37"/>
      <c r="S52" s="59"/>
      <c r="Y52"/>
      <c r="Z52"/>
      <c r="AA52"/>
    </row>
    <row r="53" spans="1:27" s="70" customFormat="1" ht="24" x14ac:dyDescent="0.25">
      <c r="A53" s="69"/>
      <c r="B53" s="47">
        <f t="shared" si="0"/>
        <v>44</v>
      </c>
      <c r="C53" s="54" t="s">
        <v>20</v>
      </c>
      <c r="D53" s="51" t="s">
        <v>474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ref="M53" si="42">L53*5</f>
        <v>60</v>
      </c>
      <c r="N53" s="51">
        <v>100</v>
      </c>
      <c r="O53" s="60" t="s">
        <v>436</v>
      </c>
      <c r="P53" s="52">
        <v>8.9999999999999998E-4</v>
      </c>
      <c r="Q53" s="52">
        <f t="shared" ref="Q53" si="43">P53*N53</f>
        <v>0.09</v>
      </c>
      <c r="R53" s="51"/>
      <c r="S53" s="59"/>
      <c r="Y53"/>
      <c r="Z53"/>
      <c r="AA53"/>
    </row>
    <row r="54" spans="1:27" s="70" customFormat="1" ht="24" x14ac:dyDescent="0.25">
      <c r="A54" s="69"/>
      <c r="B54" s="46">
        <f>ROW(B54) - ROW($B$9)</f>
        <v>45</v>
      </c>
      <c r="C54" s="54" t="s">
        <v>20</v>
      </c>
      <c r="D54" s="67" t="s">
        <v>486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447</v>
      </c>
      <c r="J54" s="37" t="s">
        <v>448</v>
      </c>
      <c r="K54" s="37" t="s">
        <v>400</v>
      </c>
      <c r="L54" s="37">
        <v>8</v>
      </c>
      <c r="M54" s="37">
        <f>L54*5</f>
        <v>40</v>
      </c>
      <c r="N54" s="37">
        <v>100</v>
      </c>
      <c r="O54" s="60" t="s">
        <v>436</v>
      </c>
      <c r="P54" s="38">
        <v>8.9999999999999998E-4</v>
      </c>
      <c r="Q54" s="38">
        <f>P54*N54</f>
        <v>0.09</v>
      </c>
      <c r="R54" s="37"/>
      <c r="S54" s="59"/>
      <c r="Y54"/>
      <c r="Z54"/>
      <c r="AA54"/>
    </row>
    <row r="55" spans="1:27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ref="M55" si="44">L55*5</f>
        <v>5</v>
      </c>
      <c r="N55" s="51">
        <v>100</v>
      </c>
      <c r="O55" s="60" t="s">
        <v>436</v>
      </c>
      <c r="P55" s="52">
        <v>1E-3</v>
      </c>
      <c r="Q55" s="52">
        <f t="shared" ref="Q55" si="45">P55*N55</f>
        <v>0.1</v>
      </c>
      <c r="R55" s="51"/>
      <c r="S55" s="59"/>
      <c r="Y55"/>
      <c r="Z55"/>
      <c r="AA55"/>
    </row>
    <row r="56" spans="1:27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37">
        <f>L56*5</f>
        <v>10</v>
      </c>
      <c r="N56" s="37">
        <v>100</v>
      </c>
      <c r="O56" s="60" t="s">
        <v>436</v>
      </c>
      <c r="P56" s="38">
        <v>8.0000000000000004E-4</v>
      </c>
      <c r="Q56" s="38">
        <f>P56*N56</f>
        <v>0.08</v>
      </c>
      <c r="R56" s="37"/>
      <c r="S56" s="59"/>
      <c r="Y56"/>
      <c r="Z56"/>
      <c r="AA56"/>
    </row>
    <row r="57" spans="1:27" s="70" customFormat="1" x14ac:dyDescent="0.25">
      <c r="A57" s="69"/>
      <c r="B57" s="47">
        <f t="shared" si="0"/>
        <v>48</v>
      </c>
      <c r="C57" s="54" t="s">
        <v>20</v>
      </c>
      <c r="D57" s="51" t="s">
        <v>475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449</v>
      </c>
      <c r="J57" s="51" t="s">
        <v>450</v>
      </c>
      <c r="K57" s="51" t="s">
        <v>403</v>
      </c>
      <c r="L57" s="51">
        <v>2</v>
      </c>
      <c r="M57" s="51">
        <f t="shared" ref="M57" si="46">L57*5</f>
        <v>10</v>
      </c>
      <c r="N57" s="51">
        <v>100</v>
      </c>
      <c r="O57" s="60" t="s">
        <v>436</v>
      </c>
      <c r="P57" s="52">
        <v>5.0000000000000001E-4</v>
      </c>
      <c r="Q57" s="52">
        <f t="shared" ref="Q57" si="47">P57*N57</f>
        <v>0.05</v>
      </c>
      <c r="R57" s="51"/>
      <c r="S57" s="59"/>
      <c r="Y57"/>
      <c r="Z57"/>
      <c r="AA57"/>
    </row>
    <row r="58" spans="1:27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37">
        <f>L58*5</f>
        <v>10</v>
      </c>
      <c r="N58" s="37">
        <v>100</v>
      </c>
      <c r="O58" s="60" t="s">
        <v>436</v>
      </c>
      <c r="P58" s="38">
        <v>6.9999999999999999E-4</v>
      </c>
      <c r="Q58" s="38">
        <f>P58*N58</f>
        <v>6.9999999999999993E-2</v>
      </c>
      <c r="R58" s="37"/>
      <c r="S58" s="59"/>
      <c r="Y58"/>
      <c r="Z58"/>
      <c r="AA58"/>
    </row>
    <row r="59" spans="1:27" s="70" customFormat="1" ht="48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ref="M59" si="48">L59*5</f>
        <v>110</v>
      </c>
      <c r="N59" s="51">
        <v>200</v>
      </c>
      <c r="O59" s="60" t="s">
        <v>436</v>
      </c>
      <c r="P59" s="52">
        <v>6.9999999999999999E-4</v>
      </c>
      <c r="Q59" s="52">
        <f t="shared" ref="Q59" si="49">P59*N59</f>
        <v>0.13999999999999999</v>
      </c>
      <c r="R59" s="51"/>
      <c r="S59" s="59"/>
      <c r="Y59"/>
      <c r="Z59"/>
      <c r="AA59"/>
    </row>
    <row r="60" spans="1:27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37">
        <f>L60*5</f>
        <v>5</v>
      </c>
      <c r="N60" s="37">
        <v>100</v>
      </c>
      <c r="O60" s="60" t="s">
        <v>436</v>
      </c>
      <c r="P60" s="38">
        <v>5.9999999999999995E-4</v>
      </c>
      <c r="Q60" s="38">
        <f>P60*N60</f>
        <v>0.06</v>
      </c>
      <c r="R60" s="37"/>
      <c r="S60" s="59"/>
      <c r="Y60"/>
      <c r="Z60"/>
      <c r="AA60"/>
    </row>
    <row r="61" spans="1:27" s="70" customFormat="1" ht="24" x14ac:dyDescent="0.25">
      <c r="A61" s="69"/>
      <c r="B61" s="46">
        <f>ROW(B61) - ROW($B$9)</f>
        <v>52</v>
      </c>
      <c r="C61" s="53" t="s">
        <v>20</v>
      </c>
      <c r="D61" s="51" t="s">
        <v>476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37">
        <f>L61*5</f>
        <v>55</v>
      </c>
      <c r="N61" s="37">
        <v>100</v>
      </c>
      <c r="O61" s="60" t="s">
        <v>436</v>
      </c>
      <c r="P61" s="38">
        <v>6.9999999999999999E-4</v>
      </c>
      <c r="Q61" s="38">
        <f>P61*N61</f>
        <v>6.9999999999999993E-2</v>
      </c>
      <c r="R61" s="37"/>
      <c r="S61" s="59"/>
      <c r="Y61"/>
      <c r="Z61"/>
      <c r="AA61"/>
    </row>
    <row r="62" spans="1:27" x14ac:dyDescent="0.25">
      <c r="A62" s="1"/>
      <c r="B62" s="46">
        <f>ROW(B62) - ROW($B$9)</f>
        <v>53</v>
      </c>
      <c r="C62" s="54" t="s">
        <v>477</v>
      </c>
      <c r="D62" s="67" t="s">
        <v>487</v>
      </c>
      <c r="E62" s="37" t="s">
        <v>497</v>
      </c>
      <c r="F62" s="37" t="s">
        <v>498</v>
      </c>
      <c r="G62" s="37" t="s">
        <v>492</v>
      </c>
      <c r="H62" s="37" t="s">
        <v>282</v>
      </c>
      <c r="I62" s="37" t="s">
        <v>429</v>
      </c>
      <c r="J62" s="37" t="s">
        <v>499</v>
      </c>
      <c r="K62" s="37" t="s">
        <v>402</v>
      </c>
      <c r="L62" s="37">
        <v>3</v>
      </c>
      <c r="M62" s="37">
        <f>L62*5</f>
        <v>15</v>
      </c>
      <c r="N62" s="37">
        <v>100</v>
      </c>
      <c r="O62" s="73" t="s">
        <v>436</v>
      </c>
      <c r="P62" s="38">
        <v>6.8999999999999999E-3</v>
      </c>
      <c r="Q62" s="38">
        <f>P62*N62</f>
        <v>0.69</v>
      </c>
      <c r="R62" s="37"/>
      <c r="S62" s="59"/>
      <c r="U62" s="70"/>
      <c r="V62" s="70"/>
      <c r="W62" s="70"/>
      <c r="X62" s="70"/>
    </row>
    <row r="63" spans="1:27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37">
        <f>L63*5</f>
        <v>20</v>
      </c>
      <c r="N63" s="37">
        <v>100</v>
      </c>
      <c r="O63" s="60" t="s">
        <v>436</v>
      </c>
      <c r="P63" s="38">
        <v>6.9999999999999999E-4</v>
      </c>
      <c r="Q63" s="38">
        <f>P63*N63</f>
        <v>6.9999999999999993E-2</v>
      </c>
      <c r="R63" s="37"/>
      <c r="S63" s="59"/>
      <c r="Y63"/>
      <c r="Z63"/>
      <c r="AA63"/>
    </row>
    <row r="64" spans="1:27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ref="M64" si="50">L64*5</f>
        <v>5</v>
      </c>
      <c r="N64" s="51">
        <v>100</v>
      </c>
      <c r="O64" s="60" t="s">
        <v>436</v>
      </c>
      <c r="P64" s="52">
        <v>1.1999999999999999E-3</v>
      </c>
      <c r="Q64" s="52">
        <f t="shared" ref="Q64" si="51">P64*N64</f>
        <v>0.12</v>
      </c>
      <c r="R64" s="51"/>
      <c r="S64" s="59"/>
      <c r="Y64"/>
      <c r="Z64"/>
      <c r="AA64"/>
    </row>
    <row r="65" spans="1:27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37">
        <f>L65*5</f>
        <v>5</v>
      </c>
      <c r="N65" s="37">
        <v>100</v>
      </c>
      <c r="O65" s="60" t="s">
        <v>436</v>
      </c>
      <c r="P65" s="38">
        <v>2.5000000000000001E-3</v>
      </c>
      <c r="Q65" s="38">
        <f>P65*N65</f>
        <v>0.25</v>
      </c>
      <c r="R65" s="37"/>
      <c r="S65" s="59"/>
      <c r="Y65"/>
      <c r="Z65"/>
      <c r="AA65"/>
    </row>
    <row r="66" spans="1:27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438</v>
      </c>
      <c r="K66" s="51" t="s">
        <v>411</v>
      </c>
      <c r="L66" s="51">
        <v>1</v>
      </c>
      <c r="M66" s="51">
        <f t="shared" ref="M66" si="52">L66*5</f>
        <v>5</v>
      </c>
      <c r="N66" s="51">
        <v>20</v>
      </c>
      <c r="O66" s="60" t="s">
        <v>436</v>
      </c>
      <c r="P66" s="52">
        <v>2.5999999999999999E-2</v>
      </c>
      <c r="Q66" s="52">
        <f t="shared" ref="Q66" si="53">P66*N66</f>
        <v>0.52</v>
      </c>
      <c r="R66" s="51"/>
      <c r="S66" s="59"/>
      <c r="Y66"/>
      <c r="Z66"/>
      <c r="AA66"/>
    </row>
    <row r="67" spans="1:27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451</v>
      </c>
      <c r="J67" s="51" t="s">
        <v>452</v>
      </c>
      <c r="K67" s="51" t="s">
        <v>412</v>
      </c>
      <c r="L67" s="51">
        <v>4</v>
      </c>
      <c r="M67" s="51">
        <f t="shared" ref="M67" si="54">L67*5</f>
        <v>20</v>
      </c>
      <c r="N67" s="51">
        <v>100</v>
      </c>
      <c r="O67" s="60" t="s">
        <v>436</v>
      </c>
      <c r="P67" s="52">
        <v>4.0000000000000002E-4</v>
      </c>
      <c r="Q67" s="52">
        <f t="shared" ref="Q67" si="55">P67*N67</f>
        <v>0.04</v>
      </c>
      <c r="R67" s="51"/>
      <c r="S67" s="59"/>
      <c r="Y67"/>
      <c r="Z67"/>
      <c r="AA67"/>
    </row>
    <row r="68" spans="1:27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37">
        <f>L68*5</f>
        <v>5</v>
      </c>
      <c r="N68" s="37">
        <v>100</v>
      </c>
      <c r="O68" s="60" t="s">
        <v>436</v>
      </c>
      <c r="P68" s="38">
        <v>1.1999999999999999E-3</v>
      </c>
      <c r="Q68" s="38">
        <f>P68*N68</f>
        <v>0.12</v>
      </c>
      <c r="R68" s="37"/>
      <c r="S68" s="59"/>
      <c r="Y68"/>
      <c r="Z68"/>
      <c r="AA68"/>
    </row>
    <row r="69" spans="1:27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ref="M69" si="56">L69*5</f>
        <v>5</v>
      </c>
      <c r="N69" s="51">
        <v>10</v>
      </c>
      <c r="O69" s="60" t="s">
        <v>436</v>
      </c>
      <c r="P69" s="52">
        <v>5.3600000000000002E-2</v>
      </c>
      <c r="Q69" s="52">
        <f t="shared" ref="Q69" si="57">P69*N69</f>
        <v>0.53600000000000003</v>
      </c>
      <c r="R69" s="51"/>
      <c r="S69" s="59"/>
      <c r="Y69"/>
      <c r="Z69"/>
      <c r="AA69"/>
    </row>
    <row r="70" spans="1:27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37">
        <f>L70*5</f>
        <v>10</v>
      </c>
      <c r="N70" s="37">
        <v>100</v>
      </c>
      <c r="O70" s="60" t="s">
        <v>436</v>
      </c>
      <c r="P70" s="38">
        <v>1.1999999999999999E-3</v>
      </c>
      <c r="Q70" s="38">
        <f>P70*N70</f>
        <v>0.12</v>
      </c>
      <c r="R70" s="37"/>
      <c r="S70" s="59"/>
      <c r="Y70"/>
      <c r="Z70"/>
      <c r="AA70"/>
    </row>
    <row r="71" spans="1:27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ref="M71:M72" si="58">L71*5</f>
        <v>5</v>
      </c>
      <c r="N71" s="51">
        <v>100</v>
      </c>
      <c r="O71" s="60" t="s">
        <v>436</v>
      </c>
      <c r="P71" s="52">
        <v>6.9999999999999999E-4</v>
      </c>
      <c r="Q71" s="52">
        <f t="shared" ref="Q71:Q72" si="59">P71*N71</f>
        <v>6.9999999999999993E-2</v>
      </c>
      <c r="R71" s="51"/>
      <c r="S71" s="59"/>
      <c r="Y71"/>
      <c r="Z71"/>
      <c r="AA71"/>
    </row>
    <row r="72" spans="1:27" s="70" customFormat="1" x14ac:dyDescent="0.25">
      <c r="A72" s="69"/>
      <c r="B72" s="47">
        <f t="shared" si="0"/>
        <v>63</v>
      </c>
      <c r="C72" s="54" t="s">
        <v>477</v>
      </c>
      <c r="D72" s="67" t="s">
        <v>488</v>
      </c>
      <c r="E72" s="51" t="s">
        <v>478</v>
      </c>
      <c r="F72" s="51" t="s">
        <v>435</v>
      </c>
      <c r="G72" s="51" t="s">
        <v>479</v>
      </c>
      <c r="H72" s="51" t="s">
        <v>282</v>
      </c>
      <c r="I72" s="51" t="s">
        <v>429</v>
      </c>
      <c r="J72" s="51" t="s">
        <v>480</v>
      </c>
      <c r="K72" s="51" t="s">
        <v>399</v>
      </c>
      <c r="L72" s="51">
        <v>2</v>
      </c>
      <c r="M72" s="51">
        <f t="shared" si="58"/>
        <v>10</v>
      </c>
      <c r="N72" s="51">
        <v>50</v>
      </c>
      <c r="O72" s="60" t="s">
        <v>436</v>
      </c>
      <c r="P72" s="52">
        <v>8.6999999999999994E-3</v>
      </c>
      <c r="Q72" s="52">
        <f t="shared" si="59"/>
        <v>0.43499999999999994</v>
      </c>
      <c r="R72" s="51"/>
      <c r="S72" s="59"/>
      <c r="Y72"/>
      <c r="Z72"/>
      <c r="AA72"/>
    </row>
    <row r="73" spans="1:27" s="70" customFormat="1" x14ac:dyDescent="0.25">
      <c r="A73" s="69"/>
      <c r="B73" s="46">
        <f>ROW(B73) - ROW($B$9)</f>
        <v>64</v>
      </c>
      <c r="C73" s="53" t="s">
        <v>22</v>
      </c>
      <c r="D73" s="64" t="s">
        <v>489</v>
      </c>
      <c r="E73" s="64" t="s">
        <v>156</v>
      </c>
      <c r="F73" s="65" t="s">
        <v>435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64">
        <f>L73*5</f>
        <v>15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440</v>
      </c>
      <c r="S73" s="59"/>
      <c r="Y73"/>
      <c r="Z73"/>
      <c r="AA73"/>
    </row>
    <row r="74" spans="1:27" s="70" customFormat="1" ht="24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435</v>
      </c>
      <c r="G74" s="51" t="s">
        <v>204</v>
      </c>
      <c r="H74" s="51" t="s">
        <v>312</v>
      </c>
      <c r="I74" s="51" t="s">
        <v>429</v>
      </c>
      <c r="J74" s="51" t="s">
        <v>439</v>
      </c>
      <c r="K74" s="51" t="s">
        <v>429</v>
      </c>
      <c r="L74" s="51">
        <v>1</v>
      </c>
      <c r="M74" s="51">
        <f t="shared" ref="M74" si="60">L74*5</f>
        <v>5</v>
      </c>
      <c r="N74" s="51">
        <v>10</v>
      </c>
      <c r="O74" s="60" t="s">
        <v>436</v>
      </c>
      <c r="P74" s="52">
        <v>0.1275</v>
      </c>
      <c r="Q74" s="52">
        <f t="shared" ref="Q74" si="61">P74*N74</f>
        <v>1.2749999999999999</v>
      </c>
      <c r="R74" s="51"/>
      <c r="S74" s="59"/>
      <c r="Y74"/>
      <c r="Z74"/>
      <c r="AA74"/>
    </row>
    <row r="75" spans="1:27" s="70" customFormat="1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37">
        <f>L75*5</f>
        <v>5</v>
      </c>
      <c r="N75" s="37">
        <v>6</v>
      </c>
      <c r="O75" s="60" t="s">
        <v>436</v>
      </c>
      <c r="P75" s="38">
        <v>0.82569999999999999</v>
      </c>
      <c r="Q75" s="38">
        <f>P75*N75</f>
        <v>4.9542000000000002</v>
      </c>
      <c r="R75" s="37"/>
      <c r="S75" s="59"/>
      <c r="Y75"/>
      <c r="Z75"/>
      <c r="AA75"/>
    </row>
    <row r="76" spans="1:27" s="70" customFormat="1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" si="62">L76*5</f>
        <v>5</v>
      </c>
      <c r="N76" s="51">
        <v>6</v>
      </c>
      <c r="O76" s="60" t="s">
        <v>436</v>
      </c>
      <c r="P76" s="52">
        <v>0.70009999999999994</v>
      </c>
      <c r="Q76" s="52">
        <f t="shared" ref="Q76" si="63">P76*N76</f>
        <v>4.2005999999999997</v>
      </c>
      <c r="R76" s="51"/>
      <c r="S76" s="59"/>
      <c r="Y76"/>
      <c r="Z76"/>
      <c r="AA76"/>
    </row>
    <row r="77" spans="1:27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37">
        <f>L77*5</f>
        <v>5</v>
      </c>
      <c r="N77" s="37">
        <v>10</v>
      </c>
      <c r="O77" s="60" t="s">
        <v>436</v>
      </c>
      <c r="P77" s="38">
        <v>0.32279999999999998</v>
      </c>
      <c r="Q77" s="38">
        <f>P77*N77</f>
        <v>3.2279999999999998</v>
      </c>
      <c r="R77" s="37"/>
      <c r="S77" s="59"/>
      <c r="Y77"/>
      <c r="Z77"/>
      <c r="AA77"/>
    </row>
    <row r="78" spans="1:27" s="70" customFormat="1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ref="M78" si="64">L78*5</f>
        <v>5</v>
      </c>
      <c r="N78" s="51">
        <v>6</v>
      </c>
      <c r="O78" s="60" t="s">
        <v>436</v>
      </c>
      <c r="P78" s="52">
        <v>1.3062</v>
      </c>
      <c r="Q78" s="52">
        <f t="shared" ref="Q78" si="65">P78*N78</f>
        <v>7.8372000000000002</v>
      </c>
      <c r="R78" s="51"/>
      <c r="S78" s="59"/>
      <c r="Y78"/>
      <c r="Z78"/>
      <c r="AA78"/>
    </row>
    <row r="79" spans="1:27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37">
        <f>L79*5</f>
        <v>5</v>
      </c>
      <c r="N79" s="37">
        <v>6</v>
      </c>
      <c r="O79" s="60" t="s">
        <v>436</v>
      </c>
      <c r="P79" s="38">
        <v>0.3644</v>
      </c>
      <c r="Q79" s="38">
        <f>P79*N79</f>
        <v>2.1863999999999999</v>
      </c>
      <c r="R79" s="37"/>
      <c r="S79" s="59"/>
      <c r="Y79"/>
      <c r="Z79"/>
      <c r="AA79"/>
    </row>
    <row r="80" spans="1:27" s="70" customFormat="1" ht="30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ref="M80" si="66">L80*5</f>
        <v>5</v>
      </c>
      <c r="N80" s="51">
        <v>6</v>
      </c>
      <c r="O80" s="60" t="s">
        <v>453</v>
      </c>
      <c r="P80" s="52">
        <v>2.5099999999999998</v>
      </c>
      <c r="Q80" s="52">
        <f t="shared" ref="Q80" si="67">P80*N80</f>
        <v>15.059999999999999</v>
      </c>
      <c r="R80" s="51"/>
      <c r="S80" s="59"/>
      <c r="Y80"/>
      <c r="Z80"/>
      <c r="AA80"/>
    </row>
    <row r="81" spans="1:27" s="70" customFormat="1" ht="30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37">
        <f>L81*5</f>
        <v>5</v>
      </c>
      <c r="N81" s="37">
        <v>6</v>
      </c>
      <c r="O81" s="60" t="s">
        <v>453</v>
      </c>
      <c r="P81" s="38">
        <v>3.4329999999999998</v>
      </c>
      <c r="Q81" s="38">
        <f>P81*N81</f>
        <v>20.597999999999999</v>
      </c>
      <c r="R81" s="37"/>
      <c r="S81" s="59"/>
      <c r="Y81"/>
      <c r="Z81"/>
      <c r="AA81"/>
    </row>
    <row r="82" spans="1:27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ref="M82" si="68">L82*5</f>
        <v>5</v>
      </c>
      <c r="N82" s="51">
        <v>6</v>
      </c>
      <c r="O82" s="60" t="s">
        <v>436</v>
      </c>
      <c r="P82" s="52">
        <v>4.6247999999999996</v>
      </c>
      <c r="Q82" s="52">
        <f t="shared" ref="Q82" si="69">P82*N82</f>
        <v>27.748799999999996</v>
      </c>
      <c r="R82" s="51"/>
      <c r="S82" s="59"/>
      <c r="Y82"/>
      <c r="Z82"/>
      <c r="AA82"/>
    </row>
    <row r="83" spans="1:27" s="70" customFormat="1" ht="30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37">
        <f>L83*5</f>
        <v>5</v>
      </c>
      <c r="N83" s="37">
        <v>6</v>
      </c>
      <c r="O83" s="60" t="s">
        <v>453</v>
      </c>
      <c r="P83" s="38">
        <v>7.9</v>
      </c>
      <c r="Q83" s="38">
        <f>P83*N83</f>
        <v>47.400000000000006</v>
      </c>
      <c r="R83" s="63"/>
      <c r="S83" s="59"/>
      <c r="Y83"/>
      <c r="Z83"/>
      <c r="AA83"/>
    </row>
    <row r="84" spans="1:27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ref="M84" si="70">L84*5</f>
        <v>15</v>
      </c>
      <c r="N84" s="51">
        <v>16</v>
      </c>
      <c r="O84" s="60" t="s">
        <v>436</v>
      </c>
      <c r="P84" s="52">
        <v>1.7437</v>
      </c>
      <c r="Q84" s="52">
        <f t="shared" ref="Q84" si="71">P84*N84</f>
        <v>27.8992</v>
      </c>
      <c r="R84" s="51"/>
      <c r="S84" s="59"/>
      <c r="Y84"/>
      <c r="Z84"/>
      <c r="AA84"/>
    </row>
    <row r="85" spans="1:27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37">
        <f>L85*5</f>
        <v>5</v>
      </c>
      <c r="N85" s="37">
        <v>10</v>
      </c>
      <c r="O85" s="60" t="s">
        <v>436</v>
      </c>
      <c r="P85" s="38">
        <v>7.7799999999999994E-2</v>
      </c>
      <c r="Q85" s="38">
        <f>P85*N85</f>
        <v>0.77799999999999991</v>
      </c>
      <c r="R85" s="37"/>
      <c r="S85" s="59"/>
      <c r="Y85"/>
      <c r="Z85"/>
      <c r="AA85"/>
    </row>
    <row r="86" spans="1:27" s="70" customFormat="1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ref="M86" si="72">L86*5</f>
        <v>5</v>
      </c>
      <c r="N86" s="51">
        <v>6</v>
      </c>
      <c r="O86" s="60" t="s">
        <v>436</v>
      </c>
      <c r="P86" s="52">
        <v>0.77800000000000002</v>
      </c>
      <c r="Q86" s="52">
        <f t="shared" ref="Q86" si="73">P86*N86</f>
        <v>4.6680000000000001</v>
      </c>
      <c r="R86" s="51"/>
      <c r="S86" s="59"/>
      <c r="Y86"/>
      <c r="Z86"/>
      <c r="AA86"/>
    </row>
    <row r="87" spans="1:27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37">
        <f>L87*5</f>
        <v>5</v>
      </c>
      <c r="N87" s="37">
        <v>6</v>
      </c>
      <c r="O87" s="60" t="s">
        <v>436</v>
      </c>
      <c r="P87" s="38">
        <v>0.41049999999999998</v>
      </c>
      <c r="Q87" s="38">
        <f>P87*N87</f>
        <v>2.4630000000000001</v>
      </c>
      <c r="R87" s="37"/>
      <c r="S87" s="59"/>
      <c r="Y87"/>
      <c r="Z87"/>
      <c r="AA87"/>
    </row>
    <row r="88" spans="1:27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ref="M88" si="74">L88*5</f>
        <v>5</v>
      </c>
      <c r="N88" s="51">
        <v>6</v>
      </c>
      <c r="O88" s="60" t="s">
        <v>436</v>
      </c>
      <c r="P88" s="52">
        <v>1.1837</v>
      </c>
      <c r="Q88" s="52">
        <f t="shared" ref="Q88" si="75">P88*N88</f>
        <v>7.1021999999999998</v>
      </c>
      <c r="R88" s="51"/>
      <c r="S88" s="59"/>
      <c r="Y88"/>
      <c r="Z88"/>
      <c r="AA88"/>
    </row>
    <row r="89" spans="1:27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37">
        <f>L89*5</f>
        <v>5</v>
      </c>
      <c r="N89" s="37">
        <v>6</v>
      </c>
      <c r="O89" s="60" t="s">
        <v>436</v>
      </c>
      <c r="P89" s="38">
        <v>1.2107000000000001</v>
      </c>
      <c r="Q89" s="38">
        <f>P89*N89</f>
        <v>7.2642000000000007</v>
      </c>
      <c r="R89" s="37"/>
      <c r="S89" s="59"/>
      <c r="Y89"/>
      <c r="Z89"/>
      <c r="AA89"/>
    </row>
    <row r="90" spans="1:27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435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ref="M90" si="76">L90*5</f>
        <v>5</v>
      </c>
      <c r="N90" s="51">
        <v>10</v>
      </c>
      <c r="O90" s="60" t="s">
        <v>436</v>
      </c>
      <c r="P90" s="52">
        <v>0.08</v>
      </c>
      <c r="Q90" s="52">
        <f t="shared" ref="Q90" si="77">P90*N90</f>
        <v>0.8</v>
      </c>
      <c r="R90" s="51"/>
      <c r="S90" s="59"/>
      <c r="Y90"/>
      <c r="Z90"/>
      <c r="AA90"/>
    </row>
    <row r="91" spans="1:27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469</v>
      </c>
      <c r="F91" s="37" t="s">
        <v>470</v>
      </c>
      <c r="G91" s="37" t="s">
        <v>471</v>
      </c>
      <c r="H91" s="37" t="s">
        <v>472</v>
      </c>
      <c r="I91" s="37" t="s">
        <v>429</v>
      </c>
      <c r="J91" s="37" t="s">
        <v>473</v>
      </c>
      <c r="K91" s="37" t="s">
        <v>418</v>
      </c>
      <c r="L91" s="37">
        <v>1</v>
      </c>
      <c r="M91" s="37">
        <f>L91*5</f>
        <v>5</v>
      </c>
      <c r="N91" s="37">
        <v>10</v>
      </c>
      <c r="O91" s="60" t="s">
        <v>436</v>
      </c>
      <c r="P91" s="38">
        <v>0.1065</v>
      </c>
      <c r="Q91" s="38">
        <f>P91*N91</f>
        <v>1.0649999999999999</v>
      </c>
      <c r="R91" s="37"/>
      <c r="S91" s="39"/>
      <c r="Y91"/>
      <c r="Z91"/>
      <c r="AA91"/>
    </row>
    <row r="92" spans="1:27" s="91" customFormat="1" ht="15.75" thickBot="1" x14ac:dyDescent="0.3">
      <c r="A92" s="84"/>
      <c r="B92" s="85">
        <f>ROW(B92) - ROW($B$9)</f>
        <v>83</v>
      </c>
      <c r="C92" s="86" t="s">
        <v>501</v>
      </c>
      <c r="D92" s="87" t="s">
        <v>429</v>
      </c>
      <c r="E92" s="87" t="s">
        <v>505</v>
      </c>
      <c r="F92" s="87" t="s">
        <v>429</v>
      </c>
      <c r="G92" s="87" t="s">
        <v>503</v>
      </c>
      <c r="H92" s="87" t="s">
        <v>502</v>
      </c>
      <c r="I92" s="87" t="s">
        <v>429</v>
      </c>
      <c r="J92" s="87" t="s">
        <v>504</v>
      </c>
      <c r="K92" s="87" t="s">
        <v>429</v>
      </c>
      <c r="L92" s="87">
        <v>1</v>
      </c>
      <c r="M92" s="87">
        <f>L92*5</f>
        <v>5</v>
      </c>
      <c r="N92" s="87">
        <v>5</v>
      </c>
      <c r="O92" s="88" t="s">
        <v>436</v>
      </c>
      <c r="P92" s="89">
        <v>1.1609</v>
      </c>
      <c r="Q92" s="89">
        <f>P92*N92</f>
        <v>5.8045</v>
      </c>
      <c r="R92" s="87"/>
      <c r="S92" s="90"/>
    </row>
    <row r="93" spans="1:27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82" t="s">
        <v>5</v>
      </c>
      <c r="O93" s="83"/>
      <c r="P93" s="83"/>
      <c r="Q93" s="48">
        <f>SUM(Q10:Q92)</f>
        <v>295.81410000000005</v>
      </c>
      <c r="R93" s="78"/>
      <c r="S93" s="79"/>
      <c r="U93" s="70"/>
      <c r="V93" s="70"/>
      <c r="W93" s="70"/>
      <c r="X93" s="70"/>
    </row>
    <row r="94" spans="1:27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82" t="s">
        <v>6</v>
      </c>
      <c r="O94" s="83"/>
      <c r="P94" s="83"/>
      <c r="Q94" s="49">
        <f>Q93/5</f>
        <v>59.162820000000011</v>
      </c>
      <c r="R94" s="80"/>
      <c r="S94" s="81"/>
      <c r="U94" s="70"/>
      <c r="V94" s="70"/>
      <c r="W94" s="70"/>
      <c r="X94" s="70"/>
    </row>
  </sheetData>
  <mergeCells count="5">
    <mergeCell ref="K1:S1"/>
    <mergeCell ref="S3:S8"/>
    <mergeCell ref="R93:S94"/>
    <mergeCell ref="N93:P93"/>
    <mergeCell ref="N94:P94"/>
  </mergeCells>
  <hyperlinks>
    <hyperlink ref="O43" r:id="rId1"/>
    <hyperlink ref="O72" r:id="rId2"/>
    <hyperlink ref="O91" r:id="rId3"/>
    <hyperlink ref="O41" r:id="rId4"/>
    <hyperlink ref="O18" r:id="rId5"/>
    <hyperlink ref="O16" r:id="rId6"/>
    <hyperlink ref="O83" r:id="rId7"/>
    <hyperlink ref="O81" r:id="rId8"/>
    <hyperlink ref="O80" r:id="rId9"/>
    <hyperlink ref="O67" r:id="rId10"/>
    <hyperlink ref="O57" r:id="rId11"/>
    <hyperlink ref="O54" r:id="rId12"/>
    <hyperlink ref="O50" r:id="rId13"/>
    <hyperlink ref="O27" r:id="rId14"/>
    <hyperlink ref="O26" r:id="rId15"/>
    <hyperlink ref="O20" r:id="rId16"/>
    <hyperlink ref="O74" r:id="rId17"/>
    <hyperlink ref="O90" r:id="rId18"/>
    <hyperlink ref="O89" r:id="rId19"/>
    <hyperlink ref="O88" r:id="rId20"/>
    <hyperlink ref="O87" r:id="rId21"/>
    <hyperlink ref="O86" r:id="rId22"/>
    <hyperlink ref="O85" r:id="rId23"/>
    <hyperlink ref="O84" r:id="rId24"/>
    <hyperlink ref="O82" r:id="rId25"/>
    <hyperlink ref="O79" r:id="rId26"/>
    <hyperlink ref="O78" r:id="rId27"/>
    <hyperlink ref="O77" r:id="rId28"/>
    <hyperlink ref="O76" r:id="rId29"/>
    <hyperlink ref="O75" r:id="rId30"/>
    <hyperlink ref="O71" r:id="rId31"/>
    <hyperlink ref="O70" r:id="rId32"/>
    <hyperlink ref="O69" r:id="rId33"/>
    <hyperlink ref="O68" r:id="rId34"/>
    <hyperlink ref="O61" r:id="rId35"/>
    <hyperlink ref="O66" r:id="rId36"/>
    <hyperlink ref="O65" r:id="rId37"/>
    <hyperlink ref="O64" r:id="rId38"/>
    <hyperlink ref="O63" r:id="rId39"/>
    <hyperlink ref="O60" r:id="rId40"/>
    <hyperlink ref="O59" r:id="rId41"/>
    <hyperlink ref="O58" r:id="rId42"/>
    <hyperlink ref="O56" r:id="rId43"/>
    <hyperlink ref="O55" r:id="rId44"/>
    <hyperlink ref="O53" r:id="rId45"/>
    <hyperlink ref="O52" r:id="rId46"/>
    <hyperlink ref="O51" r:id="rId47"/>
    <hyperlink ref="O49" r:id="rId48"/>
    <hyperlink ref="O47" r:id="rId49"/>
    <hyperlink ref="O46" r:id="rId50"/>
    <hyperlink ref="O45" r:id="rId51"/>
    <hyperlink ref="O44" r:id="rId52"/>
    <hyperlink ref="O42" r:id="rId53"/>
    <hyperlink ref="O40" r:id="rId54"/>
    <hyperlink ref="O38" r:id="rId55"/>
    <hyperlink ref="O37" r:id="rId56"/>
    <hyperlink ref="O36" r:id="rId57"/>
    <hyperlink ref="O35" r:id="rId58"/>
    <hyperlink ref="O34" r:id="rId59"/>
    <hyperlink ref="O33" r:id="rId60"/>
    <hyperlink ref="O32" r:id="rId61"/>
    <hyperlink ref="O31" r:id="rId62"/>
    <hyperlink ref="O30" r:id="rId63"/>
    <hyperlink ref="O29" r:id="rId64"/>
    <hyperlink ref="O28" r:id="rId65"/>
    <hyperlink ref="O25" r:id="rId66"/>
    <hyperlink ref="O24" r:id="rId67"/>
    <hyperlink ref="O23" r:id="rId68"/>
    <hyperlink ref="O21" r:id="rId69"/>
    <hyperlink ref="O22" r:id="rId70"/>
    <hyperlink ref="O19" r:id="rId71"/>
    <hyperlink ref="O17" r:id="rId72"/>
    <hyperlink ref="O14" r:id="rId73"/>
    <hyperlink ref="O13" r:id="rId74"/>
    <hyperlink ref="O12" r:id="rId75"/>
    <hyperlink ref="O11" r:id="rId76"/>
    <hyperlink ref="O15" r:id="rId77"/>
    <hyperlink ref="O39" r:id="rId78"/>
    <hyperlink ref="O62" r:id="rId79"/>
    <hyperlink ref="O92" r:id="rId80"/>
  </hyperlinks>
  <pageMargins left="0.7" right="0.7" top="0.75" bottom="0.75" header="0.3" footer="0.3"/>
  <pageSetup paperSize="9" orientation="portrait" r:id="rId81"/>
  <drawing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2023-07-25T11:36:14Z</dcterms:modified>
</cp:coreProperties>
</file>