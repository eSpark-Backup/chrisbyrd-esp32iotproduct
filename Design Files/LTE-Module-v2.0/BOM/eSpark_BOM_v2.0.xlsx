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25" i="1" l="1"/>
  <c r="Q42" i="1" l="1"/>
  <c r="M42" i="1" l="1"/>
  <c r="B42" i="1"/>
  <c r="B43" i="1"/>
  <c r="Q41" i="1" l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Q44" i="1" s="1"/>
  <c r="M11" i="1"/>
  <c r="M10" i="1"/>
  <c r="B11" i="1"/>
  <c r="B10" i="1"/>
  <c r="Q45" i="1" l="1"/>
</calcChain>
</file>

<file path=xl/sharedStrings.xml><?xml version="1.0" encoding="utf-8"?>
<sst xmlns="http://schemas.openxmlformats.org/spreadsheetml/2006/main" count="366" uniqueCount="228">
  <si>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</si>
  <si>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</si>
  <si>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</si>
  <si>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</si>
  <si>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</si>
  <si>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</si>
  <si>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</si>
  <si>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</si>
  <si>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</si>
  <si>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</si>
  <si>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</si>
  <si>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</si>
  <si>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</si>
  <si>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</si>
  <si>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</si>
  <si>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</si>
  <si>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</si>
  <si>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</si>
  <si>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</si>
  <si>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</si>
  <si>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</si>
  <si>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</si>
  <si>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</si>
  <si>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</si>
  <si>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</si>
  <si>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</si>
  <si>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C3, C4, C5, C11, C13, C15, C16, C17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</si>
  <si>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</si>
  <si>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</si>
  <si>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</si>
  <si>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</si>
  <si>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</si>
  <si>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</si>
  <si>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</si>
  <si>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</si>
  <si>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</si>
  <si>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</si>
  <si>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</si>
  <si>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</si>
  <si>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</si>
  <si>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</si>
  <si>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</si>
  <si>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</si>
  <si>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</si>
  <si>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</si>
  <si>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</si>
  <si>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</si>
  <si>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</si>
  <si>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</si>
  <si>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</si>
  <si>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</si>
  <si>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</si>
  <si>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</si>
  <si>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</si>
  <si>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</si>
  <si>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</si>
  <si>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</si>
  <si>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</si>
  <si>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</si>
  <si>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</si>
  <si>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</si>
  <si>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</si>
  <si>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</si>
  <si>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</si>
  <si>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</si>
  <si>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</si>
  <si>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</si>
  <si>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</si>
  <si>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</si>
  <si>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</si>
  <si>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</si>
  <si>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</si>
  <si>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</si>
  <si>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</si>
  <si>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</si>
  <si>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</si>
  <si>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</si>
  <si>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</si>
  <si>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</si>
  <si>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</si>
  <si>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</si>
  <si>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</si>
  <si>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</si>
  <si>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</si>
  <si>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</si>
  <si>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</si>
  <si>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</si>
  <si>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</si>
  <si>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</si>
  <si>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</si>
  <si>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</si>
  <si>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</si>
  <si>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</si>
  <si>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</si>
  <si>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</si>
  <si>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</si>
  <si>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</si>
  <si>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</si>
  <si>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</si>
  <si>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</si>
  <si>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</si>
  <si>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</si>
  <si>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</si>
  <si>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</si>
  <si>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</si>
  <si>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</si>
  <si>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</si>
  <si>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</si>
  <si>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</si>
  <si>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</si>
  <si>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</si>
  <si>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</si>
  <si>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</si>
  <si>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</si>
  <si>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</si>
  <si>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</si>
  <si>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</si>
  <si>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</si>
  <si>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</si>
  <si>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</si>
  <si>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</si>
  <si>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</si>
  <si>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</si>
  <si>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</si>
  <si>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</si>
  <si>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</si>
  <si>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</si>
  <si>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</si>
  <si>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</si>
  <si>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</si>
  <si>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</si>
  <si>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</si>
  <si>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</si>
  <si>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</si>
  <si>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</si>
  <si>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</si>
  <si>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</si>
  <si>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</si>
  <si>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</si>
  <si>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</si>
  <si>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</si>
  <si>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</si>
  <si>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</si>
  <si>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</si>
  <si>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</si>
  <si>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</si>
  <si>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</si>
  <si>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</si>
  <si>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</si>
  <si>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</si>
  <si>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</si>
  <si>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LCSC Part Number</t>
  </si>
  <si>
    <t>C59526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</si>
  <si>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</si>
  <si>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</si>
  <si>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</si>
  <si>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</si>
  <si>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</si>
  <si>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</si>
  <si>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</si>
  <si>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</si>
  <si>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C395081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</si>
  <si>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</si>
  <si>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</si>
  <si>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</si>
  <si>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</si>
  <si>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</si>
  <si>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</si>
  <si>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</si>
  <si>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</si>
  <si>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</si>
  <si>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</si>
  <si>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</si>
  <si>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</si>
  <si>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</si>
  <si>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</si>
  <si>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</si>
  <si>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</si>
  <si>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</si>
  <si>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</si>
  <si>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</si>
  <si>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</si>
  <si>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</si>
  <si>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</si>
  <si>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</si>
  <si>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</si>
  <si>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</si>
  <si>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</si>
  <si>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</si>
  <si>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</si>
  <si>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</si>
  <si>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</si>
  <si>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</si>
  <si>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</si>
  <si>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</si>
  <si>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</si>
  <si>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</si>
  <si>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</si>
  <si>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</si>
  <si>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</si>
  <si>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</si>
  <si>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</si>
  <si>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</si>
  <si>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</si>
  <si>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</si>
  <si>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</si>
  <si>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</si>
  <si>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</si>
  <si>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</si>
  <si>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</si>
  <si>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>Digikey</t>
  </si>
  <si>
    <t xml:space="preserve">Not Available in LCSC </t>
  </si>
  <si>
    <t>Peripheral</t>
  </si>
  <si>
    <t xml:space="preserve">SMA Male Antenna </t>
  </si>
  <si>
    <t>Aliexpress</t>
  </si>
  <si>
    <t>LTE_MODULE_v2.0</t>
  </si>
  <si>
    <t>JLCPCB</t>
  </si>
  <si>
    <t>1 Inner bore SMA Board Edge Bend -55℃~+155℃ 50Ω Plugin RF Connectors / Coaxial Connectors ROHS</t>
  </si>
  <si>
    <t>HJ-SMA508</t>
  </si>
  <si>
    <t>HJ Tech</t>
  </si>
  <si>
    <t>C1509209</t>
  </si>
  <si>
    <t>R12, R15, R16, R19, R20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</si>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</sst>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RC0603JR-0747KL_C127447.html" TargetMode="External"/><Relationship Id="rId26" Type="http://schemas.openxmlformats.org/officeDocument/2006/relationships/hyperlink" Target="https://www.digikey.com/en/products/detail/synzen/SZC-C-1G18/16584378?s=N4IgTCBcDaIMoC0DCBaVBGA4ugHCAugL5A" TargetMode="External"/><Relationship Id="rId3" Type="http://schemas.openxmlformats.org/officeDocument/2006/relationships/hyperlink" Target="https://www.lcsc.com/product-detail/Multilayer-Ceramic-Capacitors-MLCC-SMD-SMT_YAGEO-CC0402JRNPO9BN220_C106203.html" TargetMode="External"/><Relationship Id="rId21" Type="http://schemas.openxmlformats.org/officeDocument/2006/relationships/hyperlink" Target="https://www.lcsc.com/product-detail/ESD-Protection-Devices_ElecSuper-SMF05CT1G-ES_C5180312.html" TargetMode="External"/><Relationship Id="rId7" Type="http://schemas.openxmlformats.org/officeDocument/2006/relationships/hyperlink" Target="https://www.lcsc.com/product-detail/TVS_WILLSEMI-Will-Semicon-ESD5302F-3-TR_C239643.html" TargetMode="External"/><Relationship Id="rId12" Type="http://schemas.openxmlformats.org/officeDocument/2006/relationships/hyperlink" Target="https://www.lcsc.com/product-detail/Light-Emitting-Diodes-LED_Everlight-Elec-19-21-R7C-AK1L2BY-3T_C1322287.html" TargetMode="External"/><Relationship Id="rId17" Type="http://schemas.openxmlformats.org/officeDocument/2006/relationships/hyperlink" Target="https://www.lcsc.com/product-detail/Chip-Resistor-Surface-Mount_YAGEO-RC0603JR-074K7L_C105428.html" TargetMode="External"/><Relationship Id="rId25" Type="http://schemas.openxmlformats.org/officeDocument/2006/relationships/hyperlink" Target="https://www.lcsc.com/product-detail/Zener-Diodes_onsemi-SZMMSZ5231BT1G_C231290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Chip-Resistor-Surface-Mount_YAGEO-RC0603FR-07180RL_C137786.html" TargetMode="External"/><Relationship Id="rId20" Type="http://schemas.openxmlformats.org/officeDocument/2006/relationships/hyperlink" Target="https://www.lcsc.com/product-detail/Analog-Switches-Multiplexers_onsemi-FSA2567MPX_C512961.html" TargetMode="External"/><Relationship Id="rId29" Type="http://schemas.openxmlformats.org/officeDocument/2006/relationships/hyperlink" Target="https://jlcpcb.com/partdetail/SIMCom_WirelessSolutions-SIM7500E/C126259" TargetMode="External"/><Relationship Id="rId1" Type="http://schemas.openxmlformats.org/officeDocument/2006/relationships/hyperlink" Target="https://www.lcsc.com/product-detail/Multilayer-Ceramic-Capacitors-MLCC-SMD-SMT_FH-Guangdong-Fenghua-Advanced-Tech-0603CG4R3C500NT_C59526.html" TargetMode="External"/><Relationship Id="rId6" Type="http://schemas.openxmlformats.org/officeDocument/2006/relationships/hyperlink" Target="https://www.lcsc.com/product-detail/ESD-Protection-Devices_Nexperia-PESD5V0H1BSF_C477989.html" TargetMode="External"/><Relationship Id="rId11" Type="http://schemas.openxmlformats.org/officeDocument/2006/relationships/hyperlink" Target="https://www.lcsc.com/product-detail/Light-Emitting-Diodes-LED_Everlight-Elec-19-21-G6C-FM1N2B-3T_C93689.html" TargetMode="External"/><Relationship Id="rId24" Type="http://schemas.openxmlformats.org/officeDocument/2006/relationships/hyperlink" Target="https://www.lcsc.com/product-detail/Multilayer-Ceramic-Capacitors-MLCC-SMD-SMT_YAGEO-CC0603KRX7R9BB104_C1466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TVS_WILLSEMI-Will-Semicon-ESD5651N-2-TR_C239784.html" TargetMode="External"/><Relationship Id="rId15" Type="http://schemas.openxmlformats.org/officeDocument/2006/relationships/hyperlink" Target="https://www.lcsc.com/product-detail/Chip-Resistor-Surface-Mount_YAGEO-RC0603FR-0722RL_C107701.html" TargetMode="External"/><Relationship Id="rId23" Type="http://schemas.openxmlformats.org/officeDocument/2006/relationships/hyperlink" Target="https://www.lcsc.com/product-detail/Multilayer-Ceramic-Capacitors-MLCC-SMD-SMT_Walsin-Tech-Corp-0402N330J250CT_C458864.html" TargetMode="External"/><Relationship Id="rId28" Type="http://schemas.openxmlformats.org/officeDocument/2006/relationships/hyperlink" Target="https://www.digikey.com/en/products/detail/hologram-inc/SIM-ST-MFF2/9489898?s=N4IgTCBcDaIMoEkCyBaOAVFSBi2IF0BfIA" TargetMode="External"/><Relationship Id="rId10" Type="http://schemas.openxmlformats.org/officeDocument/2006/relationships/hyperlink" Target="https://www.lcsc.com/product-detail/Inductors-SMD_FH-Guangdong-Fenghua-Advanced-Tech-VHF160808H2N0ST_C395081.html" TargetMode="External"/><Relationship Id="rId19" Type="http://schemas.openxmlformats.org/officeDocument/2006/relationships/hyperlink" Target="https://www.lcsc.com/product-detail/Chip-Resistor-Surface-Mount_YAGEO-AC0603JR-0710KL_C140867.html" TargetMode="External"/><Relationship Id="rId31" Type="http://schemas.openxmlformats.org/officeDocument/2006/relationships/hyperlink" Target="https://www.lcsc.com/product-detail/Tantalum-Capacitors_Kyocera-AVX-TLJB227M006R0500_C30242.html" TargetMode="External"/><Relationship Id="rId4" Type="http://schemas.openxmlformats.org/officeDocument/2006/relationships/hyperlink" Target="https://www.lcsc.com/product-detail/Multilayer-Ceramic-Capacitors-MLCC-SMD-SMT_TDK-C1005X7R1H104KT000F_C361198.html" TargetMode="External"/><Relationship Id="rId9" Type="http://schemas.openxmlformats.org/officeDocument/2006/relationships/hyperlink" Target="https://www.lcsc.com/product-detail/SIM-Card-Connectors_XKB-Connectivity-XKNANO-113_C381071.html" TargetMode="External"/><Relationship Id="rId14" Type="http://schemas.openxmlformats.org/officeDocument/2006/relationships/hyperlink" Target="https://www.lcsc.com/product-detail/Chip-Resistor-Surface-Mount_YAGEO-RC0603FR-070RL_C100044.html" TargetMode="External"/><Relationship Id="rId22" Type="http://schemas.openxmlformats.org/officeDocument/2006/relationships/hyperlink" Target="https://www.lcsc.com/product-detail/Translators-Level-Shifters_Texas-Instruments-TXB0102DCUT_C2677366.html" TargetMode="External"/><Relationship Id="rId27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30" Type="http://schemas.openxmlformats.org/officeDocument/2006/relationships/hyperlink" Target="https://www.lcsc.com/product-detail/RF-Connectors-Coaxial-Connectors_HJ-Tech-HJ-SMA508_C1509209.html" TargetMode="External"/><Relationship Id="rId8" Type="http://schemas.openxmlformats.org/officeDocument/2006/relationships/hyperlink" Target="https://www.lcsc.com/product-detail/Resettable-Fuses_TECHFUSE-SMD0603-050_C6967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5"/>
  <sheetViews>
    <sheetView tabSelected="1" topLeftCell="A31" workbookViewId="0">
      <selection activeCell="F2" sqref="F2:F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227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215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215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22</v>
      </c>
      <c r="E9" s="30" t="s">
        <v>54</v>
      </c>
      <c r="F9" s="30" t="s">
        <v>85</v>
      </c>
      <c r="G9" s="30" t="s">
        <v>104</v>
      </c>
      <c r="H9" s="30" t="s">
        <v>132</v>
      </c>
      <c r="I9" s="30" t="s">
        <v>191</v>
      </c>
      <c r="J9" s="30" t="s">
        <v>151</v>
      </c>
      <c r="K9" s="30" t="s">
        <v>192</v>
      </c>
      <c r="L9" s="30" t="s">
        <v>190</v>
      </c>
      <c r="M9" s="30" t="s">
        <v>193</v>
      </c>
      <c r="N9" s="30" t="s">
        <v>194</v>
      </c>
      <c r="O9" s="30" t="s">
        <v>195</v>
      </c>
      <c r="P9" s="30" t="s">
        <v>196</v>
      </c>
      <c r="Q9" s="30" t="s">
        <v>197</v>
      </c>
      <c r="R9" s="30" t="s">
        <v>198</v>
      </c>
      <c r="S9" s="30" t="s">
        <v>199</v>
      </c>
    </row>
    <row r="10" spans="1:19" ht="36" x14ac:dyDescent="0.25">
      <c r="A10" s="1"/>
      <c r="B10" s="46">
        <f>ROW(B10) - ROW($B$9)</f>
        <v>1</v>
      </c>
      <c r="C10" s="53" t="s">
        <v>9</v>
      </c>
      <c r="D10" s="37" t="s">
        <v>23</v>
      </c>
      <c r="E10" s="37" t="s">
        <v>55</v>
      </c>
      <c r="F10" s="37" t="s">
        <v>200</v>
      </c>
      <c r="G10" s="37" t="s">
        <v>105</v>
      </c>
      <c r="H10" s="37" t="s">
        <v>133</v>
      </c>
      <c r="I10" s="37" t="s">
        <v>201</v>
      </c>
      <c r="J10" s="37" t="s">
        <v>201</v>
      </c>
      <c r="K10" s="37" t="s">
        <v>175</v>
      </c>
      <c r="L10" s="37">
        <v>1</v>
      </c>
      <c r="M10" s="37">
        <f>L10*5</f>
        <v>5</v>
      </c>
      <c r="N10" s="37">
        <v>6</v>
      </c>
      <c r="O10" s="61" t="s">
        <v>210</v>
      </c>
      <c r="P10" s="38">
        <v>0.45</v>
      </c>
      <c r="Q10" s="38">
        <f>P10*N10</f>
        <v>2.7</v>
      </c>
      <c r="R10" s="63" t="s">
        <v>211</v>
      </c>
      <c r="S10" s="50"/>
    </row>
    <row r="11" spans="1:19" ht="36" x14ac:dyDescent="0.25">
      <c r="A11" s="1"/>
      <c r="B11" s="47">
        <f t="shared" ref="B11:B43" si="0">ROW(B11) - ROW($B$9)</f>
        <v>2</v>
      </c>
      <c r="C11" s="54" t="s">
        <v>10</v>
      </c>
      <c r="D11" s="51" t="s">
        <v>24</v>
      </c>
      <c r="E11" s="51" t="s">
        <v>56</v>
      </c>
      <c r="F11" s="51" t="s">
        <v>86</v>
      </c>
      <c r="G11" s="51" t="s">
        <v>106</v>
      </c>
      <c r="H11" s="51" t="s">
        <v>134</v>
      </c>
      <c r="I11" s="51" t="s">
        <v>201</v>
      </c>
      <c r="J11" s="51" t="s">
        <v>152</v>
      </c>
      <c r="K11" s="51" t="s">
        <v>176</v>
      </c>
      <c r="L11" s="51">
        <v>1</v>
      </c>
      <c r="M11" s="51">
        <f t="shared" ref="M11" si="1">L11*5</f>
        <v>5</v>
      </c>
      <c r="N11" s="51">
        <v>100</v>
      </c>
      <c r="O11" s="60" t="s">
        <v>202</v>
      </c>
      <c r="P11" s="52">
        <v>2.8999999999999998E-3</v>
      </c>
      <c r="Q11" s="52">
        <f t="shared" ref="Q11" si="2">P11*N11</f>
        <v>0.28999999999999998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10</v>
      </c>
      <c r="D12" s="37" t="s">
        <v>25</v>
      </c>
      <c r="E12" s="37" t="s">
        <v>57</v>
      </c>
      <c r="F12" s="37" t="s">
        <v>87</v>
      </c>
      <c r="G12" s="62" t="s">
        <v>107</v>
      </c>
      <c r="H12" s="37" t="s">
        <v>135</v>
      </c>
      <c r="I12" s="37" t="s">
        <v>203</v>
      </c>
      <c r="J12" s="37" t="s">
        <v>204</v>
      </c>
      <c r="K12" s="37" t="s">
        <v>177</v>
      </c>
      <c r="L12" s="37">
        <v>1</v>
      </c>
      <c r="M12" s="37">
        <f>L12*5</f>
        <v>5</v>
      </c>
      <c r="N12" s="37">
        <v>100</v>
      </c>
      <c r="O12" s="61" t="s">
        <v>202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10</v>
      </c>
      <c r="D13" s="51" t="s">
        <v>26</v>
      </c>
      <c r="E13" s="51" t="s">
        <v>58</v>
      </c>
      <c r="F13" s="51" t="s">
        <v>86</v>
      </c>
      <c r="G13" s="62" t="s">
        <v>108</v>
      </c>
      <c r="H13" s="51" t="s">
        <v>136</v>
      </c>
      <c r="I13" s="51" t="s">
        <v>205</v>
      </c>
      <c r="J13" s="51" t="s">
        <v>206</v>
      </c>
      <c r="K13" s="51" t="s">
        <v>178</v>
      </c>
      <c r="L13" s="51">
        <v>8</v>
      </c>
      <c r="M13" s="51">
        <f t="shared" ref="M13" si="3">L13*5</f>
        <v>40</v>
      </c>
      <c r="N13" s="51">
        <v>100</v>
      </c>
      <c r="O13" s="60" t="s">
        <v>202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27</v>
      </c>
      <c r="E14" s="37" t="s">
        <v>222</v>
      </c>
      <c r="F14" s="37" t="s">
        <v>223</v>
      </c>
      <c r="G14" s="37" t="s">
        <v>224</v>
      </c>
      <c r="H14" s="37" t="s">
        <v>225</v>
      </c>
      <c r="I14" s="37" t="s">
        <v>201</v>
      </c>
      <c r="J14" s="37" t="s">
        <v>226</v>
      </c>
      <c r="K14" s="37" t="s">
        <v>179</v>
      </c>
      <c r="L14" s="37">
        <v>1</v>
      </c>
      <c r="M14" s="37">
        <f>L14*5</f>
        <v>5</v>
      </c>
      <c r="N14" s="37">
        <v>10</v>
      </c>
      <c r="O14" s="61" t="s">
        <v>202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10</v>
      </c>
      <c r="D15" s="51" t="s">
        <v>28</v>
      </c>
      <c r="E15" s="51" t="s">
        <v>59</v>
      </c>
      <c r="F15" s="51" t="s">
        <v>86</v>
      </c>
      <c r="G15" s="51" t="s">
        <v>109</v>
      </c>
      <c r="H15" s="51" t="s">
        <v>136</v>
      </c>
      <c r="I15" s="51" t="s">
        <v>201</v>
      </c>
      <c r="J15" s="51" t="s">
        <v>153</v>
      </c>
      <c r="K15" s="51" t="s">
        <v>180</v>
      </c>
      <c r="L15" s="51">
        <v>1</v>
      </c>
      <c r="M15" s="51">
        <f t="shared" ref="M15" si="5">L15*5</f>
        <v>5</v>
      </c>
      <c r="N15" s="51">
        <v>100</v>
      </c>
      <c r="O15" s="60" t="s">
        <v>202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29</v>
      </c>
      <c r="E16" s="37" t="s">
        <v>60</v>
      </c>
      <c r="F16" s="37" t="s">
        <v>87</v>
      </c>
      <c r="G16" s="37" t="s">
        <v>110</v>
      </c>
      <c r="H16" s="37" t="s">
        <v>136</v>
      </c>
      <c r="I16" s="37" t="s">
        <v>201</v>
      </c>
      <c r="J16" s="37" t="s">
        <v>154</v>
      </c>
      <c r="K16" s="37" t="s">
        <v>181</v>
      </c>
      <c r="L16" s="37">
        <v>3</v>
      </c>
      <c r="M16" s="37">
        <f>L16*5</f>
        <v>15</v>
      </c>
      <c r="N16" s="37">
        <v>100</v>
      </c>
      <c r="O16" s="61" t="s">
        <v>202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30</v>
      </c>
      <c r="E17" s="51" t="s">
        <v>61</v>
      </c>
      <c r="F17" s="51" t="s">
        <v>88</v>
      </c>
      <c r="G17" s="51" t="s">
        <v>111</v>
      </c>
      <c r="H17" s="51" t="s">
        <v>137</v>
      </c>
      <c r="I17" s="51" t="s">
        <v>201</v>
      </c>
      <c r="J17" s="51" t="s">
        <v>155</v>
      </c>
      <c r="K17" s="51" t="s">
        <v>182</v>
      </c>
      <c r="L17" s="51">
        <v>2</v>
      </c>
      <c r="M17" s="51">
        <f t="shared" ref="M17" si="7">L17*5</f>
        <v>10</v>
      </c>
      <c r="N17" s="51">
        <v>50</v>
      </c>
      <c r="O17" s="61" t="s">
        <v>202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11</v>
      </c>
      <c r="D18" s="37" t="s">
        <v>31</v>
      </c>
      <c r="E18" s="37" t="s">
        <v>62</v>
      </c>
      <c r="F18" s="37" t="s">
        <v>89</v>
      </c>
      <c r="G18" s="62" t="s">
        <v>112</v>
      </c>
      <c r="H18" s="37" t="s">
        <v>138</v>
      </c>
      <c r="I18" s="37" t="s">
        <v>207</v>
      </c>
      <c r="J18" s="37" t="s">
        <v>208</v>
      </c>
      <c r="K18" s="37" t="s">
        <v>201</v>
      </c>
      <c r="L18" s="37">
        <v>1</v>
      </c>
      <c r="M18" s="37">
        <f>L18*5</f>
        <v>5</v>
      </c>
      <c r="N18" s="37">
        <v>10</v>
      </c>
      <c r="O18" s="61" t="s">
        <v>202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11</v>
      </c>
      <c r="D19" s="51" t="s">
        <v>32</v>
      </c>
      <c r="E19" s="51" t="s">
        <v>63</v>
      </c>
      <c r="F19" s="51" t="s">
        <v>90</v>
      </c>
      <c r="G19" s="51" t="s">
        <v>113</v>
      </c>
      <c r="H19" s="51" t="s">
        <v>139</v>
      </c>
      <c r="I19" s="51" t="s">
        <v>201</v>
      </c>
      <c r="J19" s="51" t="s">
        <v>156</v>
      </c>
      <c r="K19" s="51" t="s">
        <v>201</v>
      </c>
      <c r="L19" s="51">
        <v>2</v>
      </c>
      <c r="M19" s="51">
        <f t="shared" ref="M19" si="9">L19*5</f>
        <v>10</v>
      </c>
      <c r="N19" s="51">
        <v>20</v>
      </c>
      <c r="O19" s="61" t="s">
        <v>202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11</v>
      </c>
      <c r="D20" s="37" t="s">
        <v>33</v>
      </c>
      <c r="E20" s="37" t="s">
        <v>64</v>
      </c>
      <c r="F20" s="37" t="s">
        <v>91</v>
      </c>
      <c r="G20" s="37" t="s">
        <v>114</v>
      </c>
      <c r="H20" s="37" t="s">
        <v>140</v>
      </c>
      <c r="I20" s="37" t="s">
        <v>201</v>
      </c>
      <c r="J20" s="37" t="s">
        <v>157</v>
      </c>
      <c r="K20" s="37" t="s">
        <v>201</v>
      </c>
      <c r="L20" s="37">
        <v>1</v>
      </c>
      <c r="M20" s="37">
        <f>L20*5</f>
        <v>5</v>
      </c>
      <c r="N20" s="37">
        <v>10</v>
      </c>
      <c r="O20" s="61" t="s">
        <v>202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11</v>
      </c>
      <c r="D21" s="51" t="s">
        <v>34</v>
      </c>
      <c r="E21" s="51" t="s">
        <v>65</v>
      </c>
      <c r="F21" s="51" t="s">
        <v>92</v>
      </c>
      <c r="G21" s="51" t="s">
        <v>115</v>
      </c>
      <c r="H21" s="51" t="s">
        <v>141</v>
      </c>
      <c r="I21" s="51" t="s">
        <v>201</v>
      </c>
      <c r="J21" s="51" t="s">
        <v>158</v>
      </c>
      <c r="K21" s="51" t="s">
        <v>201</v>
      </c>
      <c r="L21" s="51">
        <v>1</v>
      </c>
      <c r="M21" s="51">
        <f t="shared" ref="M21" si="11">L21*5</f>
        <v>5</v>
      </c>
      <c r="N21" s="51">
        <v>10</v>
      </c>
      <c r="O21" s="61" t="s">
        <v>202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12</v>
      </c>
      <c r="D22" s="37" t="s">
        <v>35</v>
      </c>
      <c r="E22" s="37" t="s">
        <v>66</v>
      </c>
      <c r="F22" s="37" t="s">
        <v>93</v>
      </c>
      <c r="G22" s="37" t="s">
        <v>116</v>
      </c>
      <c r="H22" s="37" t="s">
        <v>142</v>
      </c>
      <c r="I22" s="37" t="s">
        <v>201</v>
      </c>
      <c r="J22" s="37" t="s">
        <v>159</v>
      </c>
      <c r="K22" s="37" t="s">
        <v>201</v>
      </c>
      <c r="L22" s="37">
        <v>1</v>
      </c>
      <c r="M22" s="37">
        <f>L22*5</f>
        <v>5</v>
      </c>
      <c r="N22" s="37">
        <v>10</v>
      </c>
      <c r="O22" s="61" t="s">
        <v>202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13</v>
      </c>
      <c r="D23" s="51" t="s">
        <v>36</v>
      </c>
      <c r="E23" s="51" t="s">
        <v>217</v>
      </c>
      <c r="F23" s="51" t="s">
        <v>200</v>
      </c>
      <c r="G23" s="51" t="s">
        <v>218</v>
      </c>
      <c r="H23" s="51" t="s">
        <v>219</v>
      </c>
      <c r="I23" s="51" t="s">
        <v>201</v>
      </c>
      <c r="J23" s="51" t="s">
        <v>220</v>
      </c>
      <c r="K23" s="51" t="s">
        <v>201</v>
      </c>
      <c r="L23" s="51">
        <v>1</v>
      </c>
      <c r="M23" s="51">
        <f t="shared" ref="M23" si="13">L23*5</f>
        <v>5</v>
      </c>
      <c r="N23" s="51">
        <v>6</v>
      </c>
      <c r="O23" s="61" t="s">
        <v>202</v>
      </c>
      <c r="P23" s="52">
        <v>0.8306</v>
      </c>
      <c r="Q23" s="52">
        <f t="shared" ref="Q23" si="14">P23*N23</f>
        <v>4.9836</v>
      </c>
      <c r="R23" s="63"/>
      <c r="S23" s="59"/>
    </row>
    <row r="24" spans="1:19" x14ac:dyDescent="0.25">
      <c r="A24" s="1"/>
      <c r="B24" s="46">
        <f>ROW(B24) - ROW($B$9)</f>
        <v>15</v>
      </c>
      <c r="C24" s="53" t="s">
        <v>209</v>
      </c>
      <c r="D24" s="62" t="s">
        <v>37</v>
      </c>
      <c r="E24" s="62" t="s">
        <v>67</v>
      </c>
      <c r="F24" s="62" t="s">
        <v>200</v>
      </c>
      <c r="G24" s="62" t="s">
        <v>201</v>
      </c>
      <c r="H24" s="62" t="s">
        <v>201</v>
      </c>
      <c r="I24" s="62" t="s">
        <v>201</v>
      </c>
      <c r="J24" s="62" t="s">
        <v>201</v>
      </c>
      <c r="K24" s="62" t="s">
        <v>201</v>
      </c>
      <c r="L24" s="62">
        <v>1</v>
      </c>
      <c r="M24" s="62">
        <f>L24*5</f>
        <v>5</v>
      </c>
      <c r="N24" s="62" t="s">
        <v>201</v>
      </c>
      <c r="O24" s="62" t="s">
        <v>201</v>
      </c>
      <c r="P24" s="62" t="s">
        <v>201</v>
      </c>
      <c r="Q24" s="62" t="s">
        <v>201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14</v>
      </c>
      <c r="D25" s="64" t="s">
        <v>38</v>
      </c>
      <c r="E25" s="64" t="s">
        <v>68</v>
      </c>
      <c r="F25" s="64" t="s">
        <v>200</v>
      </c>
      <c r="G25" s="64" t="s">
        <v>117</v>
      </c>
      <c r="H25" s="62" t="s">
        <v>201</v>
      </c>
      <c r="I25" s="62" t="s">
        <v>201</v>
      </c>
      <c r="J25" s="62" t="s">
        <v>201</v>
      </c>
      <c r="K25" s="62" t="s">
        <v>201</v>
      </c>
      <c r="L25" s="64">
        <v>1</v>
      </c>
      <c r="M25" s="64">
        <f t="shared" ref="M25" si="15">L25*5</f>
        <v>5</v>
      </c>
      <c r="N25" s="62" t="s">
        <v>201</v>
      </c>
      <c r="O25" s="62" t="s">
        <v>201</v>
      </c>
      <c r="P25" s="62" t="s">
        <v>201</v>
      </c>
      <c r="Q25" s="62" t="s">
        <v>201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15</v>
      </c>
      <c r="D26" s="37" t="s">
        <v>39</v>
      </c>
      <c r="E26" s="37" t="s">
        <v>69</v>
      </c>
      <c r="F26" s="37" t="s">
        <v>200</v>
      </c>
      <c r="G26" s="37" t="s">
        <v>94</v>
      </c>
      <c r="H26" s="37" t="s">
        <v>143</v>
      </c>
      <c r="I26" s="37" t="s">
        <v>201</v>
      </c>
      <c r="J26" s="37" t="s">
        <v>160</v>
      </c>
      <c r="K26" s="37" t="s">
        <v>201</v>
      </c>
      <c r="L26" s="37">
        <v>1</v>
      </c>
      <c r="M26" s="37">
        <f>L26*5</f>
        <v>5</v>
      </c>
      <c r="N26" s="37">
        <v>6</v>
      </c>
      <c r="O26" s="61" t="s">
        <v>202</v>
      </c>
      <c r="P26" s="38">
        <v>0.6714</v>
      </c>
      <c r="Q26" s="38">
        <f>P26*N26</f>
        <v>4.0283999999999995</v>
      </c>
      <c r="R26" s="37"/>
      <c r="S26" s="59"/>
    </row>
    <row r="27" spans="1:19" ht="24" x14ac:dyDescent="0.25">
      <c r="A27" s="1"/>
      <c r="B27" s="47">
        <f t="shared" si="0"/>
        <v>18</v>
      </c>
      <c r="C27" s="54" t="s">
        <v>16</v>
      </c>
      <c r="D27" s="51" t="s">
        <v>40</v>
      </c>
      <c r="E27" s="51" t="s">
        <v>70</v>
      </c>
      <c r="F27" s="51" t="s">
        <v>95</v>
      </c>
      <c r="G27" s="51" t="s">
        <v>118</v>
      </c>
      <c r="H27" s="51" t="s">
        <v>134</v>
      </c>
      <c r="I27" s="51" t="s">
        <v>201</v>
      </c>
      <c r="J27" s="51" t="s">
        <v>161</v>
      </c>
      <c r="K27" s="51" t="s">
        <v>183</v>
      </c>
      <c r="L27" s="51">
        <v>1</v>
      </c>
      <c r="M27" s="51">
        <f t="shared" ref="M27" si="16">L27*5</f>
        <v>5</v>
      </c>
      <c r="N27" s="51">
        <v>100</v>
      </c>
      <c r="O27" s="61" t="s">
        <v>202</v>
      </c>
      <c r="P27" s="52">
        <v>4.1000000000000003E-3</v>
      </c>
      <c r="Q27" s="52">
        <f t="shared" ref="Q27" si="17">P27*N27</f>
        <v>0.41000000000000003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17</v>
      </c>
      <c r="D28" s="37" t="s">
        <v>41</v>
      </c>
      <c r="E28" s="37" t="s">
        <v>71</v>
      </c>
      <c r="F28" s="37" t="s">
        <v>96</v>
      </c>
      <c r="G28" s="37" t="s">
        <v>119</v>
      </c>
      <c r="H28" s="37" t="s">
        <v>144</v>
      </c>
      <c r="I28" s="37" t="s">
        <v>201</v>
      </c>
      <c r="J28" s="37" t="s">
        <v>162</v>
      </c>
      <c r="K28" s="37" t="s">
        <v>201</v>
      </c>
      <c r="L28" s="37">
        <v>1</v>
      </c>
      <c r="M28" s="37">
        <f>L28*5</f>
        <v>5</v>
      </c>
      <c r="N28" s="37">
        <v>20</v>
      </c>
      <c r="O28" s="61" t="s">
        <v>202</v>
      </c>
      <c r="P28" s="38">
        <v>3.4799999999999998E-2</v>
      </c>
      <c r="Q28" s="38">
        <f>P28*N28</f>
        <v>0.69599999999999995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17</v>
      </c>
      <c r="D29" s="51" t="s">
        <v>42</v>
      </c>
      <c r="E29" s="51" t="s">
        <v>72</v>
      </c>
      <c r="F29" s="51" t="s">
        <v>96</v>
      </c>
      <c r="G29" s="51" t="s">
        <v>120</v>
      </c>
      <c r="H29" s="51" t="s">
        <v>144</v>
      </c>
      <c r="I29" s="51" t="s">
        <v>201</v>
      </c>
      <c r="J29" s="51" t="s">
        <v>163</v>
      </c>
      <c r="K29" s="51" t="s">
        <v>201</v>
      </c>
      <c r="L29" s="51">
        <v>1</v>
      </c>
      <c r="M29" s="51">
        <f t="shared" ref="M29" si="18">L29*5</f>
        <v>5</v>
      </c>
      <c r="N29" s="51">
        <v>10</v>
      </c>
      <c r="O29" s="61" t="s">
        <v>202</v>
      </c>
      <c r="P29" s="52">
        <v>5.1499999999999997E-2</v>
      </c>
      <c r="Q29" s="52">
        <f t="shared" ref="Q29" si="19">P29*N29</f>
        <v>0.51500000000000001</v>
      </c>
      <c r="R29" s="51"/>
      <c r="S29" s="59"/>
    </row>
    <row r="30" spans="1:19" ht="48" x14ac:dyDescent="0.25">
      <c r="A30" s="1"/>
      <c r="B30" s="46">
        <f>ROW(B30) - ROW($B$9)</f>
        <v>21</v>
      </c>
      <c r="C30" s="53" t="s">
        <v>18</v>
      </c>
      <c r="D30" s="37" t="s">
        <v>43</v>
      </c>
      <c r="E30" s="37" t="s">
        <v>73</v>
      </c>
      <c r="F30" s="37" t="s">
        <v>97</v>
      </c>
      <c r="G30" s="37" t="s">
        <v>121</v>
      </c>
      <c r="H30" s="37" t="s">
        <v>145</v>
      </c>
      <c r="I30" s="37" t="s">
        <v>201</v>
      </c>
      <c r="J30" s="37" t="s">
        <v>164</v>
      </c>
      <c r="K30" s="37" t="s">
        <v>201</v>
      </c>
      <c r="L30" s="37">
        <v>4</v>
      </c>
      <c r="M30" s="37">
        <f>L30*5</f>
        <v>20</v>
      </c>
      <c r="N30" s="37">
        <v>40</v>
      </c>
      <c r="O30" s="61" t="s">
        <v>202</v>
      </c>
      <c r="P30" s="38">
        <v>3.3500000000000002E-2</v>
      </c>
      <c r="Q30" s="38">
        <f>P30*N30</f>
        <v>1.34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19</v>
      </c>
      <c r="D31" s="51" t="s">
        <v>44</v>
      </c>
      <c r="E31" s="51" t="s">
        <v>74</v>
      </c>
      <c r="F31" s="51" t="s">
        <v>98</v>
      </c>
      <c r="G31" s="51" t="s">
        <v>122</v>
      </c>
      <c r="H31" s="51" t="s">
        <v>136</v>
      </c>
      <c r="I31" s="51" t="s">
        <v>201</v>
      </c>
      <c r="J31" s="51" t="s">
        <v>165</v>
      </c>
      <c r="K31" s="51" t="s">
        <v>184</v>
      </c>
      <c r="L31" s="51">
        <v>3</v>
      </c>
      <c r="M31" s="51">
        <f t="shared" ref="M31" si="20">L31*5</f>
        <v>15</v>
      </c>
      <c r="N31" s="51">
        <v>100</v>
      </c>
      <c r="O31" s="61" t="s">
        <v>202</v>
      </c>
      <c r="P31" s="52">
        <v>1.2999999999999999E-3</v>
      </c>
      <c r="Q31" s="52">
        <f t="shared" ref="Q31" si="21">P31*N31</f>
        <v>0.13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19</v>
      </c>
      <c r="D32" s="37" t="s">
        <v>45</v>
      </c>
      <c r="E32" s="37" t="s">
        <v>75</v>
      </c>
      <c r="F32" s="37" t="s">
        <v>98</v>
      </c>
      <c r="G32" s="37" t="s">
        <v>123</v>
      </c>
      <c r="H32" s="37" t="s">
        <v>136</v>
      </c>
      <c r="I32" s="37" t="s">
        <v>201</v>
      </c>
      <c r="J32" s="37" t="s">
        <v>166</v>
      </c>
      <c r="K32" s="37" t="s">
        <v>185</v>
      </c>
      <c r="L32" s="37">
        <v>2</v>
      </c>
      <c r="M32" s="37">
        <f>L32*5</f>
        <v>10</v>
      </c>
      <c r="N32" s="37">
        <v>100</v>
      </c>
      <c r="O32" s="61" t="s">
        <v>202</v>
      </c>
      <c r="P32" s="38">
        <v>1.1999999999999999E-3</v>
      </c>
      <c r="Q32" s="38">
        <f>P32*N32</f>
        <v>0.12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19</v>
      </c>
      <c r="D33" s="51" t="s">
        <v>46</v>
      </c>
      <c r="E33" s="51" t="s">
        <v>76</v>
      </c>
      <c r="F33" s="51" t="s">
        <v>98</v>
      </c>
      <c r="G33" s="51" t="s">
        <v>124</v>
      </c>
      <c r="H33" s="51" t="s">
        <v>136</v>
      </c>
      <c r="I33" s="51" t="s">
        <v>201</v>
      </c>
      <c r="J33" s="51" t="s">
        <v>167</v>
      </c>
      <c r="K33" s="51" t="s">
        <v>186</v>
      </c>
      <c r="L33" s="51">
        <v>2</v>
      </c>
      <c r="M33" s="51">
        <f t="shared" ref="M33" si="22">L33*5</f>
        <v>10</v>
      </c>
      <c r="N33" s="51">
        <v>100</v>
      </c>
      <c r="O33" s="61" t="s">
        <v>202</v>
      </c>
      <c r="P33" s="52">
        <v>1.2999999999999999E-3</v>
      </c>
      <c r="Q33" s="52">
        <f t="shared" ref="Q33" si="23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19</v>
      </c>
      <c r="D34" s="37" t="s">
        <v>47</v>
      </c>
      <c r="E34" s="37" t="s">
        <v>77</v>
      </c>
      <c r="F34" s="37" t="s">
        <v>98</v>
      </c>
      <c r="G34" s="37" t="s">
        <v>125</v>
      </c>
      <c r="H34" s="37" t="s">
        <v>136</v>
      </c>
      <c r="I34" s="37" t="s">
        <v>201</v>
      </c>
      <c r="J34" s="37" t="s">
        <v>168</v>
      </c>
      <c r="K34" s="37" t="s">
        <v>187</v>
      </c>
      <c r="L34" s="37">
        <v>4</v>
      </c>
      <c r="M34" s="37">
        <f>L34*5</f>
        <v>20</v>
      </c>
      <c r="N34" s="37">
        <v>100</v>
      </c>
      <c r="O34" s="61" t="s">
        <v>202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19</v>
      </c>
      <c r="D35" s="51" t="s">
        <v>48</v>
      </c>
      <c r="E35" s="51" t="s">
        <v>78</v>
      </c>
      <c r="F35" s="51" t="s">
        <v>98</v>
      </c>
      <c r="G35" s="51" t="s">
        <v>126</v>
      </c>
      <c r="H35" s="51" t="s">
        <v>136</v>
      </c>
      <c r="I35" s="51" t="s">
        <v>201</v>
      </c>
      <c r="J35" s="51" t="s">
        <v>169</v>
      </c>
      <c r="K35" s="51" t="s">
        <v>188</v>
      </c>
      <c r="L35" s="51">
        <v>4</v>
      </c>
      <c r="M35" s="51">
        <f t="shared" ref="M35" si="24">L35*5</f>
        <v>20</v>
      </c>
      <c r="N35" s="51">
        <v>100</v>
      </c>
      <c r="O35" s="61" t="s">
        <v>202</v>
      </c>
      <c r="P35" s="52">
        <v>1.1000000000000001E-3</v>
      </c>
      <c r="Q35" s="52">
        <f t="shared" ref="Q35" si="25">P35*N35</f>
        <v>0.11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19</v>
      </c>
      <c r="D36" s="37" t="s">
        <v>221</v>
      </c>
      <c r="E36" s="37" t="s">
        <v>79</v>
      </c>
      <c r="F36" s="37" t="s">
        <v>98</v>
      </c>
      <c r="G36" s="37" t="s">
        <v>127</v>
      </c>
      <c r="H36" s="37" t="s">
        <v>136</v>
      </c>
      <c r="I36" s="37" t="s">
        <v>201</v>
      </c>
      <c r="J36" s="37" t="s">
        <v>170</v>
      </c>
      <c r="K36" s="37" t="s">
        <v>189</v>
      </c>
      <c r="L36" s="37">
        <v>5</v>
      </c>
      <c r="M36" s="37">
        <f>L36*5</f>
        <v>25</v>
      </c>
      <c r="N36" s="37">
        <v>100</v>
      </c>
      <c r="O36" s="61" t="s">
        <v>202</v>
      </c>
      <c r="P36" s="38">
        <v>1.5E-3</v>
      </c>
      <c r="Q36" s="38">
        <f>P36*N36</f>
        <v>0.15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20</v>
      </c>
      <c r="D37" s="51" t="s">
        <v>49</v>
      </c>
      <c r="E37" s="51" t="s">
        <v>80</v>
      </c>
      <c r="F37" s="51" t="s">
        <v>200</v>
      </c>
      <c r="G37" s="51" t="s">
        <v>99</v>
      </c>
      <c r="H37" s="51" t="s">
        <v>146</v>
      </c>
      <c r="I37" s="51" t="s">
        <v>201</v>
      </c>
      <c r="J37" s="51" t="s">
        <v>171</v>
      </c>
      <c r="K37" s="51" t="s">
        <v>201</v>
      </c>
      <c r="L37" s="51">
        <v>1</v>
      </c>
      <c r="M37" s="51">
        <f t="shared" ref="M37" si="26">L37*5</f>
        <v>5</v>
      </c>
      <c r="N37" s="51">
        <v>6</v>
      </c>
      <c r="O37" s="61" t="s">
        <v>216</v>
      </c>
      <c r="P37" s="52">
        <v>27.036000000000001</v>
      </c>
      <c r="Q37" s="52">
        <f t="shared" ref="Q37" si="27">P37*N37</f>
        <v>162.21600000000001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20</v>
      </c>
      <c r="D38" s="37" t="s">
        <v>50</v>
      </c>
      <c r="E38" s="37" t="s">
        <v>81</v>
      </c>
      <c r="F38" s="37" t="s">
        <v>100</v>
      </c>
      <c r="G38" s="37" t="s">
        <v>128</v>
      </c>
      <c r="H38" s="37" t="s">
        <v>147</v>
      </c>
      <c r="I38" s="37" t="s">
        <v>201</v>
      </c>
      <c r="J38" s="37" t="s">
        <v>172</v>
      </c>
      <c r="K38" s="37" t="s">
        <v>201</v>
      </c>
      <c r="L38" s="37">
        <v>1</v>
      </c>
      <c r="M38" s="37">
        <f>L38*5</f>
        <v>5</v>
      </c>
      <c r="N38" s="37">
        <v>6</v>
      </c>
      <c r="O38" s="61" t="s">
        <v>202</v>
      </c>
      <c r="P38" s="38">
        <v>0.64600000000000002</v>
      </c>
      <c r="Q38" s="38">
        <f>P38*N38</f>
        <v>3.8760000000000003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20</v>
      </c>
      <c r="D39" s="51" t="s">
        <v>51</v>
      </c>
      <c r="E39" s="51" t="s">
        <v>82</v>
      </c>
      <c r="F39" s="51" t="s">
        <v>101</v>
      </c>
      <c r="G39" s="51" t="s">
        <v>129</v>
      </c>
      <c r="H39" s="51" t="s">
        <v>148</v>
      </c>
      <c r="I39" s="51" t="s">
        <v>201</v>
      </c>
      <c r="J39" s="51" t="s">
        <v>201</v>
      </c>
      <c r="K39" s="51" t="s">
        <v>201</v>
      </c>
      <c r="L39" s="51">
        <v>1</v>
      </c>
      <c r="M39" s="51">
        <f t="shared" ref="M39" si="28">L39*5</f>
        <v>5</v>
      </c>
      <c r="N39" s="51">
        <v>6</v>
      </c>
      <c r="O39" s="61" t="s">
        <v>210</v>
      </c>
      <c r="P39" s="52">
        <v>12</v>
      </c>
      <c r="Q39" s="52">
        <f t="shared" ref="Q39" si="29">P39*N39</f>
        <v>72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21</v>
      </c>
      <c r="D40" s="37" t="s">
        <v>52</v>
      </c>
      <c r="E40" s="37" t="s">
        <v>83</v>
      </c>
      <c r="F40" s="37" t="s">
        <v>102</v>
      </c>
      <c r="G40" s="37" t="s">
        <v>130</v>
      </c>
      <c r="H40" s="37" t="s">
        <v>149</v>
      </c>
      <c r="I40" s="37" t="s">
        <v>201</v>
      </c>
      <c r="J40" s="37" t="s">
        <v>173</v>
      </c>
      <c r="K40" s="37" t="s">
        <v>201</v>
      </c>
      <c r="L40" s="37">
        <v>1</v>
      </c>
      <c r="M40" s="37">
        <f>L40*5</f>
        <v>5</v>
      </c>
      <c r="N40" s="37">
        <v>20</v>
      </c>
      <c r="O40" s="61" t="s">
        <v>202</v>
      </c>
      <c r="P40" s="38">
        <v>3.85E-2</v>
      </c>
      <c r="Q40" s="38">
        <f>P40*N40</f>
        <v>0.77</v>
      </c>
      <c r="R40" s="37"/>
      <c r="S40" s="59"/>
    </row>
    <row r="41" spans="1:19" ht="15.75" thickBot="1" x14ac:dyDescent="0.3">
      <c r="A41" s="1"/>
      <c r="B41" s="47">
        <f t="shared" si="0"/>
        <v>32</v>
      </c>
      <c r="C41" s="54" t="s">
        <v>20</v>
      </c>
      <c r="D41" s="51" t="s">
        <v>53</v>
      </c>
      <c r="E41" s="51" t="s">
        <v>84</v>
      </c>
      <c r="F41" s="51" t="s">
        <v>103</v>
      </c>
      <c r="G41" s="51" t="s">
        <v>131</v>
      </c>
      <c r="H41" s="51" t="s">
        <v>150</v>
      </c>
      <c r="I41" s="51" t="s">
        <v>201</v>
      </c>
      <c r="J41" s="51" t="s">
        <v>174</v>
      </c>
      <c r="K41" s="51" t="s">
        <v>201</v>
      </c>
      <c r="L41" s="51">
        <v>1</v>
      </c>
      <c r="M41" s="51">
        <f t="shared" ref="M41:M42" si="30">L41*5</f>
        <v>5</v>
      </c>
      <c r="N41" s="51">
        <v>6</v>
      </c>
      <c r="O41" s="61" t="s">
        <v>202</v>
      </c>
      <c r="P41" s="52">
        <v>0.43280000000000002</v>
      </c>
      <c r="Q41" s="52">
        <f t="shared" ref="Q41:Q42" si="31">P41*N41</f>
        <v>2.5968</v>
      </c>
      <c r="R41" s="51"/>
      <c r="S41" s="39"/>
    </row>
    <row r="42" spans="1:19" ht="15.75" thickBot="1" x14ac:dyDescent="0.3">
      <c r="A42" s="1"/>
      <c r="B42" s="47">
        <f t="shared" si="0"/>
        <v>33</v>
      </c>
      <c r="C42" s="54" t="s">
        <v>212</v>
      </c>
      <c r="D42" s="51" t="s">
        <v>201</v>
      </c>
      <c r="E42" s="51" t="s">
        <v>201</v>
      </c>
      <c r="F42" s="51" t="s">
        <v>201</v>
      </c>
      <c r="G42" s="51" t="s">
        <v>213</v>
      </c>
      <c r="H42" s="51" t="s">
        <v>201</v>
      </c>
      <c r="I42" s="51" t="s">
        <v>201</v>
      </c>
      <c r="J42" s="51" t="s">
        <v>201</v>
      </c>
      <c r="K42" s="51" t="s">
        <v>201</v>
      </c>
      <c r="L42" s="51">
        <v>1</v>
      </c>
      <c r="M42" s="51">
        <f t="shared" si="30"/>
        <v>5</v>
      </c>
      <c r="N42" s="51">
        <v>6</v>
      </c>
      <c r="O42" s="61" t="s">
        <v>214</v>
      </c>
      <c r="P42" s="52">
        <v>1.02</v>
      </c>
      <c r="Q42" s="52">
        <f t="shared" si="31"/>
        <v>6.12</v>
      </c>
      <c r="R42" s="51"/>
      <c r="S42" s="39"/>
    </row>
    <row r="43" spans="1:19" ht="15.75" thickBot="1" x14ac:dyDescent="0.3">
      <c r="A43" s="1"/>
      <c r="B43" s="47">
        <f t="shared" si="0"/>
        <v>34</v>
      </c>
      <c r="C43" s="54" t="s">
        <v>212</v>
      </c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61"/>
      <c r="P43" s="52"/>
      <c r="Q43" s="52"/>
      <c r="R43" s="51"/>
      <c r="S43" s="39"/>
    </row>
    <row r="44" spans="1:19" ht="19.5" thickBot="1" x14ac:dyDescent="0.3">
      <c r="A44" s="1"/>
      <c r="B44" s="40"/>
      <c r="C44" s="41"/>
      <c r="D44" s="42"/>
      <c r="E44" s="43"/>
      <c r="F44" s="44"/>
      <c r="G44" s="45"/>
      <c r="H44" s="44"/>
      <c r="I44" s="45"/>
      <c r="J44" s="44"/>
      <c r="K44" s="45"/>
      <c r="L44" s="45"/>
      <c r="M44" s="45"/>
      <c r="N44" s="73" t="s">
        <v>5</v>
      </c>
      <c r="O44" s="74"/>
      <c r="P44" s="74"/>
      <c r="Q44" s="48">
        <f>SUM(Q10:Q42)</f>
        <v>270.72779999999995</v>
      </c>
      <c r="R44" s="69"/>
      <c r="S44" s="70"/>
    </row>
    <row r="45" spans="1:19" ht="19.5" thickBot="1" x14ac:dyDescent="0.3">
      <c r="A45" s="1"/>
      <c r="B45" s="25"/>
      <c r="C45" s="36"/>
      <c r="D45" s="9"/>
      <c r="E45" s="10"/>
      <c r="F45" s="10"/>
      <c r="G45" s="10"/>
      <c r="H45" s="10"/>
      <c r="I45" s="10"/>
      <c r="J45" s="10"/>
      <c r="K45" s="10"/>
      <c r="L45" s="10"/>
      <c r="M45" s="10"/>
      <c r="N45" s="73" t="s">
        <v>6</v>
      </c>
      <c r="O45" s="74"/>
      <c r="P45" s="74"/>
      <c r="Q45" s="49">
        <f>Q44/5</f>
        <v>54.145559999999989</v>
      </c>
      <c r="R45" s="71"/>
      <c r="S45" s="72"/>
    </row>
  </sheetData>
  <mergeCells count="5">
    <mergeCell ref="K1:S1"/>
    <mergeCell ref="S3:S8"/>
    <mergeCell ref="R44:S45"/>
    <mergeCell ref="N44:P44"/>
    <mergeCell ref="N45:P45"/>
  </mergeCells>
  <hyperlinks>
    <hyperlink ref="O11" r:id="rId1"/>
    <hyperlink ref="O15" r:id="rId2"/>
    <hyperlink ref="O16" r:id="rId3"/>
    <hyperlink ref="O17" r:id="rId4"/>
    <hyperlink ref="O19" r:id="rId5"/>
    <hyperlink ref="O20" r:id="rId6"/>
    <hyperlink ref="O21" r:id="rId7"/>
    <hyperlink ref="O22" r:id="rId8"/>
    <hyperlink ref="O26" r:id="rId9"/>
    <hyperlink ref="O27" r:id="rId10"/>
    <hyperlink ref="O28" r:id="rId11"/>
    <hyperlink ref="O29" r:id="rId12"/>
    <hyperlink ref="O30" r:id="rId13"/>
    <hyperlink ref="O31" r:id="rId14"/>
    <hyperlink ref="O32" r:id="rId15"/>
    <hyperlink ref="O33" r:id="rId16"/>
    <hyperlink ref="O34" r:id="rId17"/>
    <hyperlink ref="O35" r:id="rId18"/>
    <hyperlink ref="O36" r:id="rId19"/>
    <hyperlink ref="O38" r:id="rId20"/>
    <hyperlink ref="O40" r:id="rId21"/>
    <hyperlink ref="O41" r:id="rId22"/>
    <hyperlink ref="O12" r:id="rId23"/>
    <hyperlink ref="O13" r:id="rId24"/>
    <hyperlink ref="O18" r:id="rId25"/>
    <hyperlink ref="O10" r:id="rId26"/>
    <hyperlink ref="O42" r:id="rId27"/>
    <hyperlink ref="O39" r:id="rId28"/>
    <hyperlink ref="O37" r:id="rId29"/>
    <hyperlink ref="O23" r:id="rId30"/>
    <hyperlink ref="O14" r:id="rId31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2023-06-09T11:23:17Z</dcterms:modified>
</cp:coreProperties>
</file>