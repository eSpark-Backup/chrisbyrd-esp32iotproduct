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 activeTab="5"/>
  </bookViews>
  <sheets>
    <sheet name="5 Boards" sheetId="1" r:id="rId1"/>
    <sheet name=" 20 Boards" sheetId="2" r:id="rId2"/>
    <sheet name="50 Boards" sheetId="3" r:id="rId3"/>
    <sheet name="100 Boards" sheetId="4" r:id="rId4"/>
    <sheet name="500 Boards" sheetId="5" r:id="rId5"/>
    <sheet name="1000 Boards" sheetId="6" r:id="rId6"/>
  </sheets>
  <calcPr calcId="162913"/>
</workbook>
</file>

<file path=xl/calcChain.xml><?xml version="1.0" encoding="utf-8"?>
<calcChain xmlns="http://schemas.openxmlformats.org/spreadsheetml/2006/main">
  <c r="M53" i="6" l="1"/>
  <c r="Q53" i="6"/>
  <c r="B53" i="6"/>
  <c r="Q22" i="6" l="1"/>
  <c r="Q22" i="5"/>
  <c r="Q22" i="4"/>
  <c r="Q22" i="3"/>
  <c r="Q22" i="2"/>
  <c r="Q22" i="1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10" i="6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10" i="5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10" i="2"/>
  <c r="Q52" i="6" l="1"/>
  <c r="B52" i="6"/>
  <c r="Q51" i="6"/>
  <c r="B51" i="6"/>
  <c r="Q50" i="6"/>
  <c r="B50" i="6"/>
  <c r="Q49" i="6"/>
  <c r="B49" i="6"/>
  <c r="Q48" i="6"/>
  <c r="B48" i="6"/>
  <c r="Q47" i="6"/>
  <c r="B47" i="6"/>
  <c r="Q46" i="6"/>
  <c r="B46" i="6"/>
  <c r="Q45" i="6"/>
  <c r="B45" i="6"/>
  <c r="Q44" i="6"/>
  <c r="B44" i="6"/>
  <c r="Q43" i="6"/>
  <c r="B43" i="6"/>
  <c r="Q42" i="6"/>
  <c r="B42" i="6"/>
  <c r="Q41" i="6"/>
  <c r="B41" i="6"/>
  <c r="Q40" i="6"/>
  <c r="B40" i="6"/>
  <c r="Q39" i="6"/>
  <c r="B39" i="6"/>
  <c r="Q38" i="6"/>
  <c r="B38" i="6"/>
  <c r="Q37" i="6"/>
  <c r="B37" i="6"/>
  <c r="Q36" i="6"/>
  <c r="B36" i="6"/>
  <c r="Q35" i="6"/>
  <c r="B35" i="6"/>
  <c r="Q34" i="6"/>
  <c r="B34" i="6"/>
  <c r="Q33" i="6"/>
  <c r="B33" i="6"/>
  <c r="Q32" i="6"/>
  <c r="B32" i="6"/>
  <c r="Q31" i="6"/>
  <c r="B31" i="6"/>
  <c r="Q30" i="6"/>
  <c r="B30" i="6"/>
  <c r="Q29" i="6"/>
  <c r="B29" i="6"/>
  <c r="Q28" i="6"/>
  <c r="B28" i="6"/>
  <c r="Q27" i="6"/>
  <c r="B27" i="6"/>
  <c r="Q26" i="6"/>
  <c r="B26" i="6"/>
  <c r="B25" i="6"/>
  <c r="Q24" i="6"/>
  <c r="B24" i="6"/>
  <c r="Q23" i="6"/>
  <c r="B23" i="6"/>
  <c r="B22" i="6"/>
  <c r="Q21" i="6"/>
  <c r="B21" i="6"/>
  <c r="Q20" i="6"/>
  <c r="B20" i="6"/>
  <c r="Q19" i="6"/>
  <c r="B19" i="6"/>
  <c r="Q18" i="6"/>
  <c r="B18" i="6"/>
  <c r="Q17" i="6"/>
  <c r="B17" i="6"/>
  <c r="Q16" i="6"/>
  <c r="B16" i="6"/>
  <c r="Q15" i="6"/>
  <c r="B15" i="6"/>
  <c r="Q14" i="6"/>
  <c r="B14" i="6"/>
  <c r="Q13" i="6"/>
  <c r="B13" i="6"/>
  <c r="Q12" i="6"/>
  <c r="B12" i="6"/>
  <c r="Q11" i="6"/>
  <c r="B11" i="6"/>
  <c r="Q10" i="6"/>
  <c r="B10" i="6"/>
  <c r="Q52" i="5"/>
  <c r="B52" i="5"/>
  <c r="Q51" i="5"/>
  <c r="B51" i="5"/>
  <c r="Q50" i="5"/>
  <c r="B50" i="5"/>
  <c r="Q49" i="5"/>
  <c r="B49" i="5"/>
  <c r="Q48" i="5"/>
  <c r="B48" i="5"/>
  <c r="Q47" i="5"/>
  <c r="B47" i="5"/>
  <c r="Q46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Q31" i="5"/>
  <c r="B31" i="5"/>
  <c r="Q30" i="5"/>
  <c r="B30" i="5"/>
  <c r="Q29" i="5"/>
  <c r="B29" i="5"/>
  <c r="Q28" i="5"/>
  <c r="B28" i="5"/>
  <c r="Q27" i="5"/>
  <c r="B27" i="5"/>
  <c r="Q26" i="5"/>
  <c r="B26" i="5"/>
  <c r="B25" i="5"/>
  <c r="Q24" i="5"/>
  <c r="B24" i="5"/>
  <c r="Q23" i="5"/>
  <c r="B23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Q10" i="5"/>
  <c r="B10" i="5"/>
  <c r="Q52" i="4"/>
  <c r="B52" i="4"/>
  <c r="Q51" i="4"/>
  <c r="B51" i="4"/>
  <c r="Q50" i="4"/>
  <c r="B50" i="4"/>
  <c r="Q49" i="4"/>
  <c r="B49" i="4"/>
  <c r="Q48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B25" i="4"/>
  <c r="Q24" i="4"/>
  <c r="B24" i="4"/>
  <c r="Q23" i="4"/>
  <c r="B23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52" i="3"/>
  <c r="B52" i="3"/>
  <c r="Q51" i="3"/>
  <c r="B51" i="3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B25" i="3"/>
  <c r="Q24" i="3"/>
  <c r="B24" i="3"/>
  <c r="Q23" i="3"/>
  <c r="B23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52" i="2"/>
  <c r="B52" i="2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B25" i="2"/>
  <c r="Q24" i="2"/>
  <c r="B24" i="2"/>
  <c r="Q23" i="2"/>
  <c r="B23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54" i="6" l="1"/>
  <c r="Q55" i="6" s="1"/>
  <c r="Q53" i="5"/>
  <c r="Q54" i="5" s="1"/>
  <c r="Q53" i="4"/>
  <c r="Q54" i="4" s="1"/>
  <c r="Q53" i="3"/>
  <c r="Q54" i="3" s="1"/>
  <c r="Q53" i="2"/>
  <c r="Q54" i="2" s="1"/>
  <c r="M22" i="1"/>
  <c r="B22" i="1"/>
  <c r="Q52" i="1" l="1"/>
  <c r="M52" i="1"/>
  <c r="B52" i="1"/>
  <c r="Q51" i="1" l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0" i="1"/>
  <c r="M40" i="1"/>
  <c r="B40" i="1"/>
  <c r="Q42" i="1"/>
  <c r="M42" i="1"/>
  <c r="B42" i="1"/>
  <c r="Q41" i="1"/>
  <c r="M41" i="1"/>
  <c r="B41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M25" i="1"/>
  <c r="B25" i="1"/>
  <c r="Q24" i="1"/>
  <c r="M24" i="1"/>
  <c r="B24" i="1"/>
  <c r="Q23" i="1"/>
  <c r="M23" i="1"/>
  <c r="B23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53" i="1" l="1"/>
  <c r="Q54" i="1" s="1"/>
</calcChain>
</file>

<file path=xl/sharedStrings.xml><?xml version="1.0" encoding="utf-8"?>
<sst xmlns="http://schemas.openxmlformats.org/spreadsheetml/2006/main" count="2770" uniqueCount="305">
  <si>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</si>
  <si>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</si>
  <si>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</si>
  <si>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</si>
  <si>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</si>
  <si>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</si>
  <si>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</si>
  <si>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</si>
  <si>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</si>
  <si>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</si>
  <si>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</si>
  <si>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</si>
  <si>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</si>
  <si>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</si>
  <si>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</si>
  <si>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</si>
  <si>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</si>
  <si>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</si>
  <si>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</si>
  <si>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</si>
  <si>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</si>
  <si>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</si>
  <si>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</si>
  <si>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</si>
  <si>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</si>
  <si>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</si>
  <si>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</si>
  <si>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</si>
  <si>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</si>
  <si>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</si>
  <si>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</si>
  <si>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</si>
  <si>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</si>
  <si>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</si>
  <si>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</si>
  <si>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</si>
  <si>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</si>
  <si>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</si>
  <si>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</si>
  <si>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</si>
  <si>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</si>
  <si>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</si>
  <si>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</si>
  <si>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</si>
  <si>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</si>
  <si>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</si>
  <si>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</si>
  <si>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</si>
  <si>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</si>
  <si>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</si>
  <si>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</si>
  <si>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</si>
  <si>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</si>
  <si>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</si>
  <si>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</si>
  <si>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</si>
  <si>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</si>
  <si>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</si>
  <si>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</si>
  <si>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</si>
  <si>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</si>
  <si>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</si>
  <si>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</si>
  <si>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</si>
  <si>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</si>
  <si>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</si>
  <si>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</si>
  <si>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</si>
  <si>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</si>
  <si>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</si>
  <si>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</si>
  <si>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</si>
  <si>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</si>
  <si>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</si>
  <si>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</si>
  <si>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</si>
  <si>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</si>
  <si>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</si>
  <si>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</si>
  <si>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</si>
  <si>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</si>
  <si>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</si>
  <si>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</si>
  <si>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</si>
  <si>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</si>
  <si>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</si>
  <si>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</si>
  <si>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</si>
  <si>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</si>
  <si>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</si>
  <si>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</si>
  <si>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</si>
  <si>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</si>
  <si>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</si>
  <si>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</si>
  <si>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</si>
  <si>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</si>
  <si>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</si>
  <si>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</si>
  <si>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</si>
  <si>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</si>
  <si>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</si>
  <si>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</si>
  <si>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</si>
  <si>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</si>
  <si>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</si>
  <si>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</si>
  <si>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</si>
  <si>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</si>
  <si>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</si>
  <si>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</si>
  <si>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</si>
  <si>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</si>
  <si>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</si>
  <si>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</si>
  <si>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</si>
  <si>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</si>
  <si>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</si>
  <si>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</si>
  <si>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</si>
  <si>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</si>
  <si>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</si>
  <si>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</si>
  <si>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</si>
  <si>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</si>
  <si>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</si>
  <si>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</si>
  <si>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</si>
  <si>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</si>
  <si>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</si>
  <si>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</si>
  <si>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</si>
  <si>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</si>
  <si>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</si>
  <si>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</si>
  <si>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</si>
  <si>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</si>
  <si>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</si>
  <si>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</si>
  <si>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</si>
  <si>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</si>
  <si>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</si>
  <si>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</si>
  <si>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</si>
  <si>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</si>
  <si>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</si>
  <si>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</si>
  <si>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</si>
  <si>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</si>
  <si>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</si>
  <si>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</si>
  <si>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</si>
  <si>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</si>
  <si>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</si>
  <si>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</si>
  <si>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</si>
  <si>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</si>
  <si>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</si>
  <si>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</si>
  <si>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</si>
  <si>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</si>
  <si>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</si>
  <si>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</si>
  <si>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</si>
  <si>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</si>
  <si>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</si>
  <si>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</si>
  <si>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</si>
  <si>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</si>
  <si>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</si>
  <si>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</si>
  <si>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</si>
  <si>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</si>
  <si>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LCSC Part Number</t>
  </si>
  <si>
    <t>C162178</t>
  </si>
  <si>
    <t>C487115</t>
  </si>
  <si>
    <t>C7234</t>
  </si>
  <si>
    <t>C107001</t>
  </si>
  <si>
    <t>C2168289</t>
  </si>
  <si>
    <t>C1631</t>
  </si>
  <si>
    <t>C149602</t>
  </si>
  <si>
    <t>C76615</t>
  </si>
  <si>
    <t>C698958</t>
  </si>
  <si>
    <t>C3011128</t>
  </si>
  <si>
    <t>C268004</t>
  </si>
  <si>
    <t>C2847546</t>
  </si>
  <si>
    <t>C2923360</t>
  </si>
  <si>
    <t>C965309</t>
  </si>
  <si>
    <t>C851690</t>
  </si>
  <si>
    <t>C105871</t>
  </si>
  <si>
    <t>C858599</t>
  </si>
  <si>
    <t>C295837</t>
  </si>
  <si>
    <t>C423515</t>
  </si>
  <si>
    <t>C274871</t>
  </si>
  <si>
    <t>C851763</t>
  </si>
  <si>
    <t>C106225</t>
  </si>
  <si>
    <t>C22548</t>
  </si>
  <si>
    <t>C105879</t>
  </si>
  <si>
    <t>C100044</t>
  </si>
  <si>
    <t>C155744</t>
  </si>
  <si>
    <t>C109318</t>
  </si>
  <si>
    <t>C108661</t>
  </si>
  <si>
    <t>C105578</t>
  </si>
  <si>
    <t>C137798</t>
  </si>
  <si>
    <t>C329267</t>
  </si>
  <si>
    <t>C32843</t>
  </si>
  <si>
    <t>C438901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</si>
  <si>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</si>
  <si>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</si>
  <si>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</si>
  <si>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</si>
  <si>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</si>
  <si>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</si>
  <si>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</si>
  <si>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</si>
  <si>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</si>
  <si>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</si>
  <si>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</si>
  <si>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</si>
  <si>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</si>
  <si>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</si>
  <si>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</si>
  <si>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</si>
  <si>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</si>
  <si>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</si>
  <si>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</si>
  <si>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</si>
  <si>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</si>
  <si>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</si>
  <si>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</si>
  <si>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</si>
  <si>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</si>
  <si>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</si>
  <si>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</si>
  <si>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</si>
  <si>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</si>
  <si>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Quantity</t>
  </si>
  <si>
    <t>Bill of Materials for Project [EthPoE-Module-v2.0.]</t>
  </si>
  <si>
    <t>EthPoE-Module-v2.0.</t>
  </si>
  <si>
    <t>EthPoE-Module-v2.0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</si>
  <si>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</si>
  <si>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</si>
  <si>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</si>
  <si>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</si>
  <si>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</si>
  <si>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</si>
  <si>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</si>
  <si>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</si>
  <si>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</si>
  <si>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</si>
  <si>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Mini PCIe Connector</t>
  </si>
  <si>
    <t>LCSC</t>
  </si>
  <si>
    <t>Custom</t>
  </si>
  <si>
    <t>C154510</t>
  </si>
  <si>
    <t>CC0603GRNPO0BN120</t>
  </si>
  <si>
    <t>CC0402KRX7R7BB223</t>
  </si>
  <si>
    <t>C107017</t>
  </si>
  <si>
    <t>C527051</t>
  </si>
  <si>
    <t>RC0603FR-0722RL</t>
  </si>
  <si>
    <t>C107701</t>
  </si>
  <si>
    <t>CONN JACK 1PORT 100 BASE-T PCB</t>
  </si>
  <si>
    <t>ARJM11D7-114-AB-EW2</t>
  </si>
  <si>
    <t>Abracon</t>
  </si>
  <si>
    <t>25MHZ</t>
  </si>
  <si>
    <t>Mouser</t>
  </si>
  <si>
    <t>IC POE CNTRL 1 CHANNEL 8SOIC</t>
  </si>
  <si>
    <t>SOIC-8</t>
  </si>
  <si>
    <t>TPS2375DR</t>
  </si>
  <si>
    <t>C2867397</t>
  </si>
  <si>
    <t>R10, R14, R23, R25, R29, R30, R31, R34, R35, R36, R37, R38, R39</t>
  </si>
  <si>
    <t>R12, R17, R33</t>
  </si>
  <si>
    <t>6V 2A 50A 1W -40℃~+85℃ 4A 4mΩ 5s 45mΩ 0805 Resettable Fuses ROHS</t>
  </si>
  <si>
    <t>BSMD0805L-200</t>
  </si>
  <si>
    <t>BHFUSE</t>
  </si>
  <si>
    <t>C2757931</t>
  </si>
  <si>
    <t>R3, R11</t>
  </si>
  <si>
    <t>Peripheral</t>
  </si>
  <si>
    <t>LC-2030C</t>
  </si>
  <si>
    <t xml:space="preserve">Shengwei </t>
  </si>
  <si>
    <t>C3011736</t>
  </si>
  <si>
    <t>D3, D4</t>
  </si>
  <si>
    <t>TVS DIODE 5.5VWM 8.5VC SOT23-3</t>
  </si>
  <si>
    <t>SP0502BAHTG</t>
  </si>
  <si>
    <t>C207261</t>
  </si>
  <si>
    <t>Quantity (20 Boards)</t>
  </si>
  <si>
    <t>MOQ (20 Boards)</t>
  </si>
  <si>
    <t>Unit Cost (20 Boards)</t>
  </si>
  <si>
    <t>Total Cost (20 Boards)</t>
  </si>
  <si>
    <t>Quantity (50 Boards)</t>
  </si>
  <si>
    <t>MOQ (50 Boards)</t>
  </si>
  <si>
    <t>Unit Cost (50 Boards)</t>
  </si>
  <si>
    <t>Total Cost (50 Boards)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</si>
  <si>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</si>
  <si>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</si>
  <si>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</si>
  <si>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</si>
  <si>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</si>
  <si>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</si>
  <si>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</si>
  <si>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</si>
  <si>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(1000 Boards)</t>
  </si>
  <si>
    <t>MOQ (1000 Boards)</t>
  </si>
  <si>
    <t>Unit Cost (1000 Boards)</t>
  </si>
  <si>
    <t>Total Cost (1000 Boards)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</si>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</sst>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0" xfId="0" applyFont="1" applyFill="1" applyAlignment="1"/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11" fillId="4" borderId="17" xfId="0" applyFont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548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548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548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548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548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4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drawing" Target="../drawings/drawing2.xm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drawing" Target="../drawings/drawing3.xm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drawing" Target="../drawings/drawing4.xm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drawing" Target="../drawings/drawing5.xm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hyperlink" Target="https://www.lcsc.com/product-detail/TVS_Littelfuse-SP0502BAHTG_C207261.html" TargetMode="External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4" Type="http://schemas.openxmlformats.org/officeDocument/2006/relationships/drawing" Target="../drawings/drawing6.xm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hyperlink" Target="https://fr.aliexpress.com/item/1005001356576287.html?spm=a2g0o.productlist.main.1.77e44a5a6JBItS&amp;algo_pvid=cdf4e0e0-0e5c-49ca-97d9-4c5834f08fcb&amp;aem_p4p_detail=202312220853009160133276496790003316758&amp;algo_exp_id=cdf4e0e0-0e5c-49ca-97d9-4c5834f08fcb-0&amp;pdp_n" TargetMode="Externa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4"/>
  <sheetViews>
    <sheetView topLeftCell="F4" workbookViewId="0">
      <selection activeCell="P31" sqref="P3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16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1" width="10.5703125" bestFit="1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242</v>
      </c>
      <c r="N9" s="30" t="s">
        <v>243</v>
      </c>
      <c r="O9" s="30" t="s">
        <v>244</v>
      </c>
      <c r="P9" s="30" t="s">
        <v>245</v>
      </c>
      <c r="Q9" s="30" t="s">
        <v>246</v>
      </c>
      <c r="R9" s="30" t="s">
        <v>247</v>
      </c>
      <c r="S9" s="30" t="s">
        <v>248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L10*5</f>
        <v>50</v>
      </c>
      <c r="N10" s="37">
        <v>100</v>
      </c>
      <c r="O10" s="61" t="s">
        <v>251</v>
      </c>
      <c r="P10" s="38">
        <v>1.0999999999999999E-2</v>
      </c>
      <c r="Q10" s="38">
        <f>P10*N10</f>
        <v>1.0999999999999999</v>
      </c>
      <c r="R10" s="37"/>
      <c r="S10" s="50"/>
    </row>
    <row r="11" spans="1:19" ht="36" x14ac:dyDescent="0.25">
      <c r="A11" s="1"/>
      <c r="B11" s="47">
        <f t="shared" ref="B11:B52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51">
        <f t="shared" ref="M11" si="1">L11*5</f>
        <v>5</v>
      </c>
      <c r="N11" s="51">
        <v>10</v>
      </c>
      <c r="O11" s="61" t="s">
        <v>251</v>
      </c>
      <c r="P11" s="52">
        <v>1.7399999999999999E-2</v>
      </c>
      <c r="Q11" s="52">
        <f t="shared" ref="Q11" si="2">P11*N11</f>
        <v>0.17399999999999999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>L12*5</f>
        <v>15</v>
      </c>
      <c r="N12" s="37">
        <v>50</v>
      </c>
      <c r="O12" s="61" t="s">
        <v>251</v>
      </c>
      <c r="P12" s="38">
        <v>1.2E-2</v>
      </c>
      <c r="Q12" s="38">
        <f>P12*N12</f>
        <v>0.6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51">
        <f t="shared" ref="M13" si="3">L13*5</f>
        <v>5</v>
      </c>
      <c r="N13" s="51">
        <v>6</v>
      </c>
      <c r="O13" s="61" t="s">
        <v>251</v>
      </c>
      <c r="P13" s="52">
        <v>1.1597999999999999</v>
      </c>
      <c r="Q13" s="52">
        <f t="shared" ref="Q13" si="4">P13*N13</f>
        <v>6.9588000000000001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>L14*5</f>
        <v>5</v>
      </c>
      <c r="N14" s="37">
        <v>100</v>
      </c>
      <c r="O14" s="61" t="s">
        <v>251</v>
      </c>
      <c r="P14" s="38">
        <v>2.5000000000000001E-3</v>
      </c>
      <c r="Q14" s="38">
        <f>P14*N14</f>
        <v>0.25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51">
        <f t="shared" ref="M15" si="5">L15*5</f>
        <v>15</v>
      </c>
      <c r="N15" s="51">
        <v>100</v>
      </c>
      <c r="O15" s="61" t="s">
        <v>251</v>
      </c>
      <c r="P15" s="52">
        <v>1.9E-3</v>
      </c>
      <c r="Q15" s="52">
        <f t="shared" ref="Q15" si="6">P15*N15</f>
        <v>0.19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>L16*5</f>
        <v>5</v>
      </c>
      <c r="N16" s="37">
        <v>6</v>
      </c>
      <c r="O16" s="61" t="s">
        <v>251</v>
      </c>
      <c r="P16" s="38">
        <v>0.84960000000000002</v>
      </c>
      <c r="Q16" s="38">
        <f>P16*N16</f>
        <v>5.0975999999999999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51">
        <f t="shared" ref="M17" si="7">L17*5</f>
        <v>10</v>
      </c>
      <c r="N17" s="51">
        <v>100</v>
      </c>
      <c r="O17" s="61" t="s">
        <v>251</v>
      </c>
      <c r="P17" s="52">
        <v>2.8E-3</v>
      </c>
      <c r="Q17" s="52">
        <f t="shared" ref="Q17" si="8">P17*N17</f>
        <v>0.27999999999999997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>L18*5</f>
        <v>10</v>
      </c>
      <c r="N18" s="37">
        <v>100</v>
      </c>
      <c r="O18" s="61" t="s">
        <v>251</v>
      </c>
      <c r="P18" s="38">
        <v>6.8999999999999999E-3</v>
      </c>
      <c r="Q18" s="38">
        <f>P18*N18</f>
        <v>0.69</v>
      </c>
      <c r="R18" s="37"/>
      <c r="S18" s="59"/>
    </row>
    <row r="19" spans="1:19" x14ac:dyDescent="0.25">
      <c r="A19" s="1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51">
        <f t="shared" ref="M19" si="9">L19*5</f>
        <v>5</v>
      </c>
      <c r="N19" s="51">
        <v>10</v>
      </c>
      <c r="O19" s="61" t="s">
        <v>251</v>
      </c>
      <c r="P19" s="52">
        <v>4.2299999999999997E-2</v>
      </c>
      <c r="Q19" s="52">
        <f t="shared" ref="Q19" si="10">P19*N19</f>
        <v>0.42299999999999999</v>
      </c>
      <c r="R19" s="51"/>
      <c r="S19" s="59"/>
    </row>
    <row r="20" spans="1:19" ht="24" x14ac:dyDescent="0.25">
      <c r="A20" s="1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>L20*5</f>
        <v>5</v>
      </c>
      <c r="N20" s="37">
        <v>10</v>
      </c>
      <c r="O20" s="61" t="s">
        <v>251</v>
      </c>
      <c r="P20" s="38">
        <v>4.6899999999999997E-2</v>
      </c>
      <c r="Q20" s="38">
        <f>P20*N20</f>
        <v>0.46899999999999997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51">
        <f t="shared" ref="M21:M22" si="11">L21*5</f>
        <v>5</v>
      </c>
      <c r="N21" s="51">
        <v>10</v>
      </c>
      <c r="O21" s="61" t="s">
        <v>251</v>
      </c>
      <c r="P21" s="52">
        <v>4.5600000000000002E-2</v>
      </c>
      <c r="Q21" s="52">
        <f t="shared" ref="Q21:Q22" si="12">P21*N21</f>
        <v>0.45600000000000002</v>
      </c>
      <c r="R21" s="51"/>
      <c r="S21" s="59"/>
    </row>
    <row r="22" spans="1:19" x14ac:dyDescent="0.25">
      <c r="A22" s="1"/>
      <c r="B22" s="47">
        <f t="shared" si="0"/>
        <v>13</v>
      </c>
      <c r="C22" s="53" t="s">
        <v>18</v>
      </c>
      <c r="D22" s="37" t="s">
        <v>280</v>
      </c>
      <c r="E22" s="37" t="s">
        <v>281</v>
      </c>
      <c r="F22" s="37" t="s">
        <v>109</v>
      </c>
      <c r="G22" s="37" t="s">
        <v>282</v>
      </c>
      <c r="H22" s="37" t="s">
        <v>171</v>
      </c>
      <c r="I22" s="37" t="s">
        <v>249</v>
      </c>
      <c r="J22" s="37" t="s">
        <v>283</v>
      </c>
      <c r="K22" s="37" t="s">
        <v>249</v>
      </c>
      <c r="L22" s="37">
        <v>2</v>
      </c>
      <c r="M22" s="37">
        <f t="shared" si="11"/>
        <v>10</v>
      </c>
      <c r="N22" s="37">
        <v>15</v>
      </c>
      <c r="O22" s="61" t="s">
        <v>251</v>
      </c>
      <c r="P22" s="38">
        <v>0.13789999999999999</v>
      </c>
      <c r="Q22" s="52">
        <f t="shared" si="12"/>
        <v>2.0684999999999998</v>
      </c>
      <c r="R22" s="37"/>
      <c r="S22" s="59"/>
    </row>
    <row r="23" spans="1:19" ht="24" x14ac:dyDescent="0.25">
      <c r="A23" s="1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>L23*5</f>
        <v>5</v>
      </c>
      <c r="N23" s="37">
        <v>10</v>
      </c>
      <c r="O23" s="61" t="s">
        <v>251</v>
      </c>
      <c r="P23" s="38">
        <v>9.2999999999999999E-2</v>
      </c>
      <c r="Q23" s="38">
        <f>P23*N23</f>
        <v>0.92999999999999994</v>
      </c>
      <c r="R23" s="37"/>
      <c r="S23" s="59"/>
    </row>
    <row r="24" spans="1:19" x14ac:dyDescent="0.25">
      <c r="A24" s="1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51">
        <f t="shared" ref="M24" si="13">L24*5</f>
        <v>10</v>
      </c>
      <c r="N24" s="51">
        <v>15</v>
      </c>
      <c r="O24" s="61" t="s">
        <v>251</v>
      </c>
      <c r="P24" s="52">
        <v>0.18790000000000001</v>
      </c>
      <c r="Q24" s="52">
        <f t="shared" ref="Q24" si="14">P24*N24</f>
        <v>2.8185000000000002</v>
      </c>
      <c r="R24" s="51"/>
      <c r="S24" s="59"/>
    </row>
    <row r="25" spans="1:19" x14ac:dyDescent="0.25">
      <c r="A25" s="1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>L25*5</f>
        <v>5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</row>
    <row r="26" spans="1:19" x14ac:dyDescent="0.25">
      <c r="A26" s="1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51" t="s">
        <v>249</v>
      </c>
      <c r="J26" s="51" t="s">
        <v>249</v>
      </c>
      <c r="K26" s="51" t="s">
        <v>249</v>
      </c>
      <c r="L26" s="51">
        <v>1</v>
      </c>
      <c r="M26" s="51">
        <f t="shared" ref="M26" si="15">L26*5</f>
        <v>5</v>
      </c>
      <c r="N26" s="51">
        <v>6</v>
      </c>
      <c r="O26" s="61" t="s">
        <v>264</v>
      </c>
      <c r="P26" s="52">
        <v>3.47</v>
      </c>
      <c r="Q26" s="52">
        <f t="shared" ref="Q26" si="16">P26*N26</f>
        <v>20.82</v>
      </c>
      <c r="R26" s="51"/>
      <c r="S26" s="59"/>
    </row>
    <row r="27" spans="1:19" ht="24" x14ac:dyDescent="0.25">
      <c r="A27" s="1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37" t="s">
        <v>249</v>
      </c>
      <c r="J27" s="37" t="s">
        <v>185</v>
      </c>
      <c r="K27" s="37" t="s">
        <v>217</v>
      </c>
      <c r="L27" s="37">
        <v>1</v>
      </c>
      <c r="M27" s="37">
        <f>L27*5</f>
        <v>5</v>
      </c>
      <c r="N27" s="37">
        <v>6</v>
      </c>
      <c r="O27" s="61" t="s">
        <v>251</v>
      </c>
      <c r="P27" s="38">
        <v>0.94820000000000004</v>
      </c>
      <c r="Q27" s="38">
        <f>P27*N27</f>
        <v>5.6892000000000005</v>
      </c>
      <c r="R27" s="37"/>
      <c r="S27" s="59"/>
    </row>
    <row r="28" spans="1:19" ht="48" x14ac:dyDescent="0.25">
      <c r="A28" s="1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51" t="s">
        <v>249</v>
      </c>
      <c r="J28" s="51" t="s">
        <v>186</v>
      </c>
      <c r="K28" s="37" t="s">
        <v>249</v>
      </c>
      <c r="L28" s="51">
        <v>1</v>
      </c>
      <c r="M28" s="51">
        <f t="shared" ref="M28" si="17">L28*5</f>
        <v>5</v>
      </c>
      <c r="N28" s="51">
        <v>20</v>
      </c>
      <c r="O28" s="61" t="s">
        <v>251</v>
      </c>
      <c r="P28" s="52">
        <v>3.3500000000000002E-2</v>
      </c>
      <c r="Q28" s="52">
        <f t="shared" ref="Q28" si="18">P28*N28</f>
        <v>0.67</v>
      </c>
      <c r="R28" s="51"/>
      <c r="S28" s="59"/>
    </row>
    <row r="29" spans="1:19" ht="24" x14ac:dyDescent="0.25">
      <c r="A29" s="1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37" t="s">
        <v>249</v>
      </c>
      <c r="J29" s="37" t="s">
        <v>253</v>
      </c>
      <c r="K29" s="51" t="s">
        <v>249</v>
      </c>
      <c r="L29" s="37">
        <v>1</v>
      </c>
      <c r="M29" s="37">
        <f>L29*5</f>
        <v>5</v>
      </c>
      <c r="N29" s="37">
        <v>6</v>
      </c>
      <c r="O29" s="61" t="s">
        <v>251</v>
      </c>
      <c r="P29" s="38">
        <v>0.3453</v>
      </c>
      <c r="Q29" s="38">
        <f>P29*N29</f>
        <v>2.0718000000000001</v>
      </c>
      <c r="R29" s="37"/>
      <c r="S29" s="59"/>
    </row>
    <row r="30" spans="1:19" ht="36" x14ac:dyDescent="0.25">
      <c r="A30" s="1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51" t="s">
        <v>249</v>
      </c>
      <c r="J30" s="51" t="s">
        <v>187</v>
      </c>
      <c r="K30" s="51" t="s">
        <v>218</v>
      </c>
      <c r="L30" s="51">
        <v>1</v>
      </c>
      <c r="M30" s="51">
        <f t="shared" ref="M30" si="19">L30*5</f>
        <v>5</v>
      </c>
      <c r="N30" s="51">
        <v>100</v>
      </c>
      <c r="O30" s="61" t="s">
        <v>251</v>
      </c>
      <c r="P30" s="52">
        <v>1.8E-3</v>
      </c>
      <c r="Q30" s="52">
        <f t="shared" ref="Q30" si="20">P30*N30</f>
        <v>0.18</v>
      </c>
      <c r="R30" s="51"/>
      <c r="S30" s="59"/>
    </row>
    <row r="31" spans="1:19" x14ac:dyDescent="0.25">
      <c r="A31" s="1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37" t="s">
        <v>249</v>
      </c>
      <c r="J31" s="37" t="s">
        <v>188</v>
      </c>
      <c r="K31" s="37" t="s">
        <v>219</v>
      </c>
      <c r="L31" s="37">
        <v>1</v>
      </c>
      <c r="M31" s="37">
        <f>L31*5</f>
        <v>5</v>
      </c>
      <c r="N31" s="37">
        <v>50</v>
      </c>
      <c r="O31" s="61" t="s">
        <v>251</v>
      </c>
      <c r="P31" s="38">
        <v>5.4999999999999997E-3</v>
      </c>
      <c r="Q31" s="38">
        <f>P31*N31</f>
        <v>0.27499999999999997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51" t="s">
        <v>249</v>
      </c>
      <c r="J32" s="51" t="s">
        <v>189</v>
      </c>
      <c r="K32" s="51" t="s">
        <v>220</v>
      </c>
      <c r="L32" s="51">
        <v>2</v>
      </c>
      <c r="M32" s="51">
        <f t="shared" ref="M32" si="21">L32*5</f>
        <v>10</v>
      </c>
      <c r="N32" s="51">
        <v>100</v>
      </c>
      <c r="O32" s="61" t="s">
        <v>251</v>
      </c>
      <c r="P32" s="52">
        <v>6.9999999999999999E-4</v>
      </c>
      <c r="Q32" s="52">
        <f t="shared" ref="Q32" si="22">P32*N32</f>
        <v>6.9999999999999993E-2</v>
      </c>
      <c r="R32" s="51"/>
      <c r="S32" s="59"/>
    </row>
    <row r="33" spans="1:19" x14ac:dyDescent="0.25">
      <c r="A33" s="1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>L33*5</f>
        <v>5</v>
      </c>
      <c r="N33" s="37">
        <v>10</v>
      </c>
      <c r="O33" s="61" t="s">
        <v>251</v>
      </c>
      <c r="P33" s="38">
        <v>7.4800000000000005E-2</v>
      </c>
      <c r="Q33" s="38">
        <f>P33*N33</f>
        <v>0.748</v>
      </c>
      <c r="R33" s="37"/>
      <c r="S33" s="59"/>
    </row>
    <row r="34" spans="1:19" x14ac:dyDescent="0.25">
      <c r="A34" s="1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51">
        <f t="shared" ref="M34" si="23">L34*5</f>
        <v>5</v>
      </c>
      <c r="N34" s="51">
        <v>100</v>
      </c>
      <c r="O34" s="61" t="s">
        <v>251</v>
      </c>
      <c r="P34" s="52">
        <v>6.9999999999999999E-4</v>
      </c>
      <c r="Q34" s="52">
        <f t="shared" ref="Q34" si="24">P34*N34</f>
        <v>6.9999999999999993E-2</v>
      </c>
      <c r="R34" s="51"/>
      <c r="S34" s="59"/>
    </row>
    <row r="35" spans="1:19" ht="24" x14ac:dyDescent="0.25">
      <c r="A35" s="1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>L35*5</f>
        <v>5</v>
      </c>
      <c r="N35" s="37">
        <v>100</v>
      </c>
      <c r="O35" s="61" t="s">
        <v>251</v>
      </c>
      <c r="P35" s="38">
        <v>1E-3</v>
      </c>
      <c r="Q35" s="38">
        <f>P35*N35</f>
        <v>0.1</v>
      </c>
      <c r="R35" s="37"/>
      <c r="S35" s="59"/>
    </row>
    <row r="36" spans="1:19" x14ac:dyDescent="0.25">
      <c r="A36" s="1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51">
        <f t="shared" ref="M36" si="25">L36*5</f>
        <v>5</v>
      </c>
      <c r="N36" s="51">
        <v>100</v>
      </c>
      <c r="O36" s="61" t="s">
        <v>251</v>
      </c>
      <c r="P36" s="52">
        <v>1.1999999999999999E-3</v>
      </c>
      <c r="Q36" s="52">
        <f t="shared" ref="Q36" si="26">P36*N36</f>
        <v>0.12</v>
      </c>
      <c r="R36" s="51"/>
      <c r="S36" s="59"/>
    </row>
    <row r="37" spans="1:19" x14ac:dyDescent="0.25">
      <c r="A37" s="1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>L37*5</f>
        <v>5</v>
      </c>
      <c r="N37" s="37">
        <v>100</v>
      </c>
      <c r="O37" s="61" t="s">
        <v>251</v>
      </c>
      <c r="P37" s="38">
        <v>8.9999999999999998E-4</v>
      </c>
      <c r="Q37" s="38">
        <f>P37*N37</f>
        <v>0.09</v>
      </c>
      <c r="R37" s="37"/>
      <c r="S37" s="59"/>
    </row>
    <row r="38" spans="1:19" x14ac:dyDescent="0.25">
      <c r="A38" s="1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51">
        <f t="shared" ref="M38" si="27">L38*5</f>
        <v>5</v>
      </c>
      <c r="N38" s="51">
        <v>50</v>
      </c>
      <c r="O38" s="61" t="s">
        <v>251</v>
      </c>
      <c r="P38" s="52">
        <v>5.4999999999999997E-3</v>
      </c>
      <c r="Q38" s="52">
        <f t="shared" ref="Q38" si="28">P38*N38</f>
        <v>0.27499999999999997</v>
      </c>
      <c r="R38" s="51"/>
      <c r="S38" s="59"/>
    </row>
    <row r="39" spans="1:19" ht="24" x14ac:dyDescent="0.25">
      <c r="A39" s="1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>L39*5</f>
        <v>65</v>
      </c>
      <c r="N39" s="37">
        <v>100</v>
      </c>
      <c r="O39" s="61" t="s">
        <v>251</v>
      </c>
      <c r="P39" s="38">
        <v>8.9999999999999998E-4</v>
      </c>
      <c r="Q39" s="38">
        <f>P39*N39</f>
        <v>0.09</v>
      </c>
      <c r="R39" s="37"/>
      <c r="S39" s="59"/>
    </row>
    <row r="40" spans="1:19" x14ac:dyDescent="0.25">
      <c r="A40" s="1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51">
        <f t="shared" ref="M40" si="29">L40*5</f>
        <v>15</v>
      </c>
      <c r="N40" s="51">
        <v>100</v>
      </c>
      <c r="O40" s="61" t="s">
        <v>251</v>
      </c>
      <c r="P40" s="52">
        <v>1.2999999999999999E-3</v>
      </c>
      <c r="Q40" s="52">
        <f t="shared" ref="Q40" si="30">P40*N40</f>
        <v>0.13</v>
      </c>
      <c r="R40" s="51"/>
      <c r="S40" s="59"/>
    </row>
    <row r="41" spans="1:19" x14ac:dyDescent="0.25">
      <c r="A41" s="1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51">
        <f t="shared" ref="M41" si="31">L41*5</f>
        <v>5</v>
      </c>
      <c r="N41" s="51">
        <v>100</v>
      </c>
      <c r="O41" s="61" t="s">
        <v>251</v>
      </c>
      <c r="P41" s="52">
        <v>1E-3</v>
      </c>
      <c r="Q41" s="52">
        <f t="shared" ref="Q41" si="32">P41*N41</f>
        <v>0.1</v>
      </c>
      <c r="R41" s="51"/>
      <c r="S41" s="59"/>
    </row>
    <row r="42" spans="1:19" x14ac:dyDescent="0.25">
      <c r="A42" s="1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>L42*5</f>
        <v>10</v>
      </c>
      <c r="N42" s="37">
        <v>100</v>
      </c>
      <c r="O42" s="61" t="s">
        <v>251</v>
      </c>
      <c r="P42" s="38">
        <v>1.1000000000000001E-3</v>
      </c>
      <c r="Q42" s="38">
        <f>P42*N42</f>
        <v>0.11</v>
      </c>
      <c r="R42" s="37"/>
      <c r="S42" s="59"/>
    </row>
    <row r="43" spans="1:19" x14ac:dyDescent="0.25">
      <c r="A43" s="1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>L43*5</f>
        <v>20</v>
      </c>
      <c r="N43" s="37">
        <v>100</v>
      </c>
      <c r="O43" s="61" t="s">
        <v>251</v>
      </c>
      <c r="P43" s="38">
        <v>1E-3</v>
      </c>
      <c r="Q43" s="38">
        <f>P43*N43</f>
        <v>0.1</v>
      </c>
      <c r="R43" s="37"/>
      <c r="S43" s="59"/>
    </row>
    <row r="44" spans="1:19" x14ac:dyDescent="0.25">
      <c r="A44" s="1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51">
        <f t="shared" ref="M44" si="33">L44*5</f>
        <v>5</v>
      </c>
      <c r="N44" s="51">
        <v>100</v>
      </c>
      <c r="O44" s="61" t="s">
        <v>251</v>
      </c>
      <c r="P44" s="52">
        <v>2.7000000000000001E-3</v>
      </c>
      <c r="Q44" s="52">
        <f t="shared" ref="Q44" si="34">P44*N44</f>
        <v>0.27</v>
      </c>
      <c r="R44" s="51"/>
      <c r="S44" s="59"/>
    </row>
    <row r="45" spans="1:19" x14ac:dyDescent="0.25">
      <c r="A45" s="1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>L45*5</f>
        <v>20</v>
      </c>
      <c r="N45" s="37">
        <v>100</v>
      </c>
      <c r="O45" s="61" t="s">
        <v>251</v>
      </c>
      <c r="P45" s="38">
        <v>1.1999999999999999E-3</v>
      </c>
      <c r="Q45" s="38">
        <f>P45*N45</f>
        <v>0.12</v>
      </c>
      <c r="R45" s="37"/>
      <c r="S45" s="59"/>
    </row>
    <row r="46" spans="1:19" x14ac:dyDescent="0.25">
      <c r="A46" s="1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51">
        <f t="shared" ref="M46" si="35">L46*5</f>
        <v>5</v>
      </c>
      <c r="N46" s="51">
        <v>100</v>
      </c>
      <c r="O46" s="61" t="s">
        <v>251</v>
      </c>
      <c r="P46" s="52">
        <v>1.2999999999999999E-3</v>
      </c>
      <c r="Q46" s="52">
        <f t="shared" ref="Q46" si="36">P46*N46</f>
        <v>0.13</v>
      </c>
      <c r="R46" s="51"/>
      <c r="S46" s="59"/>
    </row>
    <row r="47" spans="1:19" x14ac:dyDescent="0.25">
      <c r="A47" s="1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>L47*5</f>
        <v>5</v>
      </c>
      <c r="N47" s="37">
        <v>100</v>
      </c>
      <c r="O47" s="61" t="s">
        <v>251</v>
      </c>
      <c r="P47" s="38">
        <v>1.2999999999999999E-3</v>
      </c>
      <c r="Q47" s="38">
        <f>P47*N47</f>
        <v>0.13</v>
      </c>
      <c r="R47" s="37"/>
      <c r="S47" s="59"/>
    </row>
    <row r="48" spans="1:19" x14ac:dyDescent="0.25">
      <c r="A48" s="1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51">
        <f t="shared" ref="M48" si="37">L48*5</f>
        <v>5</v>
      </c>
      <c r="N48" s="51">
        <v>6</v>
      </c>
      <c r="O48" s="61" t="s">
        <v>251</v>
      </c>
      <c r="P48" s="52">
        <v>2.1716000000000002</v>
      </c>
      <c r="Q48" s="52">
        <f t="shared" ref="Q48" si="38">P48*N48</f>
        <v>13.029600000000002</v>
      </c>
      <c r="R48" s="51"/>
      <c r="S48" s="59"/>
    </row>
    <row r="49" spans="1:19" ht="24" x14ac:dyDescent="0.25">
      <c r="A49" s="1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>L49*5</f>
        <v>5</v>
      </c>
      <c r="N49" s="37">
        <v>6</v>
      </c>
      <c r="O49" s="61" t="s">
        <v>251</v>
      </c>
      <c r="P49" s="38">
        <v>0.64910000000000001</v>
      </c>
      <c r="Q49" s="38">
        <f>P49*N49</f>
        <v>3.8946000000000001</v>
      </c>
      <c r="R49" s="37"/>
      <c r="S49" s="59"/>
    </row>
    <row r="50" spans="1:19" x14ac:dyDescent="0.25">
      <c r="A50" s="1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51">
        <f t="shared" ref="M50" si="39">L50*5</f>
        <v>5</v>
      </c>
      <c r="N50" s="51">
        <v>6</v>
      </c>
      <c r="O50" s="61" t="s">
        <v>251</v>
      </c>
      <c r="P50" s="52">
        <v>2.6839</v>
      </c>
      <c r="Q50" s="52">
        <f t="shared" ref="Q50" si="40">P50*N50</f>
        <v>16.103400000000001</v>
      </c>
      <c r="R50" s="51"/>
      <c r="S50" s="59"/>
    </row>
    <row r="51" spans="1:19" ht="15.75" thickBot="1" x14ac:dyDescent="0.3">
      <c r="A51" s="1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51">
        <f t="shared" ref="M51:M52" si="41">L51*5</f>
        <v>5</v>
      </c>
      <c r="N51" s="51">
        <v>6</v>
      </c>
      <c r="O51" s="61" t="s">
        <v>251</v>
      </c>
      <c r="P51" s="52">
        <v>0.25240000000000001</v>
      </c>
      <c r="Q51" s="52">
        <f t="shared" ref="Q51:Q52" si="42">P51*N51</f>
        <v>1.5144000000000002</v>
      </c>
      <c r="R51" s="51"/>
      <c r="S51" s="39"/>
    </row>
    <row r="52" spans="1:19" ht="15.75" thickBot="1" x14ac:dyDescent="0.3">
      <c r="A52" s="1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51">
        <f t="shared" si="41"/>
        <v>5</v>
      </c>
      <c r="N52" s="51">
        <v>5</v>
      </c>
      <c r="O52" s="61" t="s">
        <v>251</v>
      </c>
      <c r="P52" s="52">
        <v>1.3189</v>
      </c>
      <c r="Q52" s="52">
        <f t="shared" si="42"/>
        <v>6.5945</v>
      </c>
      <c r="R52" s="51"/>
      <c r="S52" s="39"/>
    </row>
    <row r="53" spans="1:19" ht="19.5" thickBot="1" x14ac:dyDescent="0.3">
      <c r="A53" s="1"/>
      <c r="B53" s="40"/>
      <c r="C53" s="41"/>
      <c r="D53" s="42"/>
      <c r="E53" s="43"/>
      <c r="F53" s="44"/>
      <c r="G53" s="45"/>
      <c r="H53" s="44"/>
      <c r="I53" s="45"/>
      <c r="J53" s="44"/>
      <c r="K53" s="45"/>
      <c r="L53" s="45"/>
      <c r="M53" s="45"/>
      <c r="N53" s="85" t="s">
        <v>5</v>
      </c>
      <c r="O53" s="86"/>
      <c r="P53" s="86"/>
      <c r="Q53" s="48">
        <f>SUM(Q10:Q52)</f>
        <v>96.000900000000016</v>
      </c>
      <c r="R53" s="81"/>
      <c r="S53" s="82"/>
    </row>
    <row r="54" spans="1:19" ht="19.5" thickBot="1" x14ac:dyDescent="0.3">
      <c r="A54" s="1"/>
      <c r="B54" s="25"/>
      <c r="C54" s="36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85" t="s">
        <v>6</v>
      </c>
      <c r="O54" s="86"/>
      <c r="P54" s="86"/>
      <c r="Q54" s="49">
        <f>Q53/5</f>
        <v>19.200180000000003</v>
      </c>
      <c r="R54" s="83"/>
      <c r="S54" s="84"/>
    </row>
  </sheetData>
  <mergeCells count="5">
    <mergeCell ref="K1:S1"/>
    <mergeCell ref="S3:S8"/>
    <mergeCell ref="R53:S54"/>
    <mergeCell ref="N53:P53"/>
    <mergeCell ref="N54:P54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</hyperlinks>
  <pageMargins left="0.7" right="0.7" top="0.75" bottom="0.75" header="0.3" footer="0.3"/>
  <pageSetup paperSize="9" orientation="portrait" r:id="rId43"/>
  <drawing r:id="rId4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"/>
  <sheetViews>
    <sheetView topLeftCell="A10" workbookViewId="0">
      <selection activeCell="P30" sqref="P30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6.85546875" customWidth="1"/>
    <col min="6" max="6" width="12.5703125" customWidth="1"/>
    <col min="7" max="7" width="25.28515625" bestFit="1" customWidth="1"/>
    <col min="8" max="8" width="15.1406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7.7109375" bestFit="1" customWidth="1"/>
    <col min="16" max="16" width="18.7109375" bestFit="1" customWidth="1"/>
    <col min="17" max="17" width="19.28515625" bestFit="1" customWidth="1"/>
    <col min="19" max="19" width="26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284</v>
      </c>
      <c r="N9" s="30" t="s">
        <v>285</v>
      </c>
      <c r="O9" s="30" t="s">
        <v>244</v>
      </c>
      <c r="P9" s="30" t="s">
        <v>286</v>
      </c>
      <c r="Q9" s="30" t="s">
        <v>287</v>
      </c>
      <c r="R9" s="30" t="s">
        <v>247</v>
      </c>
      <c r="S9" s="30" t="s">
        <v>248</v>
      </c>
    </row>
    <row r="10" spans="1:19" s="67" customFormat="1" ht="24" x14ac:dyDescent="0.25">
      <c r="A10" s="65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L10*20</f>
        <v>200</v>
      </c>
      <c r="N10" s="37">
        <v>250</v>
      </c>
      <c r="O10" s="61" t="s">
        <v>251</v>
      </c>
      <c r="P10" s="38">
        <v>1.0999999999999999E-2</v>
      </c>
      <c r="Q10" s="38">
        <f>P10*N10</f>
        <v>2.75</v>
      </c>
      <c r="R10" s="37"/>
      <c r="S10" s="66"/>
    </row>
    <row r="11" spans="1:19" s="67" customFormat="1" ht="36" x14ac:dyDescent="0.25">
      <c r="A11" s="65"/>
      <c r="B11" s="47">
        <f t="shared" ref="B11:B52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37">
        <f t="shared" ref="M11:M52" si="1">L11*20</f>
        <v>20</v>
      </c>
      <c r="N11" s="51">
        <v>30</v>
      </c>
      <c r="O11" s="61" t="s">
        <v>251</v>
      </c>
      <c r="P11" s="52">
        <v>1.7399999999999999E-2</v>
      </c>
      <c r="Q11" s="52">
        <f t="shared" ref="Q11" si="2">P11*N11</f>
        <v>0.52200000000000002</v>
      </c>
      <c r="R11" s="51"/>
      <c r="S11" s="51"/>
    </row>
    <row r="12" spans="1:19" s="67" customFormat="1" x14ac:dyDescent="0.25">
      <c r="A12" s="65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 t="shared" si="1"/>
        <v>60</v>
      </c>
      <c r="N12" s="37">
        <v>100</v>
      </c>
      <c r="O12" s="61" t="s">
        <v>251</v>
      </c>
      <c r="P12" s="38">
        <v>1.2E-2</v>
      </c>
      <c r="Q12" s="38">
        <f>P12*N12</f>
        <v>1.2</v>
      </c>
      <c r="R12" s="37"/>
      <c r="S12" s="59"/>
    </row>
    <row r="13" spans="1:19" s="67" customFormat="1" x14ac:dyDescent="0.25">
      <c r="A13" s="65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37">
        <f t="shared" si="1"/>
        <v>20</v>
      </c>
      <c r="N13" s="51">
        <v>21</v>
      </c>
      <c r="O13" s="61" t="s">
        <v>251</v>
      </c>
      <c r="P13" s="52">
        <v>1.0437000000000001</v>
      </c>
      <c r="Q13" s="52">
        <f t="shared" ref="Q13" si="3">P13*N13</f>
        <v>21.9177</v>
      </c>
      <c r="R13" s="51"/>
      <c r="S13" s="59"/>
    </row>
    <row r="14" spans="1:19" s="67" customFormat="1" x14ac:dyDescent="0.25">
      <c r="A14" s="65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 t="shared" si="1"/>
        <v>20</v>
      </c>
      <c r="N14" s="37">
        <v>100</v>
      </c>
      <c r="O14" s="61" t="s">
        <v>251</v>
      </c>
      <c r="P14" s="38">
        <v>2.5000000000000001E-3</v>
      </c>
      <c r="Q14" s="38">
        <f>P14*N14</f>
        <v>0.25</v>
      </c>
      <c r="R14" s="37"/>
      <c r="S14" s="59"/>
    </row>
    <row r="15" spans="1:19" s="67" customFormat="1" x14ac:dyDescent="0.25">
      <c r="A15" s="65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37">
        <f t="shared" si="1"/>
        <v>60</v>
      </c>
      <c r="N15" s="51">
        <v>100</v>
      </c>
      <c r="O15" s="61" t="s">
        <v>251</v>
      </c>
      <c r="P15" s="52">
        <v>1.9E-3</v>
      </c>
      <c r="Q15" s="52">
        <f t="shared" ref="Q15" si="4">P15*N15</f>
        <v>0.19</v>
      </c>
      <c r="R15" s="51"/>
      <c r="S15" s="59"/>
    </row>
    <row r="16" spans="1:19" s="67" customFormat="1" x14ac:dyDescent="0.25">
      <c r="A16" s="65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 t="shared" si="1"/>
        <v>20</v>
      </c>
      <c r="N16" s="37">
        <v>21</v>
      </c>
      <c r="O16" s="61" t="s">
        <v>251</v>
      </c>
      <c r="P16" s="38">
        <v>0.75260000000000005</v>
      </c>
      <c r="Q16" s="38">
        <f>P16*N16</f>
        <v>15.804600000000001</v>
      </c>
      <c r="R16" s="37"/>
      <c r="S16" s="59"/>
    </row>
    <row r="17" spans="1:19" s="67" customFormat="1" x14ac:dyDescent="0.25">
      <c r="A17" s="65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37">
        <f t="shared" si="1"/>
        <v>40</v>
      </c>
      <c r="N17" s="51">
        <v>100</v>
      </c>
      <c r="O17" s="61" t="s">
        <v>251</v>
      </c>
      <c r="P17" s="52">
        <v>2.8E-3</v>
      </c>
      <c r="Q17" s="52">
        <f t="shared" ref="Q17" si="5">P17*N17</f>
        <v>0.27999999999999997</v>
      </c>
      <c r="R17" s="51"/>
      <c r="S17" s="59"/>
    </row>
    <row r="18" spans="1:19" s="67" customFormat="1" x14ac:dyDescent="0.25">
      <c r="A18" s="65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 t="shared" si="1"/>
        <v>40</v>
      </c>
      <c r="N18" s="37">
        <v>100</v>
      </c>
      <c r="O18" s="61" t="s">
        <v>251</v>
      </c>
      <c r="P18" s="38">
        <v>6.8999999999999999E-3</v>
      </c>
      <c r="Q18" s="38">
        <f>P18*N18</f>
        <v>0.69</v>
      </c>
      <c r="R18" s="37"/>
      <c r="S18" s="59"/>
    </row>
    <row r="19" spans="1:19" s="67" customFormat="1" x14ac:dyDescent="0.25">
      <c r="A19" s="65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37">
        <f t="shared" si="1"/>
        <v>20</v>
      </c>
      <c r="N19" s="51">
        <v>30</v>
      </c>
      <c r="O19" s="61" t="s">
        <v>251</v>
      </c>
      <c r="P19" s="52">
        <v>4.1700000000000001E-2</v>
      </c>
      <c r="Q19" s="52">
        <f t="shared" ref="Q19" si="6">P19*N19</f>
        <v>1.2510000000000001</v>
      </c>
      <c r="R19" s="51"/>
      <c r="S19" s="59"/>
    </row>
    <row r="20" spans="1:19" s="67" customFormat="1" ht="24" x14ac:dyDescent="0.25">
      <c r="A20" s="65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 t="shared" si="1"/>
        <v>20</v>
      </c>
      <c r="N20" s="37">
        <v>30</v>
      </c>
      <c r="O20" s="61" t="s">
        <v>251</v>
      </c>
      <c r="P20" s="38">
        <v>4.6899999999999997E-2</v>
      </c>
      <c r="Q20" s="38">
        <f>P20*N20</f>
        <v>1.407</v>
      </c>
      <c r="R20" s="37"/>
      <c r="S20" s="59"/>
    </row>
    <row r="21" spans="1:19" s="67" customFormat="1" x14ac:dyDescent="0.25">
      <c r="A21" s="65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37">
        <f t="shared" si="1"/>
        <v>20</v>
      </c>
      <c r="N21" s="51">
        <v>25</v>
      </c>
      <c r="O21" s="61" t="s">
        <v>251</v>
      </c>
      <c r="P21" s="52">
        <v>4.5600000000000002E-2</v>
      </c>
      <c r="Q21" s="52">
        <f t="shared" ref="Q21:Q22" si="7">P21*N21</f>
        <v>1.1400000000000001</v>
      </c>
      <c r="R21" s="51"/>
      <c r="S21" s="59"/>
    </row>
    <row r="22" spans="1:19" s="74" customFormat="1" x14ac:dyDescent="0.25">
      <c r="A22" s="68"/>
      <c r="B22" s="75">
        <f t="shared" si="0"/>
        <v>13</v>
      </c>
      <c r="C22" s="69" t="s">
        <v>18</v>
      </c>
      <c r="D22" s="70" t="s">
        <v>280</v>
      </c>
      <c r="E22" s="70" t="s">
        <v>281</v>
      </c>
      <c r="F22" s="70" t="s">
        <v>109</v>
      </c>
      <c r="G22" s="70" t="s">
        <v>282</v>
      </c>
      <c r="H22" s="70" t="s">
        <v>171</v>
      </c>
      <c r="I22" s="37" t="s">
        <v>249</v>
      </c>
      <c r="J22" s="70" t="s">
        <v>283</v>
      </c>
      <c r="K22" s="70" t="s">
        <v>249</v>
      </c>
      <c r="L22" s="70">
        <v>2</v>
      </c>
      <c r="M22" s="70">
        <f t="shared" si="1"/>
        <v>40</v>
      </c>
      <c r="N22" s="70">
        <v>45</v>
      </c>
      <c r="O22" s="71" t="s">
        <v>251</v>
      </c>
      <c r="P22" s="72">
        <v>0.13789999999999999</v>
      </c>
      <c r="Q22" s="76">
        <f t="shared" si="7"/>
        <v>6.2054999999999998</v>
      </c>
      <c r="R22" s="70"/>
      <c r="S22" s="73"/>
    </row>
    <row r="23" spans="1:19" s="67" customFormat="1" ht="36" x14ac:dyDescent="0.25">
      <c r="A23" s="65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 t="shared" si="1"/>
        <v>20</v>
      </c>
      <c r="N23" s="37">
        <v>25</v>
      </c>
      <c r="O23" s="61" t="s">
        <v>251</v>
      </c>
      <c r="P23" s="38">
        <v>9.2999999999999999E-2</v>
      </c>
      <c r="Q23" s="38">
        <f>P23*N23</f>
        <v>2.3250000000000002</v>
      </c>
      <c r="R23" s="37"/>
      <c r="S23" s="59"/>
    </row>
    <row r="24" spans="1:19" s="67" customFormat="1" ht="25.5" x14ac:dyDescent="0.25">
      <c r="A24" s="65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37">
        <f t="shared" si="1"/>
        <v>40</v>
      </c>
      <c r="N24" s="51">
        <v>45</v>
      </c>
      <c r="O24" s="61" t="s">
        <v>251</v>
      </c>
      <c r="P24" s="52">
        <v>0.14219999999999999</v>
      </c>
      <c r="Q24" s="52">
        <f t="shared" ref="Q24" si="8">P24*N24</f>
        <v>6.399</v>
      </c>
      <c r="R24" s="51"/>
      <c r="S24" s="59"/>
    </row>
    <row r="25" spans="1:19" s="67" customFormat="1" ht="25.5" x14ac:dyDescent="0.25">
      <c r="A25" s="65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 t="shared" si="1"/>
        <v>20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</row>
    <row r="26" spans="1:19" s="67" customFormat="1" ht="25.5" x14ac:dyDescent="0.25">
      <c r="A26" s="65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37" t="s">
        <v>249</v>
      </c>
      <c r="J26" s="51" t="s">
        <v>249</v>
      </c>
      <c r="K26" s="51" t="s">
        <v>249</v>
      </c>
      <c r="L26" s="51">
        <v>1</v>
      </c>
      <c r="M26" s="37">
        <f t="shared" si="1"/>
        <v>20</v>
      </c>
      <c r="N26" s="51">
        <v>21</v>
      </c>
      <c r="O26" s="61" t="s">
        <v>264</v>
      </c>
      <c r="P26" s="52">
        <v>3.32</v>
      </c>
      <c r="Q26" s="52">
        <f t="shared" ref="Q26" si="9">P26*N26</f>
        <v>69.72</v>
      </c>
      <c r="R26" s="51"/>
      <c r="S26" s="59"/>
    </row>
    <row r="27" spans="1:19" s="67" customFormat="1" ht="24" x14ac:dyDescent="0.25">
      <c r="A27" s="65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51" t="s">
        <v>249</v>
      </c>
      <c r="J27" s="37" t="s">
        <v>185</v>
      </c>
      <c r="K27" s="37" t="s">
        <v>217</v>
      </c>
      <c r="L27" s="37">
        <v>1</v>
      </c>
      <c r="M27" s="37">
        <f t="shared" si="1"/>
        <v>20</v>
      </c>
      <c r="N27" s="37">
        <v>21</v>
      </c>
      <c r="O27" s="61" t="s">
        <v>251</v>
      </c>
      <c r="P27" s="38">
        <v>0.75409999999999999</v>
      </c>
      <c r="Q27" s="38">
        <f>P27*N27</f>
        <v>15.8361</v>
      </c>
      <c r="R27" s="37"/>
      <c r="S27" s="59"/>
    </row>
    <row r="28" spans="1:19" s="67" customFormat="1" ht="48" x14ac:dyDescent="0.25">
      <c r="A28" s="65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37" t="s">
        <v>249</v>
      </c>
      <c r="J28" s="51" t="s">
        <v>186</v>
      </c>
      <c r="K28" s="37" t="s">
        <v>249</v>
      </c>
      <c r="L28" s="51">
        <v>1</v>
      </c>
      <c r="M28" s="37">
        <f t="shared" si="1"/>
        <v>20</v>
      </c>
      <c r="N28" s="51">
        <v>40</v>
      </c>
      <c r="O28" s="61" t="s">
        <v>251</v>
      </c>
      <c r="P28" s="52">
        <v>3.3500000000000002E-2</v>
      </c>
      <c r="Q28" s="52">
        <f t="shared" ref="Q28" si="10">P28*N28</f>
        <v>1.34</v>
      </c>
      <c r="R28" s="51"/>
      <c r="S28" s="59"/>
    </row>
    <row r="29" spans="1:19" s="67" customFormat="1" ht="36" x14ac:dyDescent="0.25">
      <c r="A29" s="65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51" t="s">
        <v>249</v>
      </c>
      <c r="J29" s="37" t="s">
        <v>253</v>
      </c>
      <c r="K29" s="51" t="s">
        <v>249</v>
      </c>
      <c r="L29" s="37">
        <v>1</v>
      </c>
      <c r="M29" s="37">
        <f t="shared" si="1"/>
        <v>20</v>
      </c>
      <c r="N29" s="37">
        <v>25</v>
      </c>
      <c r="O29" s="61" t="s">
        <v>251</v>
      </c>
      <c r="P29" s="38">
        <v>0.3271</v>
      </c>
      <c r="Q29" s="38">
        <f>P29*N29</f>
        <v>8.1775000000000002</v>
      </c>
      <c r="R29" s="37"/>
      <c r="S29" s="59"/>
    </row>
    <row r="30" spans="1:19" s="67" customFormat="1" ht="48" x14ac:dyDescent="0.25">
      <c r="A30" s="65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37" t="s">
        <v>249</v>
      </c>
      <c r="J30" s="51" t="s">
        <v>187</v>
      </c>
      <c r="K30" s="51" t="s">
        <v>218</v>
      </c>
      <c r="L30" s="51">
        <v>1</v>
      </c>
      <c r="M30" s="37">
        <f t="shared" si="1"/>
        <v>20</v>
      </c>
      <c r="N30" s="51">
        <v>100</v>
      </c>
      <c r="O30" s="61" t="s">
        <v>251</v>
      </c>
      <c r="P30" s="52">
        <v>1.8E-3</v>
      </c>
      <c r="Q30" s="52">
        <f t="shared" ref="Q30" si="11">P30*N30</f>
        <v>0.18</v>
      </c>
      <c r="R30" s="51"/>
      <c r="S30" s="59"/>
    </row>
    <row r="31" spans="1:19" s="67" customFormat="1" x14ac:dyDescent="0.25">
      <c r="A31" s="65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51" t="s">
        <v>249</v>
      </c>
      <c r="J31" s="37" t="s">
        <v>188</v>
      </c>
      <c r="K31" s="37" t="s">
        <v>219</v>
      </c>
      <c r="L31" s="37">
        <v>1</v>
      </c>
      <c r="M31" s="37">
        <f t="shared" si="1"/>
        <v>20</v>
      </c>
      <c r="N31" s="37">
        <v>50</v>
      </c>
      <c r="O31" s="61" t="s">
        <v>251</v>
      </c>
      <c r="P31" s="38">
        <v>5.4999999999999997E-3</v>
      </c>
      <c r="Q31" s="38">
        <f>P31*N31</f>
        <v>0.27499999999999997</v>
      </c>
      <c r="R31" s="37"/>
      <c r="S31" s="59"/>
    </row>
    <row r="32" spans="1:19" s="67" customFormat="1" x14ac:dyDescent="0.25">
      <c r="A32" s="65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37" t="s">
        <v>249</v>
      </c>
      <c r="J32" s="51" t="s">
        <v>189</v>
      </c>
      <c r="K32" s="51" t="s">
        <v>220</v>
      </c>
      <c r="L32" s="51">
        <v>2</v>
      </c>
      <c r="M32" s="37">
        <f t="shared" si="1"/>
        <v>40</v>
      </c>
      <c r="N32" s="51">
        <v>100</v>
      </c>
      <c r="O32" s="61" t="s">
        <v>251</v>
      </c>
      <c r="P32" s="52">
        <v>6.9999999999999999E-4</v>
      </c>
      <c r="Q32" s="52">
        <f t="shared" ref="Q32" si="12">P32*N32</f>
        <v>6.9999999999999993E-2</v>
      </c>
      <c r="R32" s="51"/>
      <c r="S32" s="59"/>
    </row>
    <row r="33" spans="1:19" s="67" customFormat="1" x14ac:dyDescent="0.25">
      <c r="A33" s="65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 t="shared" si="1"/>
        <v>20</v>
      </c>
      <c r="N33" s="37">
        <v>25</v>
      </c>
      <c r="O33" s="61" t="s">
        <v>251</v>
      </c>
      <c r="P33" s="38">
        <v>8.5000000000000006E-2</v>
      </c>
      <c r="Q33" s="38">
        <f>P33*N33</f>
        <v>2.125</v>
      </c>
      <c r="R33" s="37"/>
      <c r="S33" s="59"/>
    </row>
    <row r="34" spans="1:19" s="67" customFormat="1" x14ac:dyDescent="0.25">
      <c r="A34" s="65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37">
        <f t="shared" si="1"/>
        <v>20</v>
      </c>
      <c r="N34" s="51">
        <v>100</v>
      </c>
      <c r="O34" s="61" t="s">
        <v>251</v>
      </c>
      <c r="P34" s="52">
        <v>6.9999999999999999E-4</v>
      </c>
      <c r="Q34" s="52">
        <f t="shared" ref="Q34" si="13">P34*N34</f>
        <v>6.9999999999999993E-2</v>
      </c>
      <c r="R34" s="51"/>
      <c r="S34" s="59"/>
    </row>
    <row r="35" spans="1:19" s="67" customFormat="1" ht="24" x14ac:dyDescent="0.25">
      <c r="A35" s="65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 t="shared" si="1"/>
        <v>20</v>
      </c>
      <c r="N35" s="37">
        <v>100</v>
      </c>
      <c r="O35" s="61" t="s">
        <v>251</v>
      </c>
      <c r="P35" s="38">
        <v>1E-3</v>
      </c>
      <c r="Q35" s="38">
        <f>P35*N35</f>
        <v>0.1</v>
      </c>
      <c r="R35" s="37"/>
      <c r="S35" s="59"/>
    </row>
    <row r="36" spans="1:19" s="67" customFormat="1" x14ac:dyDescent="0.25">
      <c r="A36" s="65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37">
        <f t="shared" si="1"/>
        <v>20</v>
      </c>
      <c r="N36" s="51">
        <v>100</v>
      </c>
      <c r="O36" s="61" t="s">
        <v>251</v>
      </c>
      <c r="P36" s="52">
        <v>1.1999999999999999E-3</v>
      </c>
      <c r="Q36" s="52">
        <f t="shared" ref="Q36" si="14">P36*N36</f>
        <v>0.12</v>
      </c>
      <c r="R36" s="51"/>
      <c r="S36" s="59"/>
    </row>
    <row r="37" spans="1:19" s="67" customFormat="1" x14ac:dyDescent="0.25">
      <c r="A37" s="65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 t="shared" si="1"/>
        <v>20</v>
      </c>
      <c r="N37" s="37">
        <v>100</v>
      </c>
      <c r="O37" s="61" t="s">
        <v>251</v>
      </c>
      <c r="P37" s="38">
        <v>8.9999999999999998E-4</v>
      </c>
      <c r="Q37" s="38">
        <f>P37*N37</f>
        <v>0.09</v>
      </c>
      <c r="R37" s="37"/>
      <c r="S37" s="59"/>
    </row>
    <row r="38" spans="1:19" s="67" customFormat="1" x14ac:dyDescent="0.25">
      <c r="A38" s="65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37">
        <f t="shared" si="1"/>
        <v>20</v>
      </c>
      <c r="N38" s="51">
        <v>50</v>
      </c>
      <c r="O38" s="61" t="s">
        <v>251</v>
      </c>
      <c r="P38" s="52">
        <v>5.4999999999999997E-3</v>
      </c>
      <c r="Q38" s="52">
        <f t="shared" ref="Q38" si="15">P38*N38</f>
        <v>0.27499999999999997</v>
      </c>
      <c r="R38" s="51"/>
      <c r="S38" s="59"/>
    </row>
    <row r="39" spans="1:19" s="67" customFormat="1" ht="24" x14ac:dyDescent="0.25">
      <c r="A39" s="65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 t="shared" si="1"/>
        <v>260</v>
      </c>
      <c r="N39" s="37">
        <v>300</v>
      </c>
      <c r="O39" s="61" t="s">
        <v>251</v>
      </c>
      <c r="P39" s="38">
        <v>8.9999999999999998E-4</v>
      </c>
      <c r="Q39" s="38">
        <f>P39*N39</f>
        <v>0.27</v>
      </c>
      <c r="R39" s="37"/>
      <c r="S39" s="59"/>
    </row>
    <row r="40" spans="1:19" s="67" customFormat="1" x14ac:dyDescent="0.25">
      <c r="A40" s="65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37">
        <f t="shared" si="1"/>
        <v>60</v>
      </c>
      <c r="N40" s="51">
        <v>100</v>
      </c>
      <c r="O40" s="61" t="s">
        <v>251</v>
      </c>
      <c r="P40" s="52">
        <v>1.2999999999999999E-3</v>
      </c>
      <c r="Q40" s="52">
        <f t="shared" ref="Q40:Q41" si="16">P40*N40</f>
        <v>0.13</v>
      </c>
      <c r="R40" s="51"/>
      <c r="S40" s="59"/>
    </row>
    <row r="41" spans="1:19" s="67" customFormat="1" x14ac:dyDescent="0.25">
      <c r="A41" s="65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37">
        <f t="shared" si="1"/>
        <v>20</v>
      </c>
      <c r="N41" s="51">
        <v>100</v>
      </c>
      <c r="O41" s="61" t="s">
        <v>251</v>
      </c>
      <c r="P41" s="52">
        <v>1E-3</v>
      </c>
      <c r="Q41" s="52">
        <f t="shared" si="16"/>
        <v>0.1</v>
      </c>
      <c r="R41" s="51"/>
      <c r="S41" s="59"/>
    </row>
    <row r="42" spans="1:19" s="67" customFormat="1" x14ac:dyDescent="0.25">
      <c r="A42" s="65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 t="shared" si="1"/>
        <v>40</v>
      </c>
      <c r="N42" s="37">
        <v>100</v>
      </c>
      <c r="O42" s="61" t="s">
        <v>251</v>
      </c>
      <c r="P42" s="38">
        <v>1.1000000000000001E-3</v>
      </c>
      <c r="Q42" s="38">
        <f>P42*N42</f>
        <v>0.11</v>
      </c>
      <c r="R42" s="37"/>
      <c r="S42" s="59"/>
    </row>
    <row r="43" spans="1:19" s="67" customFormat="1" ht="24" x14ac:dyDescent="0.25">
      <c r="A43" s="65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 t="shared" si="1"/>
        <v>80</v>
      </c>
      <c r="N43" s="37">
        <v>100</v>
      </c>
      <c r="O43" s="61" t="s">
        <v>251</v>
      </c>
      <c r="P43" s="38">
        <v>1E-3</v>
      </c>
      <c r="Q43" s="38">
        <f>P43*N43</f>
        <v>0.1</v>
      </c>
      <c r="R43" s="37"/>
      <c r="S43" s="59"/>
    </row>
    <row r="44" spans="1:19" s="67" customFormat="1" x14ac:dyDescent="0.25">
      <c r="A44" s="65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37">
        <f t="shared" si="1"/>
        <v>20</v>
      </c>
      <c r="N44" s="51">
        <v>100</v>
      </c>
      <c r="O44" s="61" t="s">
        <v>251</v>
      </c>
      <c r="P44" s="52">
        <v>2.7000000000000001E-3</v>
      </c>
      <c r="Q44" s="52">
        <f t="shared" ref="Q44" si="17">P44*N44</f>
        <v>0.27</v>
      </c>
      <c r="R44" s="51"/>
      <c r="S44" s="59"/>
    </row>
    <row r="45" spans="1:19" s="67" customFormat="1" x14ac:dyDescent="0.25">
      <c r="A45" s="65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 t="shared" si="1"/>
        <v>80</v>
      </c>
      <c r="N45" s="37">
        <v>100</v>
      </c>
      <c r="O45" s="61" t="s">
        <v>251</v>
      </c>
      <c r="P45" s="38">
        <v>1.1999999999999999E-3</v>
      </c>
      <c r="Q45" s="38">
        <f>P45*N45</f>
        <v>0.12</v>
      </c>
      <c r="R45" s="37"/>
      <c r="S45" s="59"/>
    </row>
    <row r="46" spans="1:19" s="67" customFormat="1" x14ac:dyDescent="0.25">
      <c r="A46" s="65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37">
        <f t="shared" si="1"/>
        <v>20</v>
      </c>
      <c r="N46" s="51">
        <v>100</v>
      </c>
      <c r="O46" s="61" t="s">
        <v>251</v>
      </c>
      <c r="P46" s="52">
        <v>1.2999999999999999E-3</v>
      </c>
      <c r="Q46" s="52">
        <f t="shared" ref="Q46" si="18">P46*N46</f>
        <v>0.13</v>
      </c>
      <c r="R46" s="51"/>
      <c r="S46" s="59"/>
    </row>
    <row r="47" spans="1:19" s="67" customFormat="1" ht="24" x14ac:dyDescent="0.25">
      <c r="A47" s="65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 t="shared" si="1"/>
        <v>20</v>
      </c>
      <c r="N47" s="37">
        <v>100</v>
      </c>
      <c r="O47" s="61" t="s">
        <v>251</v>
      </c>
      <c r="P47" s="38">
        <v>1.2999999999999999E-3</v>
      </c>
      <c r="Q47" s="38">
        <f>P47*N47</f>
        <v>0.13</v>
      </c>
      <c r="R47" s="37"/>
      <c r="S47" s="59"/>
    </row>
    <row r="48" spans="1:19" s="67" customFormat="1" ht="24" x14ac:dyDescent="0.25">
      <c r="A48" s="65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37">
        <f t="shared" si="1"/>
        <v>20</v>
      </c>
      <c r="N48" s="51">
        <v>21</v>
      </c>
      <c r="O48" s="61" t="s">
        <v>251</v>
      </c>
      <c r="P48" s="52">
        <v>1.8216000000000001</v>
      </c>
      <c r="Q48" s="52">
        <f t="shared" ref="Q48" si="19">P48*N48</f>
        <v>38.253600000000006</v>
      </c>
      <c r="R48" s="51"/>
      <c r="S48" s="59"/>
    </row>
    <row r="49" spans="1:19" s="67" customFormat="1" ht="24" x14ac:dyDescent="0.25">
      <c r="A49" s="65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 t="shared" si="1"/>
        <v>20</v>
      </c>
      <c r="N49" s="37">
        <v>21</v>
      </c>
      <c r="O49" s="61" t="s">
        <v>251</v>
      </c>
      <c r="P49" s="38">
        <v>0.55369999999999997</v>
      </c>
      <c r="Q49" s="38">
        <f>P49*N49</f>
        <v>11.627699999999999</v>
      </c>
      <c r="R49" s="37"/>
      <c r="S49" s="59"/>
    </row>
    <row r="50" spans="1:19" s="67" customFormat="1" ht="24" x14ac:dyDescent="0.25">
      <c r="A50" s="65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37">
        <f t="shared" si="1"/>
        <v>20</v>
      </c>
      <c r="N50" s="51">
        <v>21</v>
      </c>
      <c r="O50" s="61" t="s">
        <v>251</v>
      </c>
      <c r="P50" s="52">
        <v>2.3896000000000002</v>
      </c>
      <c r="Q50" s="52">
        <f t="shared" ref="Q50:Q52" si="20">P50*N50</f>
        <v>50.181600000000003</v>
      </c>
      <c r="R50" s="51"/>
      <c r="S50" s="59"/>
    </row>
    <row r="51" spans="1:19" s="67" customFormat="1" ht="15.75" thickBot="1" x14ac:dyDescent="0.3">
      <c r="A51" s="65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37">
        <f t="shared" si="1"/>
        <v>20</v>
      </c>
      <c r="N51" s="51">
        <v>21</v>
      </c>
      <c r="O51" s="61" t="s">
        <v>251</v>
      </c>
      <c r="P51" s="52">
        <v>0.2036</v>
      </c>
      <c r="Q51" s="52">
        <f t="shared" si="20"/>
        <v>4.2755999999999998</v>
      </c>
      <c r="R51" s="51"/>
      <c r="S51" s="39"/>
    </row>
    <row r="52" spans="1:19" s="67" customFormat="1" ht="15.75" thickBot="1" x14ac:dyDescent="0.3">
      <c r="A52" s="65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37">
        <f t="shared" si="1"/>
        <v>20</v>
      </c>
      <c r="N52" s="51">
        <v>20</v>
      </c>
      <c r="O52" s="61" t="s">
        <v>251</v>
      </c>
      <c r="P52" s="52">
        <v>1.2712000000000001</v>
      </c>
      <c r="Q52" s="52">
        <f t="shared" si="20"/>
        <v>25.424000000000003</v>
      </c>
      <c r="R52" s="51"/>
      <c r="S52" s="39"/>
    </row>
    <row r="53" spans="1:19" ht="19.5" thickBot="1" x14ac:dyDescent="0.3">
      <c r="A53" s="1"/>
      <c r="B53" s="40"/>
      <c r="C53" s="41"/>
      <c r="D53" s="42"/>
      <c r="E53" s="43"/>
      <c r="F53" s="44"/>
      <c r="G53" s="45"/>
      <c r="H53" s="44"/>
      <c r="I53" s="45"/>
      <c r="J53" s="44"/>
      <c r="K53" s="45"/>
      <c r="L53" s="45"/>
      <c r="M53" s="45"/>
      <c r="N53" s="85" t="s">
        <v>5</v>
      </c>
      <c r="O53" s="86"/>
      <c r="P53" s="86"/>
      <c r="Q53" s="48">
        <f>SUM(Q10:Q52)</f>
        <v>291.83290000000005</v>
      </c>
      <c r="R53" s="81"/>
      <c r="S53" s="82"/>
    </row>
    <row r="54" spans="1:19" ht="19.5" thickBot="1" x14ac:dyDescent="0.3">
      <c r="A54" s="1"/>
      <c r="B54" s="25"/>
      <c r="C54" s="36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85" t="s">
        <v>6</v>
      </c>
      <c r="O54" s="86"/>
      <c r="P54" s="86"/>
      <c r="Q54" s="49">
        <f>Q53/20</f>
        <v>14.591645000000003</v>
      </c>
      <c r="R54" s="83"/>
      <c r="S54" s="84"/>
    </row>
  </sheetData>
  <mergeCells count="5">
    <mergeCell ref="K1:S1"/>
    <mergeCell ref="S3:S8"/>
    <mergeCell ref="N53:P53"/>
    <mergeCell ref="R53:S54"/>
    <mergeCell ref="N54:P54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</hyperlinks>
  <pageMargins left="0.7" right="0.7" top="0.75" bottom="0.75" header="0.3" footer="0.3"/>
  <drawing r:id="rId4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"/>
  <sheetViews>
    <sheetView topLeftCell="E14" workbookViewId="0">
      <selection activeCell="P31" sqref="P31"/>
    </sheetView>
  </sheetViews>
  <sheetFormatPr defaultRowHeight="15" x14ac:dyDescent="0.25"/>
  <cols>
    <col min="2" max="2" width="3" bestFit="1" customWidth="1"/>
    <col min="3" max="3" width="11.42578125" customWidth="1"/>
    <col min="4" max="4" width="31.140625" bestFit="1" customWidth="1"/>
    <col min="5" max="5" width="31" customWidth="1"/>
    <col min="6" max="6" width="12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6.140625" bestFit="1" customWidth="1"/>
    <col min="15" max="15" width="7.710937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288</v>
      </c>
      <c r="N9" s="30" t="s">
        <v>289</v>
      </c>
      <c r="O9" s="30" t="s">
        <v>244</v>
      </c>
      <c r="P9" s="30" t="s">
        <v>290</v>
      </c>
      <c r="Q9" s="30" t="s">
        <v>291</v>
      </c>
      <c r="R9" s="30" t="s">
        <v>247</v>
      </c>
      <c r="S9" s="30" t="s">
        <v>248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L10*50</f>
        <v>500</v>
      </c>
      <c r="N10" s="37">
        <v>550</v>
      </c>
      <c r="O10" s="61" t="s">
        <v>251</v>
      </c>
      <c r="P10" s="38">
        <v>8.9999999999999993E-3</v>
      </c>
      <c r="Q10" s="38">
        <f>P10*N10</f>
        <v>4.9499999999999993</v>
      </c>
      <c r="R10" s="37"/>
      <c r="S10" s="50"/>
    </row>
    <row r="11" spans="1:19" ht="36" x14ac:dyDescent="0.25">
      <c r="A11" s="1"/>
      <c r="B11" s="47">
        <f t="shared" ref="B11:B52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37">
        <f t="shared" ref="M11:M52" si="1">L11*50</f>
        <v>50</v>
      </c>
      <c r="N11" s="51">
        <v>60</v>
      </c>
      <c r="O11" s="61" t="s">
        <v>251</v>
      </c>
      <c r="P11" s="52">
        <v>1.7399999999999999E-2</v>
      </c>
      <c r="Q11" s="52">
        <f t="shared" ref="Q11" si="2">P11*N11</f>
        <v>1.044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 t="shared" si="1"/>
        <v>150</v>
      </c>
      <c r="N12" s="37">
        <v>200</v>
      </c>
      <c r="O12" s="61" t="s">
        <v>251</v>
      </c>
      <c r="P12" s="38">
        <v>1.2E-2</v>
      </c>
      <c r="Q12" s="38">
        <f>P12*N12</f>
        <v>2.4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37">
        <f t="shared" si="1"/>
        <v>50</v>
      </c>
      <c r="N13" s="51">
        <v>51</v>
      </c>
      <c r="O13" s="61" t="s">
        <v>251</v>
      </c>
      <c r="P13" s="52">
        <v>0.93230000000000002</v>
      </c>
      <c r="Q13" s="52">
        <f t="shared" ref="Q13" si="3">P13*N13</f>
        <v>47.5473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 t="shared" si="1"/>
        <v>50</v>
      </c>
      <c r="N14" s="37">
        <v>100</v>
      </c>
      <c r="O14" s="61" t="s">
        <v>251</v>
      </c>
      <c r="P14" s="38">
        <v>2.5000000000000001E-3</v>
      </c>
      <c r="Q14" s="38">
        <f>P14*N14</f>
        <v>0.25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37">
        <f t="shared" si="1"/>
        <v>150</v>
      </c>
      <c r="N15" s="51">
        <v>200</v>
      </c>
      <c r="O15" s="61" t="s">
        <v>251</v>
      </c>
      <c r="P15" s="52">
        <v>1.9E-3</v>
      </c>
      <c r="Q15" s="52">
        <f t="shared" ref="Q15" si="4">P15*N15</f>
        <v>0.38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 t="shared" si="1"/>
        <v>50</v>
      </c>
      <c r="N16" s="37">
        <v>51</v>
      </c>
      <c r="O16" s="61" t="s">
        <v>251</v>
      </c>
      <c r="P16" s="38">
        <v>0.73660000000000003</v>
      </c>
      <c r="Q16" s="38">
        <f>P16*N16</f>
        <v>37.566600000000001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37">
        <f t="shared" si="1"/>
        <v>100</v>
      </c>
      <c r="N17" s="51">
        <v>200</v>
      </c>
      <c r="O17" s="61" t="s">
        <v>251</v>
      </c>
      <c r="P17" s="52">
        <v>2.8E-3</v>
      </c>
      <c r="Q17" s="52">
        <f t="shared" ref="Q17" si="5">P17*N17</f>
        <v>0.55999999999999994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 t="shared" si="1"/>
        <v>100</v>
      </c>
      <c r="N18" s="37">
        <v>200</v>
      </c>
      <c r="O18" s="61" t="s">
        <v>251</v>
      </c>
      <c r="P18" s="38">
        <v>6.8999999999999999E-3</v>
      </c>
      <c r="Q18" s="38">
        <f>P18*N18</f>
        <v>1.38</v>
      </c>
      <c r="R18" s="37"/>
      <c r="S18" s="59"/>
    </row>
    <row r="19" spans="1:19" x14ac:dyDescent="0.25">
      <c r="A19" s="1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37">
        <f t="shared" si="1"/>
        <v>50</v>
      </c>
      <c r="N19" s="51">
        <v>60</v>
      </c>
      <c r="O19" s="61" t="s">
        <v>251</v>
      </c>
      <c r="P19" s="52">
        <v>4.1700000000000001E-2</v>
      </c>
      <c r="Q19" s="52">
        <f t="shared" ref="Q19" si="6">P19*N19</f>
        <v>2.5020000000000002</v>
      </c>
      <c r="R19" s="51"/>
      <c r="S19" s="59"/>
    </row>
    <row r="20" spans="1:19" ht="36" x14ac:dyDescent="0.25">
      <c r="A20" s="1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 t="shared" si="1"/>
        <v>50</v>
      </c>
      <c r="N20" s="37">
        <v>60</v>
      </c>
      <c r="O20" s="61" t="s">
        <v>251</v>
      </c>
      <c r="P20" s="38">
        <v>4.6899999999999997E-2</v>
      </c>
      <c r="Q20" s="38">
        <f>P20*N20</f>
        <v>2.8140000000000001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37">
        <f t="shared" si="1"/>
        <v>50</v>
      </c>
      <c r="N21" s="51">
        <v>55</v>
      </c>
      <c r="O21" s="61" t="s">
        <v>251</v>
      </c>
      <c r="P21" s="52">
        <v>4.0099999999999997E-2</v>
      </c>
      <c r="Q21" s="52">
        <f t="shared" ref="Q21:Q22" si="7">P21*N21</f>
        <v>2.2054999999999998</v>
      </c>
      <c r="R21" s="51"/>
      <c r="S21" s="59"/>
    </row>
    <row r="22" spans="1:19" s="74" customFormat="1" x14ac:dyDescent="0.25">
      <c r="A22" s="68"/>
      <c r="B22" s="75">
        <f t="shared" si="0"/>
        <v>13</v>
      </c>
      <c r="C22" s="69" t="s">
        <v>18</v>
      </c>
      <c r="D22" s="70" t="s">
        <v>280</v>
      </c>
      <c r="E22" s="70" t="s">
        <v>281</v>
      </c>
      <c r="F22" s="70" t="s">
        <v>109</v>
      </c>
      <c r="G22" s="70" t="s">
        <v>282</v>
      </c>
      <c r="H22" s="70" t="s">
        <v>171</v>
      </c>
      <c r="I22" s="37" t="s">
        <v>249</v>
      </c>
      <c r="J22" s="70" t="s">
        <v>283</v>
      </c>
      <c r="K22" s="70" t="s">
        <v>249</v>
      </c>
      <c r="L22" s="70">
        <v>2</v>
      </c>
      <c r="M22" s="70">
        <f t="shared" si="1"/>
        <v>100</v>
      </c>
      <c r="N22" s="70">
        <v>105</v>
      </c>
      <c r="O22" s="71" t="s">
        <v>251</v>
      </c>
      <c r="P22" s="72">
        <v>0.1108</v>
      </c>
      <c r="Q22" s="72">
        <f t="shared" si="7"/>
        <v>11.634</v>
      </c>
      <c r="R22" s="70"/>
      <c r="S22" s="73"/>
    </row>
    <row r="23" spans="1:19" ht="24" x14ac:dyDescent="0.25">
      <c r="A23" s="1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 t="shared" si="1"/>
        <v>50</v>
      </c>
      <c r="N23" s="37">
        <v>55</v>
      </c>
      <c r="O23" s="61" t="s">
        <v>251</v>
      </c>
      <c r="P23" s="38">
        <v>7.5800000000000006E-2</v>
      </c>
      <c r="Q23" s="38">
        <f>P23*N23</f>
        <v>4.1690000000000005</v>
      </c>
      <c r="R23" s="37"/>
      <c r="S23" s="59"/>
    </row>
    <row r="24" spans="1:19" x14ac:dyDescent="0.25">
      <c r="A24" s="1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37">
        <f t="shared" si="1"/>
        <v>100</v>
      </c>
      <c r="N24" s="51">
        <v>105</v>
      </c>
      <c r="O24" s="61" t="s">
        <v>251</v>
      </c>
      <c r="P24" s="52">
        <v>0.1179</v>
      </c>
      <c r="Q24" s="52">
        <f t="shared" ref="Q24" si="8">P24*N24</f>
        <v>12.3795</v>
      </c>
      <c r="R24" s="51"/>
      <c r="S24" s="59"/>
    </row>
    <row r="25" spans="1:19" ht="25.5" x14ac:dyDescent="0.25">
      <c r="A25" s="1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 t="shared" si="1"/>
        <v>50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</row>
    <row r="26" spans="1:19" ht="25.5" x14ac:dyDescent="0.25">
      <c r="A26" s="1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51" t="s">
        <v>249</v>
      </c>
      <c r="J26" s="51" t="s">
        <v>249</v>
      </c>
      <c r="K26" s="51" t="s">
        <v>249</v>
      </c>
      <c r="L26" s="51">
        <v>1</v>
      </c>
      <c r="M26" s="37">
        <f t="shared" si="1"/>
        <v>50</v>
      </c>
      <c r="N26" s="51">
        <v>51</v>
      </c>
      <c r="O26" s="61" t="s">
        <v>264</v>
      </c>
      <c r="P26" s="52">
        <v>2.9</v>
      </c>
      <c r="Q26" s="52">
        <f t="shared" ref="Q26" si="9">P26*N26</f>
        <v>147.9</v>
      </c>
      <c r="R26" s="51"/>
      <c r="S26" s="59"/>
    </row>
    <row r="27" spans="1:19" ht="24" x14ac:dyDescent="0.25">
      <c r="A27" s="1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37" t="s">
        <v>249</v>
      </c>
      <c r="J27" s="37" t="s">
        <v>185</v>
      </c>
      <c r="K27" s="37" t="s">
        <v>217</v>
      </c>
      <c r="L27" s="37">
        <v>1</v>
      </c>
      <c r="M27" s="37">
        <f t="shared" si="1"/>
        <v>50</v>
      </c>
      <c r="N27" s="37">
        <v>51</v>
      </c>
      <c r="O27" s="61" t="s">
        <v>251</v>
      </c>
      <c r="P27" s="38">
        <v>0.6714</v>
      </c>
      <c r="Q27" s="38">
        <f>P27*N27</f>
        <v>34.241399999999999</v>
      </c>
      <c r="R27" s="37"/>
      <c r="S27" s="59"/>
    </row>
    <row r="28" spans="1:19" ht="48" x14ac:dyDescent="0.25">
      <c r="A28" s="1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51" t="s">
        <v>249</v>
      </c>
      <c r="J28" s="51" t="s">
        <v>186</v>
      </c>
      <c r="K28" s="37" t="s">
        <v>249</v>
      </c>
      <c r="L28" s="51">
        <v>1</v>
      </c>
      <c r="M28" s="37">
        <f t="shared" si="1"/>
        <v>50</v>
      </c>
      <c r="N28" s="51">
        <v>60</v>
      </c>
      <c r="O28" s="61" t="s">
        <v>251</v>
      </c>
      <c r="P28" s="52">
        <v>3.3500000000000002E-2</v>
      </c>
      <c r="Q28" s="52">
        <f t="shared" ref="Q28" si="10">P28*N28</f>
        <v>2.0100000000000002</v>
      </c>
      <c r="R28" s="51"/>
      <c r="S28" s="59"/>
    </row>
    <row r="29" spans="1:19" ht="36" x14ac:dyDescent="0.25">
      <c r="A29" s="1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37" t="s">
        <v>249</v>
      </c>
      <c r="J29" s="37" t="s">
        <v>253</v>
      </c>
      <c r="K29" s="51" t="s">
        <v>249</v>
      </c>
      <c r="L29" s="37">
        <v>1</v>
      </c>
      <c r="M29" s="37">
        <f t="shared" si="1"/>
        <v>50</v>
      </c>
      <c r="N29" s="37">
        <v>55</v>
      </c>
      <c r="O29" s="61" t="s">
        <v>251</v>
      </c>
      <c r="P29" s="38">
        <v>0.2636</v>
      </c>
      <c r="Q29" s="38">
        <f>P29*N29</f>
        <v>14.497999999999999</v>
      </c>
      <c r="R29" s="37"/>
      <c r="S29" s="59"/>
    </row>
    <row r="30" spans="1:19" ht="36" x14ac:dyDescent="0.25">
      <c r="A30" s="1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51" t="s">
        <v>249</v>
      </c>
      <c r="J30" s="51" t="s">
        <v>187</v>
      </c>
      <c r="K30" s="51" t="s">
        <v>218</v>
      </c>
      <c r="L30" s="51">
        <v>1</v>
      </c>
      <c r="M30" s="37">
        <f t="shared" si="1"/>
        <v>50</v>
      </c>
      <c r="N30" s="51">
        <v>100</v>
      </c>
      <c r="O30" s="61" t="s">
        <v>251</v>
      </c>
      <c r="P30" s="52">
        <v>1.8E-3</v>
      </c>
      <c r="Q30" s="52">
        <f t="shared" ref="Q30" si="11">P30*N30</f>
        <v>0.18</v>
      </c>
      <c r="R30" s="51"/>
      <c r="S30" s="59"/>
    </row>
    <row r="31" spans="1:19" x14ac:dyDescent="0.25">
      <c r="A31" s="1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37" t="s">
        <v>249</v>
      </c>
      <c r="J31" s="37" t="s">
        <v>188</v>
      </c>
      <c r="K31" s="37" t="s">
        <v>219</v>
      </c>
      <c r="L31" s="37">
        <v>1</v>
      </c>
      <c r="M31" s="37">
        <f t="shared" si="1"/>
        <v>50</v>
      </c>
      <c r="N31" s="37">
        <v>100</v>
      </c>
      <c r="O31" s="61" t="s">
        <v>251</v>
      </c>
      <c r="P31" s="38">
        <v>5.8999999999999999E-3</v>
      </c>
      <c r="Q31" s="38">
        <f>P31*N31</f>
        <v>0.59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51" t="s">
        <v>249</v>
      </c>
      <c r="J32" s="51" t="s">
        <v>189</v>
      </c>
      <c r="K32" s="51" t="s">
        <v>220</v>
      </c>
      <c r="L32" s="51">
        <v>2</v>
      </c>
      <c r="M32" s="37">
        <f t="shared" si="1"/>
        <v>100</v>
      </c>
      <c r="N32" s="51">
        <v>200</v>
      </c>
      <c r="O32" s="61" t="s">
        <v>251</v>
      </c>
      <c r="P32" s="52">
        <v>6.9999999999999999E-4</v>
      </c>
      <c r="Q32" s="52">
        <f t="shared" ref="Q32" si="12">P32*N32</f>
        <v>0.13999999999999999</v>
      </c>
      <c r="R32" s="51"/>
      <c r="S32" s="59"/>
    </row>
    <row r="33" spans="1:19" x14ac:dyDescent="0.25">
      <c r="A33" s="1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 t="shared" si="1"/>
        <v>50</v>
      </c>
      <c r="N33" s="37">
        <v>55</v>
      </c>
      <c r="O33" s="61" t="s">
        <v>251</v>
      </c>
      <c r="P33" s="38">
        <v>7.0999999999999994E-2</v>
      </c>
      <c r="Q33" s="38">
        <f>P33*N33</f>
        <v>3.9049999999999998</v>
      </c>
      <c r="R33" s="37"/>
      <c r="S33" s="59"/>
    </row>
    <row r="34" spans="1:19" x14ac:dyDescent="0.25">
      <c r="A34" s="1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37" t="s">
        <v>249</v>
      </c>
      <c r="J34" s="51" t="s">
        <v>191</v>
      </c>
      <c r="K34" s="51" t="s">
        <v>222</v>
      </c>
      <c r="L34" s="51">
        <v>1</v>
      </c>
      <c r="M34" s="37">
        <f t="shared" si="1"/>
        <v>50</v>
      </c>
      <c r="N34" s="51">
        <v>100</v>
      </c>
      <c r="O34" s="61" t="s">
        <v>251</v>
      </c>
      <c r="P34" s="52">
        <v>6.9999999999999999E-4</v>
      </c>
      <c r="Q34" s="52">
        <f t="shared" ref="Q34" si="13">P34*N34</f>
        <v>6.9999999999999993E-2</v>
      </c>
      <c r="R34" s="51"/>
      <c r="S34" s="59"/>
    </row>
    <row r="35" spans="1:19" ht="24" x14ac:dyDescent="0.25">
      <c r="A35" s="1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51" t="s">
        <v>249</v>
      </c>
      <c r="J35" s="37" t="s">
        <v>192</v>
      </c>
      <c r="K35" s="37" t="s">
        <v>223</v>
      </c>
      <c r="L35" s="37">
        <v>1</v>
      </c>
      <c r="M35" s="37">
        <f t="shared" si="1"/>
        <v>50</v>
      </c>
      <c r="N35" s="37">
        <v>100</v>
      </c>
      <c r="O35" s="61" t="s">
        <v>251</v>
      </c>
      <c r="P35" s="38">
        <v>1E-3</v>
      </c>
      <c r="Q35" s="38">
        <f>P35*N35</f>
        <v>0.1</v>
      </c>
      <c r="R35" s="37"/>
      <c r="S35" s="59"/>
    </row>
    <row r="36" spans="1:19" x14ac:dyDescent="0.25">
      <c r="A36" s="1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37">
        <f t="shared" si="1"/>
        <v>50</v>
      </c>
      <c r="N36" s="51">
        <v>100</v>
      </c>
      <c r="O36" s="61" t="s">
        <v>251</v>
      </c>
      <c r="P36" s="52">
        <v>1.1999999999999999E-3</v>
      </c>
      <c r="Q36" s="52">
        <f t="shared" ref="Q36" si="14">P36*N36</f>
        <v>0.12</v>
      </c>
      <c r="R36" s="51"/>
      <c r="S36" s="59"/>
    </row>
    <row r="37" spans="1:19" x14ac:dyDescent="0.25">
      <c r="A37" s="1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 t="shared" si="1"/>
        <v>50</v>
      </c>
      <c r="N37" s="37">
        <v>100</v>
      </c>
      <c r="O37" s="61" t="s">
        <v>251</v>
      </c>
      <c r="P37" s="38">
        <v>8.9999999999999998E-4</v>
      </c>
      <c r="Q37" s="38">
        <f>P37*N37</f>
        <v>0.09</v>
      </c>
      <c r="R37" s="37"/>
      <c r="S37" s="59"/>
    </row>
    <row r="38" spans="1:19" x14ac:dyDescent="0.25">
      <c r="A38" s="1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37">
        <f t="shared" si="1"/>
        <v>50</v>
      </c>
      <c r="N38" s="51">
        <v>100</v>
      </c>
      <c r="O38" s="61" t="s">
        <v>251</v>
      </c>
      <c r="P38" s="52">
        <v>5.8999999999999999E-3</v>
      </c>
      <c r="Q38" s="52">
        <f t="shared" ref="Q38" si="15">P38*N38</f>
        <v>0.59</v>
      </c>
      <c r="R38" s="51"/>
      <c r="S38" s="59"/>
    </row>
    <row r="39" spans="1:19" ht="24" x14ac:dyDescent="0.25">
      <c r="A39" s="1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 t="shared" si="1"/>
        <v>650</v>
      </c>
      <c r="N39" s="37">
        <v>700</v>
      </c>
      <c r="O39" s="61" t="s">
        <v>251</v>
      </c>
      <c r="P39" s="38">
        <v>8.9999999999999998E-4</v>
      </c>
      <c r="Q39" s="38">
        <f>P39*N39</f>
        <v>0.63</v>
      </c>
      <c r="R39" s="37"/>
      <c r="S39" s="59"/>
    </row>
    <row r="40" spans="1:19" x14ac:dyDescent="0.25">
      <c r="A40" s="1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37">
        <f t="shared" si="1"/>
        <v>150</v>
      </c>
      <c r="N40" s="51">
        <v>200</v>
      </c>
      <c r="O40" s="61" t="s">
        <v>251</v>
      </c>
      <c r="P40" s="52">
        <v>1.2999999999999999E-3</v>
      </c>
      <c r="Q40" s="52">
        <f t="shared" ref="Q40:Q41" si="16">P40*N40</f>
        <v>0.26</v>
      </c>
      <c r="R40" s="51"/>
      <c r="S40" s="59"/>
    </row>
    <row r="41" spans="1:19" x14ac:dyDescent="0.25">
      <c r="A41" s="1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37">
        <f t="shared" si="1"/>
        <v>50</v>
      </c>
      <c r="N41" s="51">
        <v>100</v>
      </c>
      <c r="O41" s="61" t="s">
        <v>251</v>
      </c>
      <c r="P41" s="52">
        <v>1E-3</v>
      </c>
      <c r="Q41" s="52">
        <f t="shared" si="16"/>
        <v>0.1</v>
      </c>
      <c r="R41" s="51"/>
      <c r="S41" s="59"/>
    </row>
    <row r="42" spans="1:19" x14ac:dyDescent="0.25">
      <c r="A42" s="1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 t="shared" si="1"/>
        <v>100</v>
      </c>
      <c r="N42" s="37">
        <v>200</v>
      </c>
      <c r="O42" s="61" t="s">
        <v>251</v>
      </c>
      <c r="P42" s="38">
        <v>1.1000000000000001E-3</v>
      </c>
      <c r="Q42" s="38">
        <f>P42*N42</f>
        <v>0.22</v>
      </c>
      <c r="R42" s="37"/>
      <c r="S42" s="59"/>
    </row>
    <row r="43" spans="1:19" s="67" customFormat="1" x14ac:dyDescent="0.25">
      <c r="A43" s="65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 t="shared" si="1"/>
        <v>200</v>
      </c>
      <c r="N43" s="37">
        <v>300</v>
      </c>
      <c r="O43" s="61" t="s">
        <v>251</v>
      </c>
      <c r="P43" s="38">
        <v>1E-3</v>
      </c>
      <c r="Q43" s="38">
        <f>P43*N43</f>
        <v>0.3</v>
      </c>
      <c r="R43" s="37"/>
      <c r="S43" s="59"/>
    </row>
    <row r="44" spans="1:19" x14ac:dyDescent="0.25">
      <c r="A44" s="1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37">
        <f t="shared" si="1"/>
        <v>50</v>
      </c>
      <c r="N44" s="51">
        <v>100</v>
      </c>
      <c r="O44" s="61" t="s">
        <v>251</v>
      </c>
      <c r="P44" s="52">
        <v>2.7000000000000001E-3</v>
      </c>
      <c r="Q44" s="52">
        <f t="shared" ref="Q44" si="17">P44*N44</f>
        <v>0.27</v>
      </c>
      <c r="R44" s="51"/>
      <c r="S44" s="59"/>
    </row>
    <row r="45" spans="1:19" x14ac:dyDescent="0.25">
      <c r="A45" s="1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 t="shared" si="1"/>
        <v>200</v>
      </c>
      <c r="N45" s="37">
        <v>300</v>
      </c>
      <c r="O45" s="61" t="s">
        <v>251</v>
      </c>
      <c r="P45" s="38">
        <v>1.1999999999999999E-3</v>
      </c>
      <c r="Q45" s="38">
        <f>P45*N45</f>
        <v>0.36</v>
      </c>
      <c r="R45" s="37"/>
      <c r="S45" s="59"/>
    </row>
    <row r="46" spans="1:19" x14ac:dyDescent="0.25">
      <c r="A46" s="1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37">
        <f t="shared" si="1"/>
        <v>50</v>
      </c>
      <c r="N46" s="51">
        <v>100</v>
      </c>
      <c r="O46" s="61" t="s">
        <v>251</v>
      </c>
      <c r="P46" s="52">
        <v>1.2999999999999999E-3</v>
      </c>
      <c r="Q46" s="52">
        <f t="shared" ref="Q46" si="18">P46*N46</f>
        <v>0.13</v>
      </c>
      <c r="R46" s="51"/>
      <c r="S46" s="59"/>
    </row>
    <row r="47" spans="1:19" x14ac:dyDescent="0.25">
      <c r="A47" s="1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 t="shared" si="1"/>
        <v>50</v>
      </c>
      <c r="N47" s="37">
        <v>100</v>
      </c>
      <c r="O47" s="61" t="s">
        <v>251</v>
      </c>
      <c r="P47" s="38">
        <v>1.2999999999999999E-3</v>
      </c>
      <c r="Q47" s="38">
        <f>P47*N47</f>
        <v>0.13</v>
      </c>
      <c r="R47" s="37"/>
      <c r="S47" s="59"/>
    </row>
    <row r="48" spans="1:19" ht="24" x14ac:dyDescent="0.25">
      <c r="A48" s="1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37">
        <f t="shared" si="1"/>
        <v>50</v>
      </c>
      <c r="N48" s="51">
        <v>51</v>
      </c>
      <c r="O48" s="61" t="s">
        <v>251</v>
      </c>
      <c r="P48" s="52">
        <v>1.6323000000000001</v>
      </c>
      <c r="Q48" s="52">
        <f t="shared" ref="Q48" si="19">P48*N48</f>
        <v>83.24730000000001</v>
      </c>
      <c r="R48" s="51"/>
      <c r="S48" s="59"/>
    </row>
    <row r="49" spans="1:19" ht="24" x14ac:dyDescent="0.25">
      <c r="A49" s="1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 t="shared" si="1"/>
        <v>50</v>
      </c>
      <c r="N49" s="37">
        <v>51</v>
      </c>
      <c r="O49" s="61" t="s">
        <v>251</v>
      </c>
      <c r="P49" s="38">
        <v>0.4869</v>
      </c>
      <c r="Q49" s="38">
        <f>P49*N49</f>
        <v>24.831900000000001</v>
      </c>
      <c r="R49" s="37"/>
      <c r="S49" s="59"/>
    </row>
    <row r="50" spans="1:19" x14ac:dyDescent="0.25">
      <c r="A50" s="1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37">
        <f t="shared" si="1"/>
        <v>50</v>
      </c>
      <c r="N50" s="51">
        <v>51</v>
      </c>
      <c r="O50" s="61" t="s">
        <v>251</v>
      </c>
      <c r="P50" s="52">
        <v>2.2336999999999998</v>
      </c>
      <c r="Q50" s="52">
        <f t="shared" ref="Q50:Q52" si="20">P50*N50</f>
        <v>113.91869999999999</v>
      </c>
      <c r="R50" s="51"/>
      <c r="S50" s="59"/>
    </row>
    <row r="51" spans="1:19" ht="15.75" thickBot="1" x14ac:dyDescent="0.3">
      <c r="A51" s="1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37">
        <f t="shared" si="1"/>
        <v>50</v>
      </c>
      <c r="N51" s="51">
        <v>51</v>
      </c>
      <c r="O51" s="61" t="s">
        <v>251</v>
      </c>
      <c r="P51" s="52">
        <v>0.1827</v>
      </c>
      <c r="Q51" s="52">
        <f t="shared" si="20"/>
        <v>9.3177000000000003</v>
      </c>
      <c r="R51" s="51"/>
      <c r="S51" s="39"/>
    </row>
    <row r="52" spans="1:19" ht="15.75" thickBot="1" x14ac:dyDescent="0.3">
      <c r="A52" s="1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37">
        <f t="shared" si="1"/>
        <v>50</v>
      </c>
      <c r="N52" s="51">
        <v>50</v>
      </c>
      <c r="O52" s="61" t="s">
        <v>251</v>
      </c>
      <c r="P52" s="52">
        <v>1.2712000000000001</v>
      </c>
      <c r="Q52" s="52">
        <f t="shared" si="20"/>
        <v>63.56</v>
      </c>
      <c r="R52" s="51"/>
      <c r="S52" s="39"/>
    </row>
    <row r="53" spans="1:19" ht="19.5" thickBot="1" x14ac:dyDescent="0.3">
      <c r="A53" s="1"/>
      <c r="B53" s="40"/>
      <c r="C53" s="41"/>
      <c r="D53" s="42"/>
      <c r="E53" s="43"/>
      <c r="F53" s="44"/>
      <c r="G53" s="45"/>
      <c r="H53" s="44"/>
      <c r="I53" s="45"/>
      <c r="J53" s="44"/>
      <c r="K53" s="45"/>
      <c r="L53" s="45"/>
      <c r="M53" s="45"/>
      <c r="N53" s="85" t="s">
        <v>5</v>
      </c>
      <c r="O53" s="86"/>
      <c r="P53" s="86"/>
      <c r="Q53" s="48">
        <f>SUM(Q10:Q52)</f>
        <v>633.49189999999999</v>
      </c>
      <c r="R53" s="81"/>
      <c r="S53" s="82"/>
    </row>
    <row r="54" spans="1:19" ht="19.5" thickBot="1" x14ac:dyDescent="0.3">
      <c r="A54" s="1"/>
      <c r="B54" s="25"/>
      <c r="C54" s="36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85" t="s">
        <v>6</v>
      </c>
      <c r="O54" s="86"/>
      <c r="P54" s="86"/>
      <c r="Q54" s="49">
        <f>Q53/50</f>
        <v>12.669838</v>
      </c>
      <c r="R54" s="83"/>
      <c r="S54" s="84"/>
    </row>
  </sheetData>
  <mergeCells count="5">
    <mergeCell ref="K1:S1"/>
    <mergeCell ref="S3:S8"/>
    <mergeCell ref="N53:P53"/>
    <mergeCell ref="R53:S54"/>
    <mergeCell ref="N54:P54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</hyperlinks>
  <pageMargins left="0.7" right="0.7" top="0.75" bottom="0.75" header="0.3" footer="0.3"/>
  <drawing r:id="rId4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"/>
  <sheetViews>
    <sheetView topLeftCell="E19" workbookViewId="0">
      <selection activeCell="M44" sqref="M44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6.140625" customWidth="1"/>
    <col min="6" max="6" width="13.42578125" customWidth="1"/>
    <col min="7" max="7" width="25.28515625" bestFit="1" customWidth="1"/>
    <col min="8" max="8" width="16.710937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7.710937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292</v>
      </c>
      <c r="N9" s="30" t="s">
        <v>293</v>
      </c>
      <c r="O9" s="30" t="s">
        <v>244</v>
      </c>
      <c r="P9" s="30" t="s">
        <v>294</v>
      </c>
      <c r="Q9" s="30" t="s">
        <v>295</v>
      </c>
      <c r="R9" s="30" t="s">
        <v>247</v>
      </c>
      <c r="S9" s="30" t="s">
        <v>248</v>
      </c>
    </row>
    <row r="10" spans="1:19" s="67" customFormat="1" ht="24" x14ac:dyDescent="0.25">
      <c r="A10" s="65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L10*100</f>
        <v>1000</v>
      </c>
      <c r="N10" s="37">
        <v>1050</v>
      </c>
      <c r="O10" s="61" t="s">
        <v>251</v>
      </c>
      <c r="P10" s="38">
        <v>8.9999999999999993E-3</v>
      </c>
      <c r="Q10" s="38">
        <f>P10*N10</f>
        <v>9.4499999999999993</v>
      </c>
      <c r="R10" s="37"/>
      <c r="S10" s="66"/>
    </row>
    <row r="11" spans="1:19" s="67" customFormat="1" ht="48" x14ac:dyDescent="0.25">
      <c r="A11" s="65"/>
      <c r="B11" s="47">
        <f t="shared" ref="B11:B52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37">
        <f t="shared" ref="M11:M52" si="1">L11*100</f>
        <v>100</v>
      </c>
      <c r="N11" s="51">
        <v>110</v>
      </c>
      <c r="O11" s="61" t="s">
        <v>251</v>
      </c>
      <c r="P11" s="52">
        <v>9.5999999999999992E-3</v>
      </c>
      <c r="Q11" s="52">
        <f t="shared" ref="Q11" si="2">P11*N11</f>
        <v>1.0559999999999998</v>
      </c>
      <c r="R11" s="51"/>
      <c r="S11" s="51"/>
    </row>
    <row r="12" spans="1:19" s="67" customFormat="1" x14ac:dyDescent="0.25">
      <c r="A12" s="65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 t="shared" si="1"/>
        <v>300</v>
      </c>
      <c r="N12" s="37">
        <v>300</v>
      </c>
      <c r="O12" s="61" t="s">
        <v>251</v>
      </c>
      <c r="P12" s="38">
        <v>1.2E-2</v>
      </c>
      <c r="Q12" s="38">
        <f>P12*N12</f>
        <v>3.6</v>
      </c>
      <c r="R12" s="37"/>
      <c r="S12" s="59"/>
    </row>
    <row r="13" spans="1:19" s="67" customFormat="1" x14ac:dyDescent="0.25">
      <c r="A13" s="65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37">
        <f t="shared" si="1"/>
        <v>100</v>
      </c>
      <c r="N13" s="51">
        <v>101</v>
      </c>
      <c r="O13" s="61" t="s">
        <v>251</v>
      </c>
      <c r="P13" s="52">
        <v>0.85119999999999996</v>
      </c>
      <c r="Q13" s="52">
        <f t="shared" ref="Q13" si="3">P13*N13</f>
        <v>85.971199999999996</v>
      </c>
      <c r="R13" s="51"/>
      <c r="S13" s="59"/>
    </row>
    <row r="14" spans="1:19" s="67" customFormat="1" ht="24" x14ac:dyDescent="0.25">
      <c r="A14" s="65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 t="shared" si="1"/>
        <v>100</v>
      </c>
      <c r="N14" s="37">
        <v>200</v>
      </c>
      <c r="O14" s="61" t="s">
        <v>251</v>
      </c>
      <c r="P14" s="38">
        <v>2.3999999999999998E-3</v>
      </c>
      <c r="Q14" s="38">
        <f>P14*N14</f>
        <v>0.48</v>
      </c>
      <c r="R14" s="37"/>
      <c r="S14" s="59"/>
    </row>
    <row r="15" spans="1:19" s="67" customFormat="1" x14ac:dyDescent="0.25">
      <c r="A15" s="65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37">
        <f t="shared" si="1"/>
        <v>300</v>
      </c>
      <c r="N15" s="51">
        <v>400</v>
      </c>
      <c r="O15" s="61" t="s">
        <v>251</v>
      </c>
      <c r="P15" s="52">
        <v>1.9E-3</v>
      </c>
      <c r="Q15" s="52">
        <f t="shared" ref="Q15" si="4">P15*N15</f>
        <v>0.76</v>
      </c>
      <c r="R15" s="51"/>
      <c r="S15" s="59"/>
    </row>
    <row r="16" spans="1:19" s="67" customFormat="1" x14ac:dyDescent="0.25">
      <c r="A16" s="65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 t="shared" si="1"/>
        <v>100</v>
      </c>
      <c r="N16" s="37">
        <v>101</v>
      </c>
      <c r="O16" s="61" t="s">
        <v>251</v>
      </c>
      <c r="P16" s="38">
        <v>0.67459999999999998</v>
      </c>
      <c r="Q16" s="38">
        <f>P16*N16</f>
        <v>68.134599999999992</v>
      </c>
      <c r="R16" s="37"/>
      <c r="S16" s="59"/>
    </row>
    <row r="17" spans="1:19" s="67" customFormat="1" x14ac:dyDescent="0.25">
      <c r="A17" s="65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37">
        <f t="shared" si="1"/>
        <v>200</v>
      </c>
      <c r="N17" s="51">
        <v>300</v>
      </c>
      <c r="O17" s="61" t="s">
        <v>251</v>
      </c>
      <c r="P17" s="52">
        <v>2.8E-3</v>
      </c>
      <c r="Q17" s="52">
        <f t="shared" ref="Q17" si="5">P17*N17</f>
        <v>0.84</v>
      </c>
      <c r="R17" s="51"/>
      <c r="S17" s="59"/>
    </row>
    <row r="18" spans="1:19" s="67" customFormat="1" x14ac:dyDescent="0.25">
      <c r="A18" s="65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 t="shared" si="1"/>
        <v>200</v>
      </c>
      <c r="N18" s="37">
        <v>300</v>
      </c>
      <c r="O18" s="61" t="s">
        <v>251</v>
      </c>
      <c r="P18" s="38">
        <v>6.4999999999999997E-3</v>
      </c>
      <c r="Q18" s="38">
        <f>P18*N18</f>
        <v>1.95</v>
      </c>
      <c r="R18" s="37"/>
      <c r="S18" s="59"/>
    </row>
    <row r="19" spans="1:19" s="67" customFormat="1" x14ac:dyDescent="0.25">
      <c r="A19" s="65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37">
        <f t="shared" si="1"/>
        <v>100</v>
      </c>
      <c r="N19" s="51">
        <v>110</v>
      </c>
      <c r="O19" s="61" t="s">
        <v>251</v>
      </c>
      <c r="P19" s="52">
        <v>3.5000000000000003E-2</v>
      </c>
      <c r="Q19" s="52">
        <f t="shared" ref="Q19" si="6">P19*N19</f>
        <v>3.8500000000000005</v>
      </c>
      <c r="R19" s="51"/>
      <c r="S19" s="59"/>
    </row>
    <row r="20" spans="1:19" s="67" customFormat="1" ht="24" x14ac:dyDescent="0.25">
      <c r="A20" s="65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 t="shared" si="1"/>
        <v>100</v>
      </c>
      <c r="N20" s="37">
        <v>110</v>
      </c>
      <c r="O20" s="61" t="s">
        <v>251</v>
      </c>
      <c r="P20" s="38">
        <v>3.9300000000000002E-2</v>
      </c>
      <c r="Q20" s="38">
        <f>P20*N20</f>
        <v>4.3230000000000004</v>
      </c>
      <c r="R20" s="37"/>
      <c r="S20" s="59"/>
    </row>
    <row r="21" spans="1:19" s="67" customFormat="1" x14ac:dyDescent="0.25">
      <c r="A21" s="65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37">
        <f t="shared" si="1"/>
        <v>100</v>
      </c>
      <c r="N21" s="51">
        <v>105</v>
      </c>
      <c r="O21" s="61" t="s">
        <v>251</v>
      </c>
      <c r="P21" s="52">
        <v>4.0099999999999997E-2</v>
      </c>
      <c r="Q21" s="52">
        <f t="shared" ref="Q21:Q22" si="7">P21*N21</f>
        <v>4.2104999999999997</v>
      </c>
      <c r="R21" s="51"/>
      <c r="S21" s="59"/>
    </row>
    <row r="22" spans="1:19" s="74" customFormat="1" x14ac:dyDescent="0.25">
      <c r="A22" s="68"/>
      <c r="B22" s="75">
        <f t="shared" si="0"/>
        <v>13</v>
      </c>
      <c r="C22" s="69" t="s">
        <v>18</v>
      </c>
      <c r="D22" s="70" t="s">
        <v>280</v>
      </c>
      <c r="E22" s="70" t="s">
        <v>281</v>
      </c>
      <c r="F22" s="70" t="s">
        <v>109</v>
      </c>
      <c r="G22" s="70" t="s">
        <v>282</v>
      </c>
      <c r="H22" s="70" t="s">
        <v>171</v>
      </c>
      <c r="I22" s="70" t="s">
        <v>249</v>
      </c>
      <c r="J22" s="70" t="s">
        <v>283</v>
      </c>
      <c r="K22" s="70"/>
      <c r="L22" s="70">
        <v>2</v>
      </c>
      <c r="M22" s="70">
        <f t="shared" si="1"/>
        <v>200</v>
      </c>
      <c r="N22" s="70">
        <v>205</v>
      </c>
      <c r="O22" s="71" t="s">
        <v>251</v>
      </c>
      <c r="P22" s="72">
        <v>0.1108</v>
      </c>
      <c r="Q22" s="72">
        <f t="shared" si="7"/>
        <v>22.713999999999999</v>
      </c>
      <c r="R22" s="70"/>
      <c r="S22" s="73"/>
    </row>
    <row r="23" spans="1:19" s="67" customFormat="1" ht="36" x14ac:dyDescent="0.25">
      <c r="A23" s="65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 t="shared" si="1"/>
        <v>100</v>
      </c>
      <c r="N23" s="37">
        <v>105</v>
      </c>
      <c r="O23" s="61" t="s">
        <v>251</v>
      </c>
      <c r="P23" s="38">
        <v>7.5800000000000006E-2</v>
      </c>
      <c r="Q23" s="38">
        <f>P23*N23</f>
        <v>7.9590000000000005</v>
      </c>
      <c r="R23" s="37"/>
      <c r="S23" s="59"/>
    </row>
    <row r="24" spans="1:19" s="67" customFormat="1" ht="25.5" x14ac:dyDescent="0.25">
      <c r="A24" s="65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37">
        <f t="shared" si="1"/>
        <v>200</v>
      </c>
      <c r="N24" s="51">
        <v>205</v>
      </c>
      <c r="O24" s="61" t="s">
        <v>251</v>
      </c>
      <c r="P24" s="52">
        <v>0.10580000000000001</v>
      </c>
      <c r="Q24" s="52">
        <f t="shared" ref="Q24" si="8">P24*N24</f>
        <v>21.689</v>
      </c>
      <c r="R24" s="51"/>
      <c r="S24" s="59"/>
    </row>
    <row r="25" spans="1:19" s="67" customFormat="1" ht="25.5" x14ac:dyDescent="0.25">
      <c r="A25" s="65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37">
        <f t="shared" si="1"/>
        <v>100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</row>
    <row r="26" spans="1:19" s="67" customFormat="1" ht="25.5" x14ac:dyDescent="0.25">
      <c r="A26" s="65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37" t="s">
        <v>249</v>
      </c>
      <c r="J26" s="51" t="s">
        <v>249</v>
      </c>
      <c r="K26" s="51" t="s">
        <v>249</v>
      </c>
      <c r="L26" s="51">
        <v>1</v>
      </c>
      <c r="M26" s="37">
        <f t="shared" si="1"/>
        <v>100</v>
      </c>
      <c r="N26" s="51">
        <v>101</v>
      </c>
      <c r="O26" s="61" t="s">
        <v>264</v>
      </c>
      <c r="P26" s="52">
        <v>2.76</v>
      </c>
      <c r="Q26" s="52">
        <f t="shared" ref="Q26" si="9">P26*N26</f>
        <v>278.76</v>
      </c>
      <c r="R26" s="51"/>
      <c r="S26" s="59"/>
    </row>
    <row r="27" spans="1:19" s="67" customFormat="1" ht="24" x14ac:dyDescent="0.25">
      <c r="A27" s="65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51" t="s">
        <v>249</v>
      </c>
      <c r="J27" s="37" t="s">
        <v>185</v>
      </c>
      <c r="K27" s="37" t="s">
        <v>217</v>
      </c>
      <c r="L27" s="37">
        <v>1</v>
      </c>
      <c r="M27" s="37">
        <f t="shared" si="1"/>
        <v>100</v>
      </c>
      <c r="N27" s="37">
        <v>101</v>
      </c>
      <c r="O27" s="61" t="s">
        <v>251</v>
      </c>
      <c r="P27" s="38">
        <v>0.5887</v>
      </c>
      <c r="Q27" s="38">
        <f>P27*N27</f>
        <v>59.4587</v>
      </c>
      <c r="R27" s="37"/>
      <c r="S27" s="59"/>
    </row>
    <row r="28" spans="1:19" s="67" customFormat="1" ht="60" x14ac:dyDescent="0.25">
      <c r="A28" s="65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37" t="s">
        <v>249</v>
      </c>
      <c r="J28" s="51" t="s">
        <v>186</v>
      </c>
      <c r="K28" s="37" t="s">
        <v>249</v>
      </c>
      <c r="L28" s="51">
        <v>1</v>
      </c>
      <c r="M28" s="37">
        <f t="shared" si="1"/>
        <v>100</v>
      </c>
      <c r="N28" s="51">
        <v>120</v>
      </c>
      <c r="O28" s="61" t="s">
        <v>251</v>
      </c>
      <c r="P28" s="52">
        <v>3.3500000000000002E-2</v>
      </c>
      <c r="Q28" s="52">
        <f t="shared" ref="Q28" si="10">P28*N28</f>
        <v>4.0200000000000005</v>
      </c>
      <c r="R28" s="51"/>
      <c r="S28" s="59"/>
    </row>
    <row r="29" spans="1:19" s="67" customFormat="1" ht="24" x14ac:dyDescent="0.25">
      <c r="A29" s="65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51" t="s">
        <v>249</v>
      </c>
      <c r="J29" s="37" t="s">
        <v>253</v>
      </c>
      <c r="K29" s="51" t="s">
        <v>249</v>
      </c>
      <c r="L29" s="37">
        <v>1</v>
      </c>
      <c r="M29" s="37">
        <f t="shared" si="1"/>
        <v>100</v>
      </c>
      <c r="N29" s="37">
        <v>105</v>
      </c>
      <c r="O29" s="61" t="s">
        <v>251</v>
      </c>
      <c r="P29" s="38">
        <v>0.2636</v>
      </c>
      <c r="Q29" s="38">
        <f>P29*N29</f>
        <v>27.678000000000001</v>
      </c>
      <c r="R29" s="37"/>
      <c r="S29" s="59"/>
    </row>
    <row r="30" spans="1:19" s="67" customFormat="1" ht="48" x14ac:dyDescent="0.25">
      <c r="A30" s="65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37" t="s">
        <v>249</v>
      </c>
      <c r="J30" s="51" t="s">
        <v>187</v>
      </c>
      <c r="K30" s="51" t="s">
        <v>218</v>
      </c>
      <c r="L30" s="51">
        <v>1</v>
      </c>
      <c r="M30" s="37">
        <f t="shared" si="1"/>
        <v>100</v>
      </c>
      <c r="N30" s="51">
        <v>200</v>
      </c>
      <c r="O30" s="61" t="s">
        <v>251</v>
      </c>
      <c r="P30" s="52">
        <v>1.8E-3</v>
      </c>
      <c r="Q30" s="52">
        <f t="shared" ref="Q30" si="11">P30*N30</f>
        <v>0.36</v>
      </c>
      <c r="R30" s="51"/>
      <c r="S30" s="59"/>
    </row>
    <row r="31" spans="1:19" s="67" customFormat="1" x14ac:dyDescent="0.25">
      <c r="A31" s="65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51" t="s">
        <v>249</v>
      </c>
      <c r="J31" s="37" t="s">
        <v>188</v>
      </c>
      <c r="K31" s="37" t="s">
        <v>219</v>
      </c>
      <c r="L31" s="37">
        <v>1</v>
      </c>
      <c r="M31" s="37">
        <f t="shared" si="1"/>
        <v>100</v>
      </c>
      <c r="N31" s="37">
        <v>150</v>
      </c>
      <c r="O31" s="61" t="s">
        <v>251</v>
      </c>
      <c r="P31" s="38">
        <v>5.8999999999999999E-3</v>
      </c>
      <c r="Q31" s="38">
        <f>P31*N31</f>
        <v>0.88500000000000001</v>
      </c>
      <c r="R31" s="37"/>
      <c r="S31" s="59"/>
    </row>
    <row r="32" spans="1:19" s="67" customFormat="1" x14ac:dyDescent="0.25">
      <c r="A32" s="65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37" t="s">
        <v>249</v>
      </c>
      <c r="J32" s="51" t="s">
        <v>189</v>
      </c>
      <c r="K32" s="51" t="s">
        <v>220</v>
      </c>
      <c r="L32" s="51">
        <v>2</v>
      </c>
      <c r="M32" s="37">
        <f t="shared" si="1"/>
        <v>200</v>
      </c>
      <c r="N32" s="51">
        <v>300</v>
      </c>
      <c r="O32" s="61" t="s">
        <v>251</v>
      </c>
      <c r="P32" s="52">
        <v>6.9999999999999999E-4</v>
      </c>
      <c r="Q32" s="52">
        <f t="shared" ref="Q32" si="12">P32*N32</f>
        <v>0.21</v>
      </c>
      <c r="R32" s="51"/>
      <c r="S32" s="59"/>
    </row>
    <row r="33" spans="1:19" s="67" customFormat="1" x14ac:dyDescent="0.25">
      <c r="A33" s="65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 t="shared" si="1"/>
        <v>100</v>
      </c>
      <c r="N33" s="37">
        <v>105</v>
      </c>
      <c r="O33" s="61" t="s">
        <v>251</v>
      </c>
      <c r="P33" s="38">
        <v>7.0999999999999994E-2</v>
      </c>
      <c r="Q33" s="38">
        <f>P33*N33</f>
        <v>7.4549999999999992</v>
      </c>
      <c r="R33" s="37"/>
      <c r="S33" s="59"/>
    </row>
    <row r="34" spans="1:19" s="67" customFormat="1" x14ac:dyDescent="0.25">
      <c r="A34" s="65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37">
        <f t="shared" si="1"/>
        <v>100</v>
      </c>
      <c r="N34" s="51">
        <v>200</v>
      </c>
      <c r="O34" s="61" t="s">
        <v>251</v>
      </c>
      <c r="P34" s="52">
        <v>6.9999999999999999E-4</v>
      </c>
      <c r="Q34" s="52">
        <f t="shared" ref="Q34" si="13">P34*N34</f>
        <v>0.13999999999999999</v>
      </c>
      <c r="R34" s="51"/>
      <c r="S34" s="59"/>
    </row>
    <row r="35" spans="1:19" s="67" customFormat="1" ht="24" x14ac:dyDescent="0.25">
      <c r="A35" s="65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 t="shared" si="1"/>
        <v>100</v>
      </c>
      <c r="N35" s="37">
        <v>200</v>
      </c>
      <c r="O35" s="61" t="s">
        <v>251</v>
      </c>
      <c r="P35" s="38">
        <v>1E-3</v>
      </c>
      <c r="Q35" s="38">
        <f>P35*N35</f>
        <v>0.2</v>
      </c>
      <c r="R35" s="37"/>
      <c r="S35" s="59"/>
    </row>
    <row r="36" spans="1:19" s="67" customFormat="1" x14ac:dyDescent="0.25">
      <c r="A36" s="65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37">
        <f t="shared" si="1"/>
        <v>100</v>
      </c>
      <c r="N36" s="51">
        <v>200</v>
      </c>
      <c r="O36" s="61" t="s">
        <v>251</v>
      </c>
      <c r="P36" s="52">
        <v>1.1999999999999999E-3</v>
      </c>
      <c r="Q36" s="52">
        <f t="shared" ref="Q36" si="14">P36*N36</f>
        <v>0.24</v>
      </c>
      <c r="R36" s="51"/>
      <c r="S36" s="59"/>
    </row>
    <row r="37" spans="1:19" s="67" customFormat="1" x14ac:dyDescent="0.25">
      <c r="A37" s="65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 t="shared" si="1"/>
        <v>100</v>
      </c>
      <c r="N37" s="37">
        <v>200</v>
      </c>
      <c r="O37" s="61" t="s">
        <v>251</v>
      </c>
      <c r="P37" s="38">
        <v>8.9999999999999998E-4</v>
      </c>
      <c r="Q37" s="38">
        <f>P37*N37</f>
        <v>0.18</v>
      </c>
      <c r="R37" s="37"/>
      <c r="S37" s="59"/>
    </row>
    <row r="38" spans="1:19" s="67" customFormat="1" x14ac:dyDescent="0.25">
      <c r="A38" s="65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37">
        <f t="shared" si="1"/>
        <v>100</v>
      </c>
      <c r="N38" s="51">
        <v>150</v>
      </c>
      <c r="O38" s="61" t="s">
        <v>251</v>
      </c>
      <c r="P38" s="52">
        <v>5.8999999999999999E-3</v>
      </c>
      <c r="Q38" s="52">
        <f t="shared" ref="Q38" si="15">P38*N38</f>
        <v>0.88500000000000001</v>
      </c>
      <c r="R38" s="51"/>
      <c r="S38" s="59"/>
    </row>
    <row r="39" spans="1:19" s="67" customFormat="1" ht="24" x14ac:dyDescent="0.25">
      <c r="A39" s="65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 t="shared" si="1"/>
        <v>1300</v>
      </c>
      <c r="N39" s="37">
        <v>1400</v>
      </c>
      <c r="O39" s="61" t="s">
        <v>251</v>
      </c>
      <c r="P39" s="38">
        <v>6.9999999999999999E-4</v>
      </c>
      <c r="Q39" s="38">
        <f>P39*N39</f>
        <v>0.98</v>
      </c>
      <c r="R39" s="37"/>
      <c r="S39" s="59"/>
    </row>
    <row r="40" spans="1:19" s="67" customFormat="1" x14ac:dyDescent="0.25">
      <c r="A40" s="65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37">
        <f t="shared" si="1"/>
        <v>300</v>
      </c>
      <c r="N40" s="51">
        <v>400</v>
      </c>
      <c r="O40" s="61" t="s">
        <v>251</v>
      </c>
      <c r="P40" s="52">
        <v>1.2999999999999999E-3</v>
      </c>
      <c r="Q40" s="52">
        <f t="shared" ref="Q40:Q41" si="16">P40*N40</f>
        <v>0.52</v>
      </c>
      <c r="R40" s="51"/>
      <c r="S40" s="59"/>
    </row>
    <row r="41" spans="1:19" s="67" customFormat="1" x14ac:dyDescent="0.25">
      <c r="A41" s="65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37">
        <f t="shared" si="1"/>
        <v>100</v>
      </c>
      <c r="N41" s="51">
        <v>200</v>
      </c>
      <c r="O41" s="61" t="s">
        <v>251</v>
      </c>
      <c r="P41" s="52">
        <v>1E-3</v>
      </c>
      <c r="Q41" s="52">
        <f t="shared" si="16"/>
        <v>0.2</v>
      </c>
      <c r="R41" s="51"/>
      <c r="S41" s="59"/>
    </row>
    <row r="42" spans="1:19" s="67" customFormat="1" x14ac:dyDescent="0.25">
      <c r="A42" s="65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 t="shared" si="1"/>
        <v>200</v>
      </c>
      <c r="N42" s="37">
        <v>300</v>
      </c>
      <c r="O42" s="61" t="s">
        <v>251</v>
      </c>
      <c r="P42" s="38">
        <v>1.1000000000000001E-3</v>
      </c>
      <c r="Q42" s="38">
        <f>P42*N42</f>
        <v>0.33</v>
      </c>
      <c r="R42" s="37"/>
      <c r="S42" s="59"/>
    </row>
    <row r="43" spans="1:19" s="67" customFormat="1" ht="24" x14ac:dyDescent="0.25">
      <c r="A43" s="65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 t="shared" si="1"/>
        <v>400</v>
      </c>
      <c r="N43" s="37">
        <v>500</v>
      </c>
      <c r="O43" s="61" t="s">
        <v>251</v>
      </c>
      <c r="P43" s="38">
        <v>1E-3</v>
      </c>
      <c r="Q43" s="38">
        <f>P43*N43</f>
        <v>0.5</v>
      </c>
      <c r="R43" s="37"/>
      <c r="S43" s="59"/>
    </row>
    <row r="44" spans="1:19" s="67" customFormat="1" x14ac:dyDescent="0.25">
      <c r="A44" s="65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37">
        <f t="shared" si="1"/>
        <v>100</v>
      </c>
      <c r="N44" s="51">
        <v>200</v>
      </c>
      <c r="O44" s="61" t="s">
        <v>251</v>
      </c>
      <c r="P44" s="52">
        <v>2.7000000000000001E-3</v>
      </c>
      <c r="Q44" s="52">
        <f t="shared" ref="Q44" si="17">P44*N44</f>
        <v>0.54</v>
      </c>
      <c r="R44" s="51"/>
      <c r="S44" s="59"/>
    </row>
    <row r="45" spans="1:19" s="67" customFormat="1" x14ac:dyDescent="0.25">
      <c r="A45" s="65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 t="shared" si="1"/>
        <v>400</v>
      </c>
      <c r="N45" s="37">
        <v>500</v>
      </c>
      <c r="O45" s="61" t="s">
        <v>251</v>
      </c>
      <c r="P45" s="38">
        <v>1.1999999999999999E-3</v>
      </c>
      <c r="Q45" s="38">
        <f>P45*N45</f>
        <v>0.6</v>
      </c>
      <c r="R45" s="37"/>
      <c r="S45" s="59"/>
    </row>
    <row r="46" spans="1:19" s="67" customFormat="1" ht="24" x14ac:dyDescent="0.25">
      <c r="A46" s="65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37">
        <f t="shared" si="1"/>
        <v>100</v>
      </c>
      <c r="N46" s="51">
        <v>200</v>
      </c>
      <c r="O46" s="61" t="s">
        <v>251</v>
      </c>
      <c r="P46" s="52">
        <v>1.2999999999999999E-3</v>
      </c>
      <c r="Q46" s="52">
        <f t="shared" ref="Q46" si="18">P46*N46</f>
        <v>0.26</v>
      </c>
      <c r="R46" s="51"/>
      <c r="S46" s="59"/>
    </row>
    <row r="47" spans="1:19" s="67" customFormat="1" ht="24" x14ac:dyDescent="0.25">
      <c r="A47" s="65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 t="shared" si="1"/>
        <v>100</v>
      </c>
      <c r="N47" s="37">
        <v>200</v>
      </c>
      <c r="O47" s="61" t="s">
        <v>251</v>
      </c>
      <c r="P47" s="38">
        <v>1.2999999999999999E-3</v>
      </c>
      <c r="Q47" s="38">
        <f>P47*N47</f>
        <v>0.26</v>
      </c>
      <c r="R47" s="37"/>
      <c r="S47" s="59"/>
    </row>
    <row r="48" spans="1:19" s="67" customFormat="1" x14ac:dyDescent="0.25">
      <c r="A48" s="65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37">
        <f t="shared" si="1"/>
        <v>100</v>
      </c>
      <c r="N48" s="51">
        <v>101</v>
      </c>
      <c r="O48" s="61" t="s">
        <v>251</v>
      </c>
      <c r="P48" s="52">
        <v>1.4381999999999999</v>
      </c>
      <c r="Q48" s="52">
        <f t="shared" ref="Q48" si="19">P48*N48</f>
        <v>145.25819999999999</v>
      </c>
      <c r="R48" s="51"/>
      <c r="S48" s="59"/>
    </row>
    <row r="49" spans="1:19" s="67" customFormat="1" ht="24" x14ac:dyDescent="0.25">
      <c r="A49" s="65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 t="shared" si="1"/>
        <v>100</v>
      </c>
      <c r="N49" s="37">
        <v>101</v>
      </c>
      <c r="O49" s="61" t="s">
        <v>251</v>
      </c>
      <c r="P49" s="38">
        <v>0.43120000000000003</v>
      </c>
      <c r="Q49" s="38">
        <f>P49*N49</f>
        <v>43.551200000000001</v>
      </c>
      <c r="R49" s="37"/>
      <c r="S49" s="59"/>
    </row>
    <row r="50" spans="1:19" s="67" customFormat="1" ht="24" x14ac:dyDescent="0.25">
      <c r="A50" s="65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37">
        <f t="shared" si="1"/>
        <v>100</v>
      </c>
      <c r="N50" s="51">
        <v>101</v>
      </c>
      <c r="O50" s="61" t="s">
        <v>251</v>
      </c>
      <c r="P50" s="52">
        <v>2.0236999999999998</v>
      </c>
      <c r="Q50" s="52">
        <f t="shared" ref="Q50:Q52" si="20">P50*N50</f>
        <v>204.3937</v>
      </c>
      <c r="R50" s="51"/>
      <c r="S50" s="59"/>
    </row>
    <row r="51" spans="1:19" s="67" customFormat="1" ht="15.75" thickBot="1" x14ac:dyDescent="0.3">
      <c r="A51" s="65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37">
        <f t="shared" si="1"/>
        <v>100</v>
      </c>
      <c r="N51" s="51">
        <v>101</v>
      </c>
      <c r="O51" s="61" t="s">
        <v>251</v>
      </c>
      <c r="P51" s="52">
        <v>0.15659999999999999</v>
      </c>
      <c r="Q51" s="52">
        <f t="shared" si="20"/>
        <v>15.816599999999999</v>
      </c>
      <c r="R51" s="51"/>
      <c r="S51" s="39"/>
    </row>
    <row r="52" spans="1:19" s="67" customFormat="1" ht="15.75" thickBot="1" x14ac:dyDescent="0.3">
      <c r="A52" s="65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37">
        <f t="shared" si="1"/>
        <v>100</v>
      </c>
      <c r="N52" s="51">
        <v>100</v>
      </c>
      <c r="O52" s="61" t="s">
        <v>251</v>
      </c>
      <c r="P52" s="52">
        <v>1.2712000000000001</v>
      </c>
      <c r="Q52" s="52">
        <f t="shared" si="20"/>
        <v>127.12</v>
      </c>
      <c r="R52" s="51"/>
      <c r="S52" s="39"/>
    </row>
    <row r="53" spans="1:19" ht="19.5" thickBot="1" x14ac:dyDescent="0.3">
      <c r="A53" s="1"/>
      <c r="B53" s="40"/>
      <c r="C53" s="41"/>
      <c r="D53" s="42"/>
      <c r="E53" s="43"/>
      <c r="F53" s="44"/>
      <c r="G53" s="45"/>
      <c r="H53" s="44"/>
      <c r="I53" s="45"/>
      <c r="J53" s="44"/>
      <c r="K53" s="45"/>
      <c r="L53" s="45"/>
      <c r="M53" s="45"/>
      <c r="N53" s="85" t="s">
        <v>5</v>
      </c>
      <c r="O53" s="86"/>
      <c r="P53" s="86"/>
      <c r="Q53" s="48">
        <f>SUM(Q10:Q52)</f>
        <v>1157.7887000000001</v>
      </c>
      <c r="R53" s="81"/>
      <c r="S53" s="82"/>
    </row>
    <row r="54" spans="1:19" ht="19.5" thickBot="1" x14ac:dyDescent="0.3">
      <c r="A54" s="1"/>
      <c r="B54" s="25"/>
      <c r="C54" s="36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85" t="s">
        <v>6</v>
      </c>
      <c r="O54" s="86"/>
      <c r="P54" s="86"/>
      <c r="Q54" s="49">
        <f>Q53/100</f>
        <v>11.577887</v>
      </c>
      <c r="R54" s="83"/>
      <c r="S54" s="84"/>
    </row>
  </sheetData>
  <mergeCells count="5">
    <mergeCell ref="K1:S1"/>
    <mergeCell ref="S3:S8"/>
    <mergeCell ref="N53:P53"/>
    <mergeCell ref="R53:S54"/>
    <mergeCell ref="N54:P54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</hyperlinks>
  <pageMargins left="0.7" right="0.7" top="0.75" bottom="0.75" header="0.3" footer="0.3"/>
  <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"/>
  <sheetViews>
    <sheetView topLeftCell="E27" workbookViewId="0">
      <selection activeCell="P10" sqref="P10:P52"/>
    </sheetView>
  </sheetViews>
  <sheetFormatPr defaultRowHeight="15" x14ac:dyDescent="0.25"/>
  <cols>
    <col min="2" max="2" width="3" bestFit="1" customWidth="1"/>
    <col min="3" max="3" width="11.85546875" customWidth="1"/>
    <col min="4" max="4" width="31.140625" bestFit="1" customWidth="1"/>
    <col min="5" max="5" width="27.42578125" bestFit="1" customWidth="1"/>
    <col min="6" max="6" width="12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7.710937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296</v>
      </c>
      <c r="N9" s="30" t="s">
        <v>297</v>
      </c>
      <c r="O9" s="30" t="s">
        <v>244</v>
      </c>
      <c r="P9" s="30" t="s">
        <v>298</v>
      </c>
      <c r="Q9" s="30" t="s">
        <v>299</v>
      </c>
      <c r="R9" s="30" t="s">
        <v>247</v>
      </c>
      <c r="S9" s="30" t="s">
        <v>248</v>
      </c>
    </row>
    <row r="10" spans="1:19" s="67" customFormat="1" ht="24" x14ac:dyDescent="0.25">
      <c r="A10" s="65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L10*500</f>
        <v>5000</v>
      </c>
      <c r="N10" s="37">
        <v>5050</v>
      </c>
      <c r="O10" s="61" t="s">
        <v>251</v>
      </c>
      <c r="P10" s="38">
        <v>7.7999999999999996E-3</v>
      </c>
      <c r="Q10" s="38">
        <f>P10*N10</f>
        <v>39.39</v>
      </c>
      <c r="R10" s="37"/>
      <c r="S10" s="66"/>
    </row>
    <row r="11" spans="1:19" s="67" customFormat="1" ht="36" x14ac:dyDescent="0.25">
      <c r="A11" s="65"/>
      <c r="B11" s="47">
        <f t="shared" ref="B11:B52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37">
        <f t="shared" ref="M11:M52" si="1">L11*500</f>
        <v>500</v>
      </c>
      <c r="N11" s="51">
        <v>510</v>
      </c>
      <c r="O11" s="61" t="s">
        <v>251</v>
      </c>
      <c r="P11" s="52">
        <v>4.3E-3</v>
      </c>
      <c r="Q11" s="52">
        <f t="shared" ref="Q11" si="2">P11*N11</f>
        <v>2.1930000000000001</v>
      </c>
      <c r="R11" s="51"/>
      <c r="S11" s="51"/>
    </row>
    <row r="12" spans="1:19" s="67" customFormat="1" x14ac:dyDescent="0.25">
      <c r="A12" s="65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 t="shared" si="1"/>
        <v>1500</v>
      </c>
      <c r="N12" s="37">
        <v>1550</v>
      </c>
      <c r="O12" s="61" t="s">
        <v>251</v>
      </c>
      <c r="P12" s="38">
        <v>8.6999999999999994E-3</v>
      </c>
      <c r="Q12" s="38">
        <f>P12*N12</f>
        <v>13.484999999999999</v>
      </c>
      <c r="R12" s="37"/>
      <c r="S12" s="59"/>
    </row>
    <row r="13" spans="1:19" s="67" customFormat="1" x14ac:dyDescent="0.25">
      <c r="A13" s="65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37">
        <f t="shared" si="1"/>
        <v>500</v>
      </c>
      <c r="N13" s="51">
        <v>501</v>
      </c>
      <c r="O13" s="61" t="s">
        <v>251</v>
      </c>
      <c r="P13" s="52">
        <v>0.81620000000000004</v>
      </c>
      <c r="Q13" s="52">
        <f t="shared" ref="Q13" si="3">P13*N13</f>
        <v>408.9162</v>
      </c>
      <c r="R13" s="51"/>
      <c r="S13" s="59"/>
    </row>
    <row r="14" spans="1:19" s="67" customFormat="1" x14ac:dyDescent="0.25">
      <c r="A14" s="65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 t="shared" si="1"/>
        <v>500</v>
      </c>
      <c r="N14" s="37">
        <v>600</v>
      </c>
      <c r="O14" s="61" t="s">
        <v>251</v>
      </c>
      <c r="P14" s="38">
        <v>2.3999999999999998E-3</v>
      </c>
      <c r="Q14" s="38">
        <f>P14*N14</f>
        <v>1.44</v>
      </c>
      <c r="R14" s="37"/>
      <c r="S14" s="59"/>
    </row>
    <row r="15" spans="1:19" s="67" customFormat="1" x14ac:dyDescent="0.25">
      <c r="A15" s="65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37">
        <f t="shared" si="1"/>
        <v>1500</v>
      </c>
      <c r="N15" s="51">
        <v>1600</v>
      </c>
      <c r="O15" s="61" t="s">
        <v>251</v>
      </c>
      <c r="P15" s="52">
        <v>1.5E-3</v>
      </c>
      <c r="Q15" s="52">
        <f t="shared" ref="Q15" si="4">P15*N15</f>
        <v>2.4</v>
      </c>
      <c r="R15" s="51"/>
      <c r="S15" s="59"/>
    </row>
    <row r="16" spans="1:19" s="67" customFormat="1" x14ac:dyDescent="0.25">
      <c r="A16" s="65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 t="shared" si="1"/>
        <v>500</v>
      </c>
      <c r="N16" s="37">
        <v>501</v>
      </c>
      <c r="O16" s="61" t="s">
        <v>251</v>
      </c>
      <c r="P16" s="38">
        <v>0.84960000000000002</v>
      </c>
      <c r="Q16" s="38">
        <f>P16*N16</f>
        <v>425.64960000000002</v>
      </c>
      <c r="R16" s="37"/>
      <c r="S16" s="59"/>
    </row>
    <row r="17" spans="1:19" s="67" customFormat="1" x14ac:dyDescent="0.25">
      <c r="A17" s="65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37">
        <f t="shared" si="1"/>
        <v>1000</v>
      </c>
      <c r="N17" s="51">
        <v>1100</v>
      </c>
      <c r="O17" s="61" t="s">
        <v>251</v>
      </c>
      <c r="P17" s="52">
        <v>2.2000000000000001E-3</v>
      </c>
      <c r="Q17" s="52">
        <f t="shared" ref="Q17" si="5">P17*N17</f>
        <v>2.42</v>
      </c>
      <c r="R17" s="51"/>
      <c r="S17" s="59"/>
    </row>
    <row r="18" spans="1:19" s="67" customFormat="1" x14ac:dyDescent="0.25">
      <c r="A18" s="65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 t="shared" si="1"/>
        <v>1000</v>
      </c>
      <c r="N18" s="37">
        <v>1100</v>
      </c>
      <c r="O18" s="61" t="s">
        <v>251</v>
      </c>
      <c r="P18" s="38">
        <v>5.3E-3</v>
      </c>
      <c r="Q18" s="38">
        <f>P18*N18</f>
        <v>5.83</v>
      </c>
      <c r="R18" s="37"/>
      <c r="S18" s="59"/>
    </row>
    <row r="19" spans="1:19" s="67" customFormat="1" x14ac:dyDescent="0.25">
      <c r="A19" s="65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37">
        <f t="shared" si="1"/>
        <v>500</v>
      </c>
      <c r="N19" s="51">
        <v>510</v>
      </c>
      <c r="O19" s="61" t="s">
        <v>251</v>
      </c>
      <c r="P19" s="52">
        <v>3.1600000000000003E-2</v>
      </c>
      <c r="Q19" s="52">
        <f t="shared" ref="Q19" si="6">P19*N19</f>
        <v>16.116000000000003</v>
      </c>
      <c r="R19" s="51"/>
      <c r="S19" s="59"/>
    </row>
    <row r="20" spans="1:19" s="67" customFormat="1" ht="36" x14ac:dyDescent="0.25">
      <c r="A20" s="65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 t="shared" si="1"/>
        <v>500</v>
      </c>
      <c r="N20" s="37">
        <v>510</v>
      </c>
      <c r="O20" s="61" t="s">
        <v>251</v>
      </c>
      <c r="P20" s="38">
        <v>3.5499999999999997E-2</v>
      </c>
      <c r="Q20" s="38">
        <f>P20*N20</f>
        <v>18.104999999999997</v>
      </c>
      <c r="R20" s="37"/>
      <c r="S20" s="59"/>
    </row>
    <row r="21" spans="1:19" s="67" customFormat="1" x14ac:dyDescent="0.25">
      <c r="A21" s="65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37">
        <f t="shared" si="1"/>
        <v>500</v>
      </c>
      <c r="N21" s="51">
        <v>505</v>
      </c>
      <c r="O21" s="61" t="s">
        <v>251</v>
      </c>
      <c r="P21" s="52">
        <v>3.7999999999999999E-2</v>
      </c>
      <c r="Q21" s="52">
        <f t="shared" ref="Q21:Q22" si="7">P21*N21</f>
        <v>19.190000000000001</v>
      </c>
      <c r="R21" s="51"/>
      <c r="S21" s="59"/>
    </row>
    <row r="22" spans="1:19" s="67" customFormat="1" x14ac:dyDescent="0.25">
      <c r="A22" s="65"/>
      <c r="B22" s="47">
        <f t="shared" si="0"/>
        <v>13</v>
      </c>
      <c r="C22" s="53" t="s">
        <v>18</v>
      </c>
      <c r="D22" s="37" t="s">
        <v>280</v>
      </c>
      <c r="E22" s="37" t="s">
        <v>281</v>
      </c>
      <c r="F22" s="37" t="s">
        <v>109</v>
      </c>
      <c r="G22" s="37" t="s">
        <v>282</v>
      </c>
      <c r="H22" s="37" t="s">
        <v>171</v>
      </c>
      <c r="I22" s="70" t="s">
        <v>249</v>
      </c>
      <c r="J22" s="37" t="s">
        <v>283</v>
      </c>
      <c r="K22" s="37"/>
      <c r="L22" s="37">
        <v>2</v>
      </c>
      <c r="M22" s="37">
        <f t="shared" si="1"/>
        <v>1000</v>
      </c>
      <c r="N22" s="37">
        <v>1005</v>
      </c>
      <c r="O22" s="71" t="s">
        <v>251</v>
      </c>
      <c r="P22" s="72">
        <v>8.4699999999999998E-2</v>
      </c>
      <c r="Q22" s="38">
        <f t="shared" si="7"/>
        <v>85.123499999999993</v>
      </c>
      <c r="R22" s="37"/>
      <c r="S22" s="59"/>
    </row>
    <row r="23" spans="1:19" s="67" customFormat="1" ht="36" x14ac:dyDescent="0.25">
      <c r="A23" s="65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 t="shared" si="1"/>
        <v>500</v>
      </c>
      <c r="N23" s="37">
        <v>505</v>
      </c>
      <c r="O23" s="61" t="s">
        <v>251</v>
      </c>
      <c r="P23" s="38">
        <v>6.08E-2</v>
      </c>
      <c r="Q23" s="38">
        <f>P23*N23</f>
        <v>30.704000000000001</v>
      </c>
      <c r="R23" s="37"/>
      <c r="S23" s="59"/>
    </row>
    <row r="24" spans="1:19" s="67" customFormat="1" x14ac:dyDescent="0.25">
      <c r="A24" s="65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37">
        <f t="shared" si="1"/>
        <v>1000</v>
      </c>
      <c r="N24" s="51">
        <v>1005</v>
      </c>
      <c r="O24" s="61" t="s">
        <v>251</v>
      </c>
      <c r="P24" s="52">
        <v>9.6699999999999994E-2</v>
      </c>
      <c r="Q24" s="52">
        <f t="shared" ref="Q24" si="8">P24*N24</f>
        <v>97.183499999999995</v>
      </c>
      <c r="R24" s="51"/>
      <c r="S24" s="59"/>
    </row>
    <row r="25" spans="1:19" s="67" customFormat="1" ht="25.5" x14ac:dyDescent="0.25">
      <c r="A25" s="65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 t="shared" si="1"/>
        <v>500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</row>
    <row r="26" spans="1:19" s="67" customFormat="1" ht="25.5" x14ac:dyDescent="0.25">
      <c r="A26" s="65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37" t="s">
        <v>249</v>
      </c>
      <c r="J26" s="51" t="s">
        <v>249</v>
      </c>
      <c r="K26" s="51" t="s">
        <v>249</v>
      </c>
      <c r="L26" s="51">
        <v>1</v>
      </c>
      <c r="M26" s="37">
        <f t="shared" si="1"/>
        <v>500</v>
      </c>
      <c r="N26" s="51">
        <v>501</v>
      </c>
      <c r="O26" s="61" t="s">
        <v>264</v>
      </c>
      <c r="P26" s="52">
        <v>2.14</v>
      </c>
      <c r="Q26" s="52">
        <f t="shared" ref="Q26" si="9">P26*N26</f>
        <v>1072.1400000000001</v>
      </c>
      <c r="R26" s="51"/>
      <c r="S26" s="59"/>
    </row>
    <row r="27" spans="1:19" s="67" customFormat="1" ht="24" x14ac:dyDescent="0.25">
      <c r="A27" s="65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51" t="s">
        <v>249</v>
      </c>
      <c r="J27" s="37" t="s">
        <v>185</v>
      </c>
      <c r="K27" s="37" t="s">
        <v>217</v>
      </c>
      <c r="L27" s="37">
        <v>1</v>
      </c>
      <c r="M27" s="37">
        <f t="shared" si="1"/>
        <v>500</v>
      </c>
      <c r="N27" s="37">
        <v>501</v>
      </c>
      <c r="O27" s="61" t="s">
        <v>251</v>
      </c>
      <c r="P27" s="38">
        <v>0.51549999999999996</v>
      </c>
      <c r="Q27" s="38">
        <f>P27*N27</f>
        <v>258.26549999999997</v>
      </c>
      <c r="R27" s="37"/>
      <c r="S27" s="59"/>
    </row>
    <row r="28" spans="1:19" s="67" customFormat="1" ht="48" x14ac:dyDescent="0.25">
      <c r="A28" s="65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37" t="s">
        <v>249</v>
      </c>
      <c r="J28" s="51" t="s">
        <v>186</v>
      </c>
      <c r="K28" s="37" t="s">
        <v>249</v>
      </c>
      <c r="L28" s="51">
        <v>1</v>
      </c>
      <c r="M28" s="37">
        <f t="shared" si="1"/>
        <v>500</v>
      </c>
      <c r="N28" s="51">
        <v>520</v>
      </c>
      <c r="O28" s="61" t="s">
        <v>251</v>
      </c>
      <c r="P28" s="52">
        <v>2.7099999999999999E-2</v>
      </c>
      <c r="Q28" s="52">
        <f t="shared" ref="Q28" si="10">P28*N28</f>
        <v>14.091999999999999</v>
      </c>
      <c r="R28" s="51"/>
      <c r="S28" s="59"/>
    </row>
    <row r="29" spans="1:19" s="67" customFormat="1" ht="36" x14ac:dyDescent="0.25">
      <c r="A29" s="65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51" t="s">
        <v>249</v>
      </c>
      <c r="J29" s="37" t="s">
        <v>253</v>
      </c>
      <c r="K29" s="51" t="s">
        <v>249</v>
      </c>
      <c r="L29" s="37">
        <v>1</v>
      </c>
      <c r="M29" s="37">
        <f t="shared" si="1"/>
        <v>500</v>
      </c>
      <c r="N29" s="37">
        <v>505</v>
      </c>
      <c r="O29" s="61" t="s">
        <v>251</v>
      </c>
      <c r="P29" s="38">
        <v>0.18790000000000001</v>
      </c>
      <c r="Q29" s="38">
        <f>P29*N29</f>
        <v>94.889500000000012</v>
      </c>
      <c r="R29" s="37"/>
      <c r="S29" s="59"/>
    </row>
    <row r="30" spans="1:19" s="67" customFormat="1" ht="48" x14ac:dyDescent="0.25">
      <c r="A30" s="65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37" t="s">
        <v>249</v>
      </c>
      <c r="J30" s="51" t="s">
        <v>187</v>
      </c>
      <c r="K30" s="51" t="s">
        <v>218</v>
      </c>
      <c r="L30" s="51">
        <v>1</v>
      </c>
      <c r="M30" s="37">
        <f t="shared" si="1"/>
        <v>500</v>
      </c>
      <c r="N30" s="51">
        <v>600</v>
      </c>
      <c r="O30" s="61" t="s">
        <v>251</v>
      </c>
      <c r="P30" s="52">
        <v>5.9999999999999995E-4</v>
      </c>
      <c r="Q30" s="52">
        <f t="shared" ref="Q30" si="11">P30*N30</f>
        <v>0.36</v>
      </c>
      <c r="R30" s="51"/>
      <c r="S30" s="59"/>
    </row>
    <row r="31" spans="1:19" s="67" customFormat="1" x14ac:dyDescent="0.25">
      <c r="A31" s="65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51" t="s">
        <v>249</v>
      </c>
      <c r="J31" s="37" t="s">
        <v>188</v>
      </c>
      <c r="K31" s="37" t="s">
        <v>219</v>
      </c>
      <c r="L31" s="37">
        <v>1</v>
      </c>
      <c r="M31" s="37">
        <f t="shared" si="1"/>
        <v>500</v>
      </c>
      <c r="N31" s="37">
        <v>550</v>
      </c>
      <c r="O31" s="61" t="s">
        <v>251</v>
      </c>
      <c r="P31" s="38">
        <v>4.7999999999999996E-3</v>
      </c>
      <c r="Q31" s="38">
        <f>P31*N31</f>
        <v>2.6399999999999997</v>
      </c>
      <c r="R31" s="37"/>
      <c r="S31" s="59"/>
    </row>
    <row r="32" spans="1:19" s="67" customFormat="1" x14ac:dyDescent="0.25">
      <c r="A32" s="65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70" t="s">
        <v>249</v>
      </c>
      <c r="J32" s="51" t="s">
        <v>189</v>
      </c>
      <c r="K32" s="51" t="s">
        <v>220</v>
      </c>
      <c r="L32" s="51">
        <v>2</v>
      </c>
      <c r="M32" s="37">
        <f t="shared" si="1"/>
        <v>1000</v>
      </c>
      <c r="N32" s="51">
        <v>1100</v>
      </c>
      <c r="O32" s="61" t="s">
        <v>251</v>
      </c>
      <c r="P32" s="52">
        <v>5.0000000000000001E-4</v>
      </c>
      <c r="Q32" s="52">
        <f t="shared" ref="Q32" si="12">P32*N32</f>
        <v>0.55000000000000004</v>
      </c>
      <c r="R32" s="51"/>
      <c r="S32" s="59"/>
    </row>
    <row r="33" spans="1:19" s="67" customFormat="1" x14ac:dyDescent="0.25">
      <c r="A33" s="65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 t="shared" si="1"/>
        <v>500</v>
      </c>
      <c r="N33" s="37">
        <v>505</v>
      </c>
      <c r="O33" s="61" t="s">
        <v>251</v>
      </c>
      <c r="P33" s="38">
        <v>5.8799999999999998E-2</v>
      </c>
      <c r="Q33" s="38">
        <f>P33*N33</f>
        <v>29.693999999999999</v>
      </c>
      <c r="R33" s="37"/>
      <c r="S33" s="59"/>
    </row>
    <row r="34" spans="1:19" s="67" customFormat="1" x14ac:dyDescent="0.25">
      <c r="A34" s="65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37">
        <f t="shared" si="1"/>
        <v>500</v>
      </c>
      <c r="N34" s="51">
        <v>600</v>
      </c>
      <c r="O34" s="61" t="s">
        <v>251</v>
      </c>
      <c r="P34" s="52">
        <v>6.9999999999999999E-4</v>
      </c>
      <c r="Q34" s="52">
        <f t="shared" ref="Q34" si="13">P34*N34</f>
        <v>0.42</v>
      </c>
      <c r="R34" s="51"/>
      <c r="S34" s="59"/>
    </row>
    <row r="35" spans="1:19" s="67" customFormat="1" ht="24" x14ac:dyDescent="0.25">
      <c r="A35" s="65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 t="shared" si="1"/>
        <v>500</v>
      </c>
      <c r="N35" s="37">
        <v>600</v>
      </c>
      <c r="O35" s="61" t="s">
        <v>251</v>
      </c>
      <c r="P35" s="38">
        <v>1E-3</v>
      </c>
      <c r="Q35" s="38">
        <f>P35*N35</f>
        <v>0.6</v>
      </c>
      <c r="R35" s="37"/>
      <c r="S35" s="59"/>
    </row>
    <row r="36" spans="1:19" s="67" customFormat="1" x14ac:dyDescent="0.25">
      <c r="A36" s="65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37">
        <f t="shared" si="1"/>
        <v>500</v>
      </c>
      <c r="N36" s="51">
        <v>600</v>
      </c>
      <c r="O36" s="61" t="s">
        <v>251</v>
      </c>
      <c r="P36" s="52">
        <v>1.1999999999999999E-3</v>
      </c>
      <c r="Q36" s="52">
        <f t="shared" ref="Q36" si="14">P36*N36</f>
        <v>0.72</v>
      </c>
      <c r="R36" s="51"/>
      <c r="S36" s="59"/>
    </row>
    <row r="37" spans="1:19" s="67" customFormat="1" x14ac:dyDescent="0.25">
      <c r="A37" s="65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 t="shared" si="1"/>
        <v>500</v>
      </c>
      <c r="N37" s="37">
        <v>600</v>
      </c>
      <c r="O37" s="61" t="s">
        <v>251</v>
      </c>
      <c r="P37" s="38">
        <v>8.9999999999999998E-4</v>
      </c>
      <c r="Q37" s="38">
        <f>P37*N37</f>
        <v>0.54</v>
      </c>
      <c r="R37" s="37"/>
      <c r="S37" s="59"/>
    </row>
    <row r="38" spans="1:19" s="67" customFormat="1" x14ac:dyDescent="0.25">
      <c r="A38" s="65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37">
        <f t="shared" si="1"/>
        <v>500</v>
      </c>
      <c r="N38" s="51">
        <v>550</v>
      </c>
      <c r="O38" s="61" t="s">
        <v>251</v>
      </c>
      <c r="P38" s="52">
        <v>4.7999999999999996E-3</v>
      </c>
      <c r="Q38" s="52">
        <f t="shared" ref="Q38" si="15">P38*N38</f>
        <v>2.6399999999999997</v>
      </c>
      <c r="R38" s="51"/>
      <c r="S38" s="59"/>
    </row>
    <row r="39" spans="1:19" s="67" customFormat="1" ht="24" x14ac:dyDescent="0.25">
      <c r="A39" s="65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 t="shared" si="1"/>
        <v>6500</v>
      </c>
      <c r="N39" s="37">
        <v>6600</v>
      </c>
      <c r="O39" s="61" t="s">
        <v>251</v>
      </c>
      <c r="P39" s="38">
        <v>5.9999999999999995E-4</v>
      </c>
      <c r="Q39" s="38">
        <f>P39*N39</f>
        <v>3.9599999999999995</v>
      </c>
      <c r="R39" s="37"/>
      <c r="S39" s="59"/>
    </row>
    <row r="40" spans="1:19" s="67" customFormat="1" x14ac:dyDescent="0.25">
      <c r="A40" s="65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37">
        <f t="shared" si="1"/>
        <v>1500</v>
      </c>
      <c r="N40" s="51">
        <v>1600</v>
      </c>
      <c r="O40" s="61" t="s">
        <v>251</v>
      </c>
      <c r="P40" s="52">
        <v>1E-3</v>
      </c>
      <c r="Q40" s="52">
        <f t="shared" ref="Q40:Q41" si="16">P40*N40</f>
        <v>1.6</v>
      </c>
      <c r="R40" s="51"/>
      <c r="S40" s="59"/>
    </row>
    <row r="41" spans="1:19" s="67" customFormat="1" x14ac:dyDescent="0.25">
      <c r="A41" s="65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37">
        <f t="shared" si="1"/>
        <v>500</v>
      </c>
      <c r="N41" s="51">
        <v>600</v>
      </c>
      <c r="O41" s="61" t="s">
        <v>251</v>
      </c>
      <c r="P41" s="52">
        <v>1E-3</v>
      </c>
      <c r="Q41" s="52">
        <f t="shared" si="16"/>
        <v>0.6</v>
      </c>
      <c r="R41" s="51"/>
      <c r="S41" s="59"/>
    </row>
    <row r="42" spans="1:19" s="67" customFormat="1" x14ac:dyDescent="0.25">
      <c r="A42" s="65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 t="shared" si="1"/>
        <v>1000</v>
      </c>
      <c r="N42" s="37">
        <v>1100</v>
      </c>
      <c r="O42" s="61" t="s">
        <v>251</v>
      </c>
      <c r="P42" s="38">
        <v>8.0000000000000004E-4</v>
      </c>
      <c r="Q42" s="38">
        <f>P42*N42</f>
        <v>0.88</v>
      </c>
      <c r="R42" s="37"/>
      <c r="S42" s="59"/>
    </row>
    <row r="43" spans="1:19" s="67" customFormat="1" x14ac:dyDescent="0.25">
      <c r="A43" s="65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 t="shared" si="1"/>
        <v>2000</v>
      </c>
      <c r="N43" s="37">
        <v>2100</v>
      </c>
      <c r="O43" s="61" t="s">
        <v>251</v>
      </c>
      <c r="P43" s="38">
        <v>8.0000000000000004E-4</v>
      </c>
      <c r="Q43" s="38">
        <f>P43*N43</f>
        <v>1.6800000000000002</v>
      </c>
      <c r="R43" s="37"/>
      <c r="S43" s="59"/>
    </row>
    <row r="44" spans="1:19" s="67" customFormat="1" x14ac:dyDescent="0.25">
      <c r="A44" s="65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37">
        <f t="shared" si="1"/>
        <v>500</v>
      </c>
      <c r="N44" s="51">
        <v>600</v>
      </c>
      <c r="O44" s="61" t="s">
        <v>251</v>
      </c>
      <c r="P44" s="52">
        <v>2.7000000000000001E-3</v>
      </c>
      <c r="Q44" s="52">
        <f t="shared" ref="Q44" si="17">P44*N44</f>
        <v>1.62</v>
      </c>
      <c r="R44" s="51"/>
      <c r="S44" s="59"/>
    </row>
    <row r="45" spans="1:19" s="67" customFormat="1" x14ac:dyDescent="0.25">
      <c r="A45" s="65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 t="shared" si="1"/>
        <v>2000</v>
      </c>
      <c r="N45" s="37">
        <v>2100</v>
      </c>
      <c r="O45" s="61" t="s">
        <v>251</v>
      </c>
      <c r="P45" s="38">
        <v>1E-3</v>
      </c>
      <c r="Q45" s="38">
        <f>P45*N45</f>
        <v>2.1</v>
      </c>
      <c r="R45" s="37"/>
      <c r="S45" s="59"/>
    </row>
    <row r="46" spans="1:19" s="67" customFormat="1" x14ac:dyDescent="0.25">
      <c r="A46" s="65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37">
        <f t="shared" si="1"/>
        <v>500</v>
      </c>
      <c r="N46" s="51">
        <v>600</v>
      </c>
      <c r="O46" s="61" t="s">
        <v>251</v>
      </c>
      <c r="P46" s="52">
        <v>1.2999999999999999E-3</v>
      </c>
      <c r="Q46" s="52">
        <f t="shared" ref="Q46" si="18">P46*N46</f>
        <v>0.77999999999999992</v>
      </c>
      <c r="R46" s="51"/>
      <c r="S46" s="59"/>
    </row>
    <row r="47" spans="1:19" s="67" customFormat="1" ht="24" x14ac:dyDescent="0.25">
      <c r="A47" s="65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 t="shared" si="1"/>
        <v>500</v>
      </c>
      <c r="N47" s="37">
        <v>600</v>
      </c>
      <c r="O47" s="61" t="s">
        <v>251</v>
      </c>
      <c r="P47" s="38">
        <v>1.2999999999999999E-3</v>
      </c>
      <c r="Q47" s="38">
        <f>P47*N47</f>
        <v>0.77999999999999992</v>
      </c>
      <c r="R47" s="37"/>
      <c r="S47" s="59"/>
    </row>
    <row r="48" spans="1:19" s="67" customFormat="1" ht="24" x14ac:dyDescent="0.25">
      <c r="A48" s="65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37">
        <f t="shared" si="1"/>
        <v>500</v>
      </c>
      <c r="N48" s="51">
        <v>501</v>
      </c>
      <c r="O48" s="61" t="s">
        <v>251</v>
      </c>
      <c r="P48" s="52">
        <v>1.3507</v>
      </c>
      <c r="Q48" s="52">
        <f t="shared" ref="Q48" si="19">P48*N48</f>
        <v>676.70069999999998</v>
      </c>
      <c r="R48" s="51"/>
      <c r="S48" s="59"/>
    </row>
    <row r="49" spans="1:19" s="67" customFormat="1" ht="24" x14ac:dyDescent="0.25">
      <c r="A49" s="65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 t="shared" si="1"/>
        <v>500</v>
      </c>
      <c r="N49" s="37">
        <v>501</v>
      </c>
      <c r="O49" s="61" t="s">
        <v>251</v>
      </c>
      <c r="P49" s="38">
        <v>0.41370000000000001</v>
      </c>
      <c r="Q49" s="38">
        <f>P49*N49</f>
        <v>207.2637</v>
      </c>
      <c r="R49" s="37"/>
      <c r="S49" s="59"/>
    </row>
    <row r="50" spans="1:19" s="67" customFormat="1" ht="24" x14ac:dyDescent="0.25">
      <c r="A50" s="65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37">
        <f t="shared" si="1"/>
        <v>500</v>
      </c>
      <c r="N50" s="51">
        <v>501</v>
      </c>
      <c r="O50" s="61" t="s">
        <v>251</v>
      </c>
      <c r="P50" s="52">
        <v>1.9489000000000001</v>
      </c>
      <c r="Q50" s="52">
        <f t="shared" ref="Q50:Q52" si="20">P50*N50</f>
        <v>976.39890000000003</v>
      </c>
      <c r="R50" s="51"/>
      <c r="S50" s="59"/>
    </row>
    <row r="51" spans="1:19" s="67" customFormat="1" ht="15.75" thickBot="1" x14ac:dyDescent="0.3">
      <c r="A51" s="65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37">
        <f t="shared" si="1"/>
        <v>500</v>
      </c>
      <c r="N51" s="51">
        <v>501</v>
      </c>
      <c r="O51" s="61" t="s">
        <v>251</v>
      </c>
      <c r="P51" s="52">
        <v>0.14499999999999999</v>
      </c>
      <c r="Q51" s="52">
        <f t="shared" si="20"/>
        <v>72.644999999999996</v>
      </c>
      <c r="R51" s="51"/>
      <c r="S51" s="39"/>
    </row>
    <row r="52" spans="1:19" s="67" customFormat="1" ht="15.75" thickBot="1" x14ac:dyDescent="0.3">
      <c r="A52" s="65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37">
        <f t="shared" si="1"/>
        <v>500</v>
      </c>
      <c r="N52" s="51">
        <v>500</v>
      </c>
      <c r="O52" s="61" t="s">
        <v>251</v>
      </c>
      <c r="P52" s="52">
        <v>1.2712000000000001</v>
      </c>
      <c r="Q52" s="52">
        <f t="shared" si="20"/>
        <v>635.6</v>
      </c>
      <c r="R52" s="51"/>
      <c r="S52" s="39"/>
    </row>
    <row r="53" spans="1:19" ht="19.5" thickBot="1" x14ac:dyDescent="0.3">
      <c r="A53" s="1"/>
      <c r="B53" s="40"/>
      <c r="C53" s="41"/>
      <c r="D53" s="42"/>
      <c r="E53" s="43"/>
      <c r="F53" s="44"/>
      <c r="G53" s="45"/>
      <c r="H53" s="44"/>
      <c r="I53" s="45"/>
      <c r="J53" s="44"/>
      <c r="K53" s="45"/>
      <c r="L53" s="45"/>
      <c r="M53" s="45"/>
      <c r="N53" s="85" t="s">
        <v>5</v>
      </c>
      <c r="O53" s="86"/>
      <c r="P53" s="86"/>
      <c r="Q53" s="48">
        <f>SUM(Q10:Q52)</f>
        <v>5228.3051000000005</v>
      </c>
      <c r="R53" s="81"/>
      <c r="S53" s="82"/>
    </row>
    <row r="54" spans="1:19" ht="19.5" thickBot="1" x14ac:dyDescent="0.3">
      <c r="A54" s="1"/>
      <c r="B54" s="25"/>
      <c r="C54" s="36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85" t="s">
        <v>6</v>
      </c>
      <c r="O54" s="86"/>
      <c r="P54" s="86"/>
      <c r="Q54" s="49">
        <f>Q53/500</f>
        <v>10.456610200000002</v>
      </c>
      <c r="R54" s="83"/>
      <c r="S54" s="84"/>
    </row>
  </sheetData>
  <mergeCells count="5">
    <mergeCell ref="K1:S1"/>
    <mergeCell ref="S3:S8"/>
    <mergeCell ref="N53:P53"/>
    <mergeCell ref="R53:S54"/>
    <mergeCell ref="N54:P54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</hyperlinks>
  <pageMargins left="0.7" right="0.7" top="0.75" bottom="0.75" header="0.3" footer="0.3"/>
  <drawing r:id="rId4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5"/>
  <sheetViews>
    <sheetView tabSelected="1" topLeftCell="A43" workbookViewId="0">
      <selection activeCell="I70" sqref="I70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8.5703125" customWidth="1"/>
    <col min="6" max="6" width="20.5703125" customWidth="1"/>
    <col min="7" max="7" width="25.28515625" bestFit="1" customWidth="1"/>
    <col min="8" max="8" width="16.1406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7.710937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300</v>
      </c>
      <c r="N9" s="30" t="s">
        <v>301</v>
      </c>
      <c r="O9" s="30" t="s">
        <v>244</v>
      </c>
      <c r="P9" s="30" t="s">
        <v>302</v>
      </c>
      <c r="Q9" s="30" t="s">
        <v>303</v>
      </c>
      <c r="R9" s="30" t="s">
        <v>247</v>
      </c>
      <c r="S9" s="30" t="s">
        <v>248</v>
      </c>
    </row>
    <row r="10" spans="1:19" s="67" customFormat="1" ht="24" x14ac:dyDescent="0.25">
      <c r="A10" s="65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L10*1000</f>
        <v>10000</v>
      </c>
      <c r="N10" s="37">
        <v>10050</v>
      </c>
      <c r="O10" s="61" t="s">
        <v>251</v>
      </c>
      <c r="P10" s="38">
        <v>5.8999999999999999E-3</v>
      </c>
      <c r="Q10" s="38">
        <f>P10*N10</f>
        <v>59.295000000000002</v>
      </c>
      <c r="R10" s="37"/>
      <c r="S10" s="66"/>
    </row>
    <row r="11" spans="1:19" s="67" customFormat="1" ht="36" x14ac:dyDescent="0.25">
      <c r="A11" s="65"/>
      <c r="B11" s="47">
        <f t="shared" ref="B11:B53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 t="s">
        <v>249</v>
      </c>
      <c r="J11" s="51" t="s">
        <v>175</v>
      </c>
      <c r="K11" s="51" t="s">
        <v>208</v>
      </c>
      <c r="L11" s="51">
        <v>1</v>
      </c>
      <c r="M11" s="37">
        <f t="shared" ref="M11:M52" si="1">L11*1000</f>
        <v>1000</v>
      </c>
      <c r="N11" s="51">
        <v>1010</v>
      </c>
      <c r="O11" s="61" t="s">
        <v>251</v>
      </c>
      <c r="P11" s="52">
        <v>4.3E-3</v>
      </c>
      <c r="Q11" s="52">
        <f t="shared" ref="Q11" si="2">P11*N11</f>
        <v>4.343</v>
      </c>
      <c r="R11" s="51"/>
      <c r="S11" s="51"/>
    </row>
    <row r="12" spans="1:19" s="67" customFormat="1" x14ac:dyDescent="0.25">
      <c r="A12" s="65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 t="shared" si="1"/>
        <v>3000</v>
      </c>
      <c r="N12" s="37">
        <v>3050</v>
      </c>
      <c r="O12" s="61" t="s">
        <v>251</v>
      </c>
      <c r="P12" s="38">
        <v>8.6999999999999994E-3</v>
      </c>
      <c r="Q12" s="38">
        <f>P12*N12</f>
        <v>26.534999999999997</v>
      </c>
      <c r="R12" s="37"/>
      <c r="S12" s="59"/>
    </row>
    <row r="13" spans="1:19" s="67" customFormat="1" x14ac:dyDescent="0.25">
      <c r="A13" s="65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 t="s">
        <v>249</v>
      </c>
      <c r="J13" s="51" t="s">
        <v>176</v>
      </c>
      <c r="K13" s="51" t="s">
        <v>210</v>
      </c>
      <c r="L13" s="51">
        <v>1</v>
      </c>
      <c r="M13" s="37">
        <f t="shared" si="1"/>
        <v>1000</v>
      </c>
      <c r="N13" s="51">
        <v>1002</v>
      </c>
      <c r="O13" s="61" t="s">
        <v>251</v>
      </c>
      <c r="P13" s="52">
        <v>0.80030000000000001</v>
      </c>
      <c r="Q13" s="52">
        <f t="shared" ref="Q13" si="3">P13*N13</f>
        <v>801.90060000000005</v>
      </c>
      <c r="R13" s="51"/>
      <c r="S13" s="59"/>
    </row>
    <row r="14" spans="1:19" s="67" customFormat="1" x14ac:dyDescent="0.25">
      <c r="A14" s="65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 t="s">
        <v>249</v>
      </c>
      <c r="J14" s="37" t="s">
        <v>177</v>
      </c>
      <c r="K14" s="37" t="s">
        <v>211</v>
      </c>
      <c r="L14" s="37">
        <v>1</v>
      </c>
      <c r="M14" s="37">
        <f t="shared" si="1"/>
        <v>1000</v>
      </c>
      <c r="N14" s="37">
        <v>1100</v>
      </c>
      <c r="O14" s="61" t="s">
        <v>251</v>
      </c>
      <c r="P14" s="38">
        <v>1.9E-3</v>
      </c>
      <c r="Q14" s="38">
        <f>P14*N14</f>
        <v>2.09</v>
      </c>
      <c r="R14" s="37"/>
      <c r="S14" s="59"/>
    </row>
    <row r="15" spans="1:19" s="67" customFormat="1" x14ac:dyDescent="0.25">
      <c r="A15" s="65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37">
        <f t="shared" si="1"/>
        <v>3000</v>
      </c>
      <c r="N15" s="51">
        <v>3100</v>
      </c>
      <c r="O15" s="61" t="s">
        <v>251</v>
      </c>
      <c r="P15" s="52">
        <v>1.2999999999999999E-3</v>
      </c>
      <c r="Q15" s="52">
        <f t="shared" ref="Q15" si="4">P15*N15</f>
        <v>4.03</v>
      </c>
      <c r="R15" s="51"/>
      <c r="S15" s="59"/>
    </row>
    <row r="16" spans="1:19" s="67" customFormat="1" x14ac:dyDescent="0.25">
      <c r="A16" s="65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 t="s">
        <v>249</v>
      </c>
      <c r="J16" s="37" t="s">
        <v>178</v>
      </c>
      <c r="K16" s="37" t="s">
        <v>213</v>
      </c>
      <c r="L16" s="37">
        <v>1</v>
      </c>
      <c r="M16" s="37">
        <f t="shared" si="1"/>
        <v>1000</v>
      </c>
      <c r="N16" s="37">
        <v>1002</v>
      </c>
      <c r="O16" s="61" t="s">
        <v>251</v>
      </c>
      <c r="P16" s="38">
        <v>0.67459999999999998</v>
      </c>
      <c r="Q16" s="38">
        <f>P16*N16</f>
        <v>675.94920000000002</v>
      </c>
      <c r="R16" s="37"/>
      <c r="S16" s="59"/>
    </row>
    <row r="17" spans="1:19" s="67" customFormat="1" x14ac:dyDescent="0.25">
      <c r="A17" s="65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 t="s">
        <v>249</v>
      </c>
      <c r="J17" s="51" t="s">
        <v>179</v>
      </c>
      <c r="K17" s="51" t="s">
        <v>214</v>
      </c>
      <c r="L17" s="51">
        <v>2</v>
      </c>
      <c r="M17" s="37">
        <f t="shared" si="1"/>
        <v>2000</v>
      </c>
      <c r="N17" s="51">
        <v>2100</v>
      </c>
      <c r="O17" s="61" t="s">
        <v>251</v>
      </c>
      <c r="P17" s="52">
        <v>2.2000000000000001E-3</v>
      </c>
      <c r="Q17" s="52">
        <f t="shared" ref="Q17" si="5">P17*N17</f>
        <v>4.62</v>
      </c>
      <c r="R17" s="51"/>
      <c r="S17" s="59"/>
    </row>
    <row r="18" spans="1:19" s="67" customFormat="1" x14ac:dyDescent="0.25">
      <c r="A18" s="65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 t="s">
        <v>249</v>
      </c>
      <c r="J18" s="37" t="s">
        <v>180</v>
      </c>
      <c r="K18" s="37" t="s">
        <v>215</v>
      </c>
      <c r="L18" s="37">
        <v>2</v>
      </c>
      <c r="M18" s="37">
        <f t="shared" si="1"/>
        <v>2000</v>
      </c>
      <c r="N18" s="37">
        <v>2100</v>
      </c>
      <c r="O18" s="61" t="s">
        <v>251</v>
      </c>
      <c r="P18" s="38">
        <v>5.3E-3</v>
      </c>
      <c r="Q18" s="38">
        <f>P18*N18</f>
        <v>11.13</v>
      </c>
      <c r="R18" s="37"/>
      <c r="S18" s="59"/>
    </row>
    <row r="19" spans="1:19" s="67" customFormat="1" x14ac:dyDescent="0.25">
      <c r="A19" s="65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 t="s">
        <v>249</v>
      </c>
      <c r="J19" s="51" t="s">
        <v>181</v>
      </c>
      <c r="K19" s="51" t="s">
        <v>216</v>
      </c>
      <c r="L19" s="51">
        <v>1</v>
      </c>
      <c r="M19" s="37">
        <f t="shared" si="1"/>
        <v>1000</v>
      </c>
      <c r="N19" s="51">
        <v>1010</v>
      </c>
      <c r="O19" s="61" t="s">
        <v>251</v>
      </c>
      <c r="P19" s="52">
        <v>2.9000000000000001E-2</v>
      </c>
      <c r="Q19" s="52">
        <f t="shared" ref="Q19" si="6">P19*N19</f>
        <v>29.290000000000003</v>
      </c>
      <c r="R19" s="51"/>
      <c r="S19" s="59"/>
    </row>
    <row r="20" spans="1:19" s="67" customFormat="1" ht="24" x14ac:dyDescent="0.25">
      <c r="A20" s="65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 t="s">
        <v>249</v>
      </c>
      <c r="J20" s="37" t="s">
        <v>182</v>
      </c>
      <c r="K20" s="37" t="s">
        <v>249</v>
      </c>
      <c r="L20" s="37">
        <v>1</v>
      </c>
      <c r="M20" s="37">
        <f t="shared" si="1"/>
        <v>1000</v>
      </c>
      <c r="N20" s="37">
        <v>1010</v>
      </c>
      <c r="O20" s="61" t="s">
        <v>251</v>
      </c>
      <c r="P20" s="38">
        <v>3.2599999999999997E-2</v>
      </c>
      <c r="Q20" s="38">
        <f>P20*N20</f>
        <v>32.925999999999995</v>
      </c>
      <c r="R20" s="37"/>
      <c r="S20" s="59"/>
    </row>
    <row r="21" spans="1:19" s="67" customFormat="1" x14ac:dyDescent="0.25">
      <c r="A21" s="65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 t="s">
        <v>249</v>
      </c>
      <c r="J21" s="51" t="s">
        <v>183</v>
      </c>
      <c r="K21" s="51" t="s">
        <v>249</v>
      </c>
      <c r="L21" s="51">
        <v>1</v>
      </c>
      <c r="M21" s="37">
        <f t="shared" si="1"/>
        <v>1000</v>
      </c>
      <c r="N21" s="51">
        <v>1005</v>
      </c>
      <c r="O21" s="61" t="s">
        <v>251</v>
      </c>
      <c r="P21" s="52">
        <v>3.7999999999999999E-2</v>
      </c>
      <c r="Q21" s="52">
        <f t="shared" ref="Q21:Q22" si="7">P21*N21</f>
        <v>38.19</v>
      </c>
      <c r="R21" s="51"/>
      <c r="S21" s="59"/>
    </row>
    <row r="22" spans="1:19" s="74" customFormat="1" x14ac:dyDescent="0.25">
      <c r="A22" s="68"/>
      <c r="B22" s="75">
        <f t="shared" si="0"/>
        <v>13</v>
      </c>
      <c r="C22" s="69" t="s">
        <v>18</v>
      </c>
      <c r="D22" s="70" t="s">
        <v>280</v>
      </c>
      <c r="E22" s="70" t="s">
        <v>281</v>
      </c>
      <c r="F22" s="70" t="s">
        <v>109</v>
      </c>
      <c r="G22" s="70" t="s">
        <v>282</v>
      </c>
      <c r="H22" s="70" t="s">
        <v>171</v>
      </c>
      <c r="I22" s="70" t="s">
        <v>249</v>
      </c>
      <c r="J22" s="70" t="s">
        <v>283</v>
      </c>
      <c r="K22" s="70"/>
      <c r="L22" s="70">
        <v>2</v>
      </c>
      <c r="M22" s="70">
        <f t="shared" si="1"/>
        <v>2000</v>
      </c>
      <c r="N22" s="70">
        <v>2005</v>
      </c>
      <c r="O22" s="71" t="s">
        <v>251</v>
      </c>
      <c r="P22" s="72">
        <v>8.4699999999999998E-2</v>
      </c>
      <c r="Q22" s="72">
        <f t="shared" si="7"/>
        <v>169.8235</v>
      </c>
      <c r="R22" s="70"/>
      <c r="S22" s="73"/>
    </row>
    <row r="23" spans="1:19" s="67" customFormat="1" ht="36" x14ac:dyDescent="0.25">
      <c r="A23" s="65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 t="s">
        <v>249</v>
      </c>
      <c r="J23" s="37" t="s">
        <v>274</v>
      </c>
      <c r="K23" s="37" t="s">
        <v>249</v>
      </c>
      <c r="L23" s="37">
        <v>1</v>
      </c>
      <c r="M23" s="37">
        <f t="shared" si="1"/>
        <v>1000</v>
      </c>
      <c r="N23" s="37">
        <v>1005</v>
      </c>
      <c r="O23" s="61" t="s">
        <v>251</v>
      </c>
      <c r="P23" s="38">
        <v>6.08E-2</v>
      </c>
      <c r="Q23" s="38">
        <f>P23*N23</f>
        <v>61.103999999999999</v>
      </c>
      <c r="R23" s="37"/>
      <c r="S23" s="59"/>
    </row>
    <row r="24" spans="1:19" s="67" customFormat="1" ht="25.5" x14ac:dyDescent="0.25">
      <c r="A24" s="65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 t="s">
        <v>249</v>
      </c>
      <c r="J24" s="51" t="s">
        <v>184</v>
      </c>
      <c r="K24" s="51" t="s">
        <v>249</v>
      </c>
      <c r="L24" s="51">
        <v>2</v>
      </c>
      <c r="M24" s="37">
        <f t="shared" si="1"/>
        <v>2000</v>
      </c>
      <c r="N24" s="51">
        <v>2005</v>
      </c>
      <c r="O24" s="61" t="s">
        <v>251</v>
      </c>
      <c r="P24" s="52">
        <v>8.9399999999999993E-2</v>
      </c>
      <c r="Q24" s="52">
        <f t="shared" ref="Q24" si="8">P24*N24</f>
        <v>179.24699999999999</v>
      </c>
      <c r="R24" s="51"/>
      <c r="S24" s="59"/>
    </row>
    <row r="25" spans="1:19" s="67" customFormat="1" ht="25.5" x14ac:dyDescent="0.25">
      <c r="A25" s="65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 t="shared" si="1"/>
        <v>1000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</row>
    <row r="26" spans="1:19" s="67" customFormat="1" ht="25.5" x14ac:dyDescent="0.25">
      <c r="A26" s="65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37" t="s">
        <v>249</v>
      </c>
      <c r="J26" s="51" t="s">
        <v>249</v>
      </c>
      <c r="K26" s="51" t="s">
        <v>249</v>
      </c>
      <c r="L26" s="51">
        <v>1</v>
      </c>
      <c r="M26" s="37">
        <f t="shared" si="1"/>
        <v>1000</v>
      </c>
      <c r="N26" s="51">
        <v>1001</v>
      </c>
      <c r="O26" s="61" t="s">
        <v>264</v>
      </c>
      <c r="P26" s="52">
        <v>1.99</v>
      </c>
      <c r="Q26" s="52">
        <f t="shared" ref="Q26" si="9">P26*N26</f>
        <v>1991.99</v>
      </c>
      <c r="R26" s="51"/>
      <c r="S26" s="59"/>
    </row>
    <row r="27" spans="1:19" s="67" customFormat="1" ht="24" x14ac:dyDescent="0.25">
      <c r="A27" s="65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51" t="s">
        <v>249</v>
      </c>
      <c r="J27" s="37" t="s">
        <v>185</v>
      </c>
      <c r="K27" s="37" t="s">
        <v>217</v>
      </c>
      <c r="L27" s="37">
        <v>1</v>
      </c>
      <c r="M27" s="37">
        <f t="shared" si="1"/>
        <v>1000</v>
      </c>
      <c r="N27" s="37">
        <v>1002</v>
      </c>
      <c r="O27" s="61" t="s">
        <v>251</v>
      </c>
      <c r="P27" s="38">
        <v>0.49009999999999998</v>
      </c>
      <c r="Q27" s="38">
        <f>P27*N27</f>
        <v>491.08019999999999</v>
      </c>
      <c r="R27" s="37"/>
      <c r="S27" s="59"/>
    </row>
    <row r="28" spans="1:19" s="67" customFormat="1" ht="48" x14ac:dyDescent="0.25">
      <c r="A28" s="65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37" t="s">
        <v>249</v>
      </c>
      <c r="J28" s="51" t="s">
        <v>186</v>
      </c>
      <c r="K28" s="37" t="s">
        <v>249</v>
      </c>
      <c r="L28" s="51">
        <v>1</v>
      </c>
      <c r="M28" s="37">
        <f t="shared" si="1"/>
        <v>1000</v>
      </c>
      <c r="N28" s="51">
        <v>1020</v>
      </c>
      <c r="O28" s="61" t="s">
        <v>251</v>
      </c>
      <c r="P28" s="52">
        <v>2.35E-2</v>
      </c>
      <c r="Q28" s="52">
        <f t="shared" ref="Q28" si="10">P28*N28</f>
        <v>23.97</v>
      </c>
      <c r="R28" s="51"/>
      <c r="S28" s="59"/>
    </row>
    <row r="29" spans="1:19" s="67" customFormat="1" ht="24" x14ac:dyDescent="0.25">
      <c r="A29" s="65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51" t="s">
        <v>249</v>
      </c>
      <c r="J29" s="37" t="s">
        <v>253</v>
      </c>
      <c r="K29" s="51" t="s">
        <v>249</v>
      </c>
      <c r="L29" s="37">
        <v>1</v>
      </c>
      <c r="M29" s="37">
        <f t="shared" si="1"/>
        <v>1000</v>
      </c>
      <c r="N29" s="37">
        <v>1005</v>
      </c>
      <c r="O29" s="61" t="s">
        <v>251</v>
      </c>
      <c r="P29" s="38">
        <v>0.18790000000000001</v>
      </c>
      <c r="Q29" s="38">
        <f>P29*N29</f>
        <v>188.83950000000002</v>
      </c>
      <c r="R29" s="37"/>
      <c r="S29" s="59"/>
    </row>
    <row r="30" spans="1:19" s="67" customFormat="1" ht="48" x14ac:dyDescent="0.25">
      <c r="A30" s="65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37" t="s">
        <v>249</v>
      </c>
      <c r="J30" s="51" t="s">
        <v>187</v>
      </c>
      <c r="K30" s="51" t="s">
        <v>218</v>
      </c>
      <c r="L30" s="51">
        <v>1</v>
      </c>
      <c r="M30" s="37">
        <f t="shared" si="1"/>
        <v>1000</v>
      </c>
      <c r="N30" s="51">
        <v>1100</v>
      </c>
      <c r="O30" s="61" t="s">
        <v>251</v>
      </c>
      <c r="P30" s="52">
        <v>1.5E-3</v>
      </c>
      <c r="Q30" s="52">
        <f t="shared" ref="Q30" si="11">P30*N30</f>
        <v>1.6500000000000001</v>
      </c>
      <c r="R30" s="51"/>
      <c r="S30" s="59"/>
    </row>
    <row r="31" spans="1:19" s="67" customFormat="1" x14ac:dyDescent="0.25">
      <c r="A31" s="65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51" t="s">
        <v>249</v>
      </c>
      <c r="J31" s="37" t="s">
        <v>188</v>
      </c>
      <c r="K31" s="37" t="s">
        <v>219</v>
      </c>
      <c r="L31" s="37">
        <v>1</v>
      </c>
      <c r="M31" s="37">
        <f t="shared" si="1"/>
        <v>1000</v>
      </c>
      <c r="N31" s="37">
        <v>1050</v>
      </c>
      <c r="O31" s="61" t="s">
        <v>251</v>
      </c>
      <c r="P31" s="38">
        <v>4.7999999999999996E-3</v>
      </c>
      <c r="Q31" s="38">
        <f>P31*N31</f>
        <v>5.0399999999999991</v>
      </c>
      <c r="R31" s="37"/>
      <c r="S31" s="59"/>
    </row>
    <row r="32" spans="1:19" s="67" customFormat="1" x14ac:dyDescent="0.25">
      <c r="A32" s="65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70" t="s">
        <v>249</v>
      </c>
      <c r="J32" s="51" t="s">
        <v>189</v>
      </c>
      <c r="K32" s="51" t="s">
        <v>220</v>
      </c>
      <c r="L32" s="51">
        <v>2</v>
      </c>
      <c r="M32" s="37">
        <f t="shared" si="1"/>
        <v>2000</v>
      </c>
      <c r="N32" s="51">
        <v>2100</v>
      </c>
      <c r="O32" s="61" t="s">
        <v>251</v>
      </c>
      <c r="P32" s="52">
        <v>5.0000000000000001E-4</v>
      </c>
      <c r="Q32" s="52">
        <f t="shared" ref="Q32" si="12">P32*N32</f>
        <v>1.05</v>
      </c>
      <c r="R32" s="51"/>
      <c r="S32" s="59"/>
    </row>
    <row r="33" spans="1:19" s="67" customFormat="1" x14ac:dyDescent="0.25">
      <c r="A33" s="65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 t="shared" si="1"/>
        <v>1000</v>
      </c>
      <c r="N33" s="37">
        <v>1005</v>
      </c>
      <c r="O33" s="61" t="s">
        <v>251</v>
      </c>
      <c r="P33" s="38">
        <v>5.8799999999999998E-2</v>
      </c>
      <c r="Q33" s="38">
        <f>P33*N33</f>
        <v>59.094000000000001</v>
      </c>
      <c r="R33" s="37"/>
      <c r="S33" s="59"/>
    </row>
    <row r="34" spans="1:19" s="67" customFormat="1" x14ac:dyDescent="0.25">
      <c r="A34" s="65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37">
        <f t="shared" si="1"/>
        <v>1000</v>
      </c>
      <c r="N34" s="51">
        <v>1100</v>
      </c>
      <c r="O34" s="61" t="s">
        <v>251</v>
      </c>
      <c r="P34" s="52">
        <v>5.0000000000000001E-4</v>
      </c>
      <c r="Q34" s="52">
        <f t="shared" ref="Q34" si="13">P34*N34</f>
        <v>0.55000000000000004</v>
      </c>
      <c r="R34" s="51"/>
      <c r="S34" s="59"/>
    </row>
    <row r="35" spans="1:19" s="67" customFormat="1" ht="24" x14ac:dyDescent="0.25">
      <c r="A35" s="65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 t="shared" si="1"/>
        <v>1000</v>
      </c>
      <c r="N35" s="37">
        <v>1100</v>
      </c>
      <c r="O35" s="61" t="s">
        <v>251</v>
      </c>
      <c r="P35" s="38">
        <v>8.0000000000000004E-4</v>
      </c>
      <c r="Q35" s="38">
        <f>P35*N35</f>
        <v>0.88</v>
      </c>
      <c r="R35" s="37"/>
      <c r="S35" s="59"/>
    </row>
    <row r="36" spans="1:19" s="67" customFormat="1" x14ac:dyDescent="0.25">
      <c r="A36" s="65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37">
        <f t="shared" si="1"/>
        <v>1000</v>
      </c>
      <c r="N36" s="51">
        <v>1100</v>
      </c>
      <c r="O36" s="61" t="s">
        <v>251</v>
      </c>
      <c r="P36" s="52">
        <v>1E-3</v>
      </c>
      <c r="Q36" s="52">
        <f t="shared" ref="Q36" si="14">P36*N36</f>
        <v>1.1000000000000001</v>
      </c>
      <c r="R36" s="51"/>
      <c r="S36" s="59"/>
    </row>
    <row r="37" spans="1:19" s="67" customFormat="1" x14ac:dyDescent="0.25">
      <c r="A37" s="65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 t="shared" si="1"/>
        <v>1000</v>
      </c>
      <c r="N37" s="37">
        <v>1100</v>
      </c>
      <c r="O37" s="61" t="s">
        <v>251</v>
      </c>
      <c r="P37" s="38">
        <v>6.9999999999999999E-4</v>
      </c>
      <c r="Q37" s="38">
        <f>P37*N37</f>
        <v>0.77</v>
      </c>
      <c r="R37" s="37"/>
      <c r="S37" s="59"/>
    </row>
    <row r="38" spans="1:19" s="67" customFormat="1" x14ac:dyDescent="0.25">
      <c r="A38" s="65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37">
        <f t="shared" si="1"/>
        <v>1000</v>
      </c>
      <c r="N38" s="51">
        <v>1050</v>
      </c>
      <c r="O38" s="61" t="s">
        <v>251</v>
      </c>
      <c r="P38" s="52">
        <v>4.7999999999999996E-3</v>
      </c>
      <c r="Q38" s="52">
        <f t="shared" ref="Q38" si="15">P38*N38</f>
        <v>5.0399999999999991</v>
      </c>
      <c r="R38" s="51"/>
      <c r="S38" s="59"/>
    </row>
    <row r="39" spans="1:19" s="67" customFormat="1" ht="24" x14ac:dyDescent="0.25">
      <c r="A39" s="65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 t="shared" si="1"/>
        <v>13000</v>
      </c>
      <c r="N39" s="37">
        <v>13100</v>
      </c>
      <c r="O39" s="61" t="s">
        <v>251</v>
      </c>
      <c r="P39" s="38">
        <v>5.9999999999999995E-4</v>
      </c>
      <c r="Q39" s="38">
        <f>P39*N39</f>
        <v>7.8599999999999994</v>
      </c>
      <c r="R39" s="37"/>
      <c r="S39" s="59"/>
    </row>
    <row r="40" spans="1:19" s="67" customFormat="1" x14ac:dyDescent="0.25">
      <c r="A40" s="65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37">
        <f t="shared" si="1"/>
        <v>3000</v>
      </c>
      <c r="N40" s="51">
        <v>3100</v>
      </c>
      <c r="O40" s="61" t="s">
        <v>251</v>
      </c>
      <c r="P40" s="52">
        <v>1E-3</v>
      </c>
      <c r="Q40" s="52">
        <f t="shared" ref="Q40:Q41" si="16">P40*N40</f>
        <v>3.1</v>
      </c>
      <c r="R40" s="51"/>
      <c r="S40" s="59"/>
    </row>
    <row r="41" spans="1:19" s="67" customFormat="1" x14ac:dyDescent="0.25">
      <c r="A41" s="65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37">
        <f t="shared" si="1"/>
        <v>1000</v>
      </c>
      <c r="N41" s="51">
        <v>1100</v>
      </c>
      <c r="O41" s="61" t="s">
        <v>251</v>
      </c>
      <c r="P41" s="52">
        <v>8.0000000000000004E-4</v>
      </c>
      <c r="Q41" s="52">
        <f t="shared" si="16"/>
        <v>0.88</v>
      </c>
      <c r="R41" s="51"/>
      <c r="S41" s="59"/>
    </row>
    <row r="42" spans="1:19" s="67" customFormat="1" x14ac:dyDescent="0.25">
      <c r="A42" s="65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 t="shared" si="1"/>
        <v>2000</v>
      </c>
      <c r="N42" s="37">
        <v>2100</v>
      </c>
      <c r="O42" s="61" t="s">
        <v>251</v>
      </c>
      <c r="P42" s="38">
        <v>8.0000000000000004E-4</v>
      </c>
      <c r="Q42" s="38">
        <f>P42*N42</f>
        <v>1.6800000000000002</v>
      </c>
      <c r="R42" s="37"/>
      <c r="S42" s="59"/>
    </row>
    <row r="43" spans="1:19" s="67" customFormat="1" x14ac:dyDescent="0.25">
      <c r="A43" s="65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 t="shared" si="1"/>
        <v>4000</v>
      </c>
      <c r="N43" s="37">
        <v>4100</v>
      </c>
      <c r="O43" s="61" t="s">
        <v>251</v>
      </c>
      <c r="P43" s="38">
        <v>6.9999999999999999E-4</v>
      </c>
      <c r="Q43" s="38">
        <f>P43*N43</f>
        <v>2.87</v>
      </c>
      <c r="R43" s="37"/>
      <c r="S43" s="59"/>
    </row>
    <row r="44" spans="1:19" s="67" customFormat="1" x14ac:dyDescent="0.25">
      <c r="A44" s="65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37">
        <f t="shared" si="1"/>
        <v>1000</v>
      </c>
      <c r="N44" s="51">
        <v>1100</v>
      </c>
      <c r="O44" s="61" t="s">
        <v>251</v>
      </c>
      <c r="P44" s="52">
        <v>2.3999999999999998E-3</v>
      </c>
      <c r="Q44" s="52">
        <f t="shared" ref="Q44" si="17">P44*N44</f>
        <v>2.6399999999999997</v>
      </c>
      <c r="R44" s="51"/>
      <c r="S44" s="59"/>
    </row>
    <row r="45" spans="1:19" s="67" customFormat="1" x14ac:dyDescent="0.25">
      <c r="A45" s="65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 t="shared" si="1"/>
        <v>4000</v>
      </c>
      <c r="N45" s="37">
        <v>4100</v>
      </c>
      <c r="O45" s="61" t="s">
        <v>251</v>
      </c>
      <c r="P45" s="38">
        <v>1E-3</v>
      </c>
      <c r="Q45" s="38">
        <f>P45*N45</f>
        <v>4.0999999999999996</v>
      </c>
      <c r="R45" s="37"/>
      <c r="S45" s="59"/>
    </row>
    <row r="46" spans="1:19" s="67" customFormat="1" x14ac:dyDescent="0.25">
      <c r="A46" s="65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37">
        <f t="shared" si="1"/>
        <v>1000</v>
      </c>
      <c r="N46" s="51">
        <v>1100</v>
      </c>
      <c r="O46" s="61" t="s">
        <v>251</v>
      </c>
      <c r="P46" s="52">
        <v>1E-3</v>
      </c>
      <c r="Q46" s="52">
        <f t="shared" ref="Q46" si="18">P46*N46</f>
        <v>1.1000000000000001</v>
      </c>
      <c r="R46" s="51"/>
      <c r="S46" s="59"/>
    </row>
    <row r="47" spans="1:19" s="67" customFormat="1" x14ac:dyDescent="0.25">
      <c r="A47" s="65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 t="shared" si="1"/>
        <v>1000</v>
      </c>
      <c r="N47" s="37">
        <v>1100</v>
      </c>
      <c r="O47" s="61" t="s">
        <v>251</v>
      </c>
      <c r="P47" s="38">
        <v>1E-3</v>
      </c>
      <c r="Q47" s="38">
        <f>P47*N47</f>
        <v>1.1000000000000001</v>
      </c>
      <c r="R47" s="37"/>
      <c r="S47" s="59"/>
    </row>
    <row r="48" spans="1:19" s="67" customFormat="1" x14ac:dyDescent="0.25">
      <c r="A48" s="65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37">
        <f t="shared" si="1"/>
        <v>1000</v>
      </c>
      <c r="N48" s="51">
        <v>1002</v>
      </c>
      <c r="O48" s="61" t="s">
        <v>251</v>
      </c>
      <c r="P48" s="52">
        <v>1.3125</v>
      </c>
      <c r="Q48" s="52">
        <f t="shared" ref="Q48" si="19">P48*N48</f>
        <v>1315.125</v>
      </c>
      <c r="R48" s="51"/>
      <c r="S48" s="59"/>
    </row>
    <row r="49" spans="1:19" s="67" customFormat="1" ht="24" x14ac:dyDescent="0.25">
      <c r="A49" s="65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 t="shared" si="1"/>
        <v>1000</v>
      </c>
      <c r="N49" s="37">
        <v>1002</v>
      </c>
      <c r="O49" s="61" t="s">
        <v>251</v>
      </c>
      <c r="P49" s="38">
        <v>0.40260000000000001</v>
      </c>
      <c r="Q49" s="38">
        <f>P49*N49</f>
        <v>403.40520000000004</v>
      </c>
      <c r="R49" s="37"/>
      <c r="S49" s="59"/>
    </row>
    <row r="50" spans="1:19" s="67" customFormat="1" x14ac:dyDescent="0.25">
      <c r="A50" s="65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37">
        <f t="shared" si="1"/>
        <v>1000</v>
      </c>
      <c r="N50" s="51">
        <v>1002</v>
      </c>
      <c r="O50" s="61" t="s">
        <v>251</v>
      </c>
      <c r="P50" s="52">
        <v>1.9155</v>
      </c>
      <c r="Q50" s="52">
        <f t="shared" ref="Q50:Q52" si="20">P50*N50</f>
        <v>1919.3309999999999</v>
      </c>
      <c r="R50" s="51"/>
      <c r="S50" s="59"/>
    </row>
    <row r="51" spans="1:19" s="67" customFormat="1" ht="15.75" thickBot="1" x14ac:dyDescent="0.3">
      <c r="A51" s="65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37">
        <f t="shared" si="1"/>
        <v>1000</v>
      </c>
      <c r="N51" s="51">
        <v>1002</v>
      </c>
      <c r="O51" s="61" t="s">
        <v>251</v>
      </c>
      <c r="P51" s="52">
        <v>0.1381</v>
      </c>
      <c r="Q51" s="52">
        <f t="shared" si="20"/>
        <v>138.37620000000001</v>
      </c>
      <c r="R51" s="51"/>
      <c r="S51" s="39"/>
    </row>
    <row r="52" spans="1:19" s="67" customFormat="1" ht="15.75" thickBot="1" x14ac:dyDescent="0.3">
      <c r="A52" s="65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37">
        <f t="shared" si="1"/>
        <v>1000</v>
      </c>
      <c r="N52" s="51">
        <v>1000</v>
      </c>
      <c r="O52" s="61" t="s">
        <v>251</v>
      </c>
      <c r="P52" s="52">
        <v>1.2712000000000001</v>
      </c>
      <c r="Q52" s="52">
        <f t="shared" si="20"/>
        <v>1271.2</v>
      </c>
      <c r="R52" s="51"/>
      <c r="S52" s="39"/>
    </row>
    <row r="53" spans="1:19" s="67" customFormat="1" ht="30.75" thickBot="1" x14ac:dyDescent="0.3">
      <c r="A53" s="65"/>
      <c r="B53" s="47">
        <f t="shared" si="0"/>
        <v>44</v>
      </c>
      <c r="C53" s="54" t="s">
        <v>276</v>
      </c>
      <c r="D53" s="51" t="s">
        <v>249</v>
      </c>
      <c r="E53" s="51" t="s">
        <v>249</v>
      </c>
      <c r="F53" s="51" t="s">
        <v>249</v>
      </c>
      <c r="G53" s="51"/>
      <c r="H53" s="51"/>
      <c r="I53" s="51" t="s">
        <v>249</v>
      </c>
      <c r="J53" s="51"/>
      <c r="K53" s="51" t="s">
        <v>249</v>
      </c>
      <c r="L53" s="51">
        <v>1</v>
      </c>
      <c r="M53" s="37">
        <f t="shared" ref="M53" si="21">L53*1000</f>
        <v>1000</v>
      </c>
      <c r="N53" s="51">
        <v>1000</v>
      </c>
      <c r="O53" s="61" t="s">
        <v>304</v>
      </c>
      <c r="P53" s="52">
        <v>4.07</v>
      </c>
      <c r="Q53" s="52">
        <f t="shared" ref="Q53" si="22">P53*N53</f>
        <v>4070.0000000000005</v>
      </c>
      <c r="R53" s="51"/>
      <c r="S53" s="39"/>
    </row>
    <row r="54" spans="1:19" ht="19.5" thickBot="1" x14ac:dyDescent="0.3">
      <c r="A54" s="1"/>
      <c r="B54" s="40"/>
      <c r="C54" s="41"/>
      <c r="D54" s="42"/>
      <c r="E54" s="43"/>
      <c r="F54" s="44"/>
      <c r="G54" s="45"/>
      <c r="H54" s="44"/>
      <c r="I54" s="45"/>
      <c r="J54" s="44"/>
      <c r="K54" s="45"/>
      <c r="L54" s="45"/>
      <c r="M54" s="45"/>
      <c r="N54" s="85" t="s">
        <v>5</v>
      </c>
      <c r="O54" s="86"/>
      <c r="P54" s="86"/>
      <c r="Q54" s="48">
        <f>SUM(Q10:Q52)</f>
        <v>9944.2944000000043</v>
      </c>
      <c r="R54" s="81"/>
      <c r="S54" s="82"/>
    </row>
    <row r="55" spans="1:19" ht="19.5" thickBot="1" x14ac:dyDescent="0.3">
      <c r="A55" s="1"/>
      <c r="B55" s="25"/>
      <c r="C55" s="36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85" t="s">
        <v>6</v>
      </c>
      <c r="O55" s="86"/>
      <c r="P55" s="86"/>
      <c r="Q55" s="49">
        <f>Q54/1000</f>
        <v>9.944294400000004</v>
      </c>
      <c r="R55" s="83"/>
      <c r="S55" s="84"/>
    </row>
  </sheetData>
  <mergeCells count="5">
    <mergeCell ref="K1:S1"/>
    <mergeCell ref="S3:S8"/>
    <mergeCell ref="N54:P54"/>
    <mergeCell ref="R54:S55"/>
    <mergeCell ref="N55:P55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  <hyperlink ref="O22" r:id="rId42"/>
    <hyperlink ref="O53" r:id="rId43"/>
  </hyperlinks>
  <pageMargins left="0.7" right="0.7" top="0.75" bottom="0.75" header="0.3" footer="0.3"/>
  <drawing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 Boards</vt:lpstr>
      <vt:lpstr> 20 Boards</vt:lpstr>
      <vt:lpstr>50 Boards</vt:lpstr>
      <vt:lpstr>100 Boards</vt:lpstr>
      <vt:lpstr>500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2023-12-22T16:58:26Z</dcterms:modified>
</cp:coreProperties>
</file>