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3" i="1" l="1"/>
  <c r="K22" i="1" l="1"/>
  <c r="B22" i="1"/>
  <c r="K52" i="1" l="1"/>
  <c r="B52" i="1"/>
  <c r="B51" i="1" l="1"/>
  <c r="B50" i="1"/>
  <c r="B49" i="1"/>
  <c r="B48" i="1"/>
  <c r="B47" i="1"/>
  <c r="B46" i="1"/>
  <c r="B45" i="1"/>
  <c r="B44" i="1"/>
  <c r="B43" i="1"/>
  <c r="B40" i="1"/>
  <c r="B42" i="1"/>
  <c r="B41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1" i="1"/>
  <c r="B20" i="1"/>
  <c r="B19" i="1"/>
  <c r="B18" i="1"/>
  <c r="B17" i="1"/>
  <c r="B16" i="1"/>
  <c r="B15" i="1"/>
  <c r="B14" i="1"/>
  <c r="B13" i="1"/>
  <c r="B12" i="1"/>
  <c r="B11" i="1"/>
  <c r="B10" i="1"/>
  <c r="K51" i="1" l="1"/>
  <c r="K50" i="1"/>
  <c r="K49" i="1"/>
  <c r="K48" i="1"/>
  <c r="K47" i="1"/>
  <c r="K46" i="1"/>
  <c r="K45" i="1"/>
  <c r="K44" i="1"/>
  <c r="K43" i="1"/>
  <c r="K40" i="1"/>
  <c r="K42" i="1"/>
  <c r="K41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1" i="1"/>
  <c r="K20" i="1"/>
  <c r="K19" i="1"/>
  <c r="K18" i="1"/>
  <c r="K17" i="1"/>
  <c r="K16" i="1"/>
  <c r="K15" i="1"/>
  <c r="K14" i="1"/>
  <c r="K13" i="1"/>
  <c r="K12" i="1"/>
  <c r="K11" i="1" l="1"/>
  <c r="K10" i="1"/>
</calcChain>
</file>

<file path=xl/sharedStrings.xml><?xml version="1.0" encoding="utf-8"?>
<sst xmlns="http://schemas.openxmlformats.org/spreadsheetml/2006/main" count="327" uniqueCount="230">
  <si>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</si>
  <si>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</si>
  <si>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</si>
  <si>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</si>
  <si>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</si>
  <si>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</si>
  <si>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</si>
  <si>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</si>
  <si>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</si>
  <si>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</si>
  <si>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</si>
  <si>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</si>
  <si>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</si>
  <si>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</si>
  <si>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</si>
  <si>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</si>
  <si>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</si>
  <si>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</si>
  <si>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</si>
  <si>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</si>
  <si>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</si>
  <si>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</si>
  <si>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</si>
  <si>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</si>
  <si>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</si>
  <si>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</si>
  <si>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</si>
  <si>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</si>
  <si>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</si>
  <si>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</si>
  <si>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</si>
  <si>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</si>
  <si>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</si>
  <si>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</si>
  <si>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</si>
  <si>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</si>
  <si>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</si>
  <si>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</si>
  <si>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</si>
  <si>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</si>
  <si>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</si>
  <si>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</si>
  <si>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</si>
  <si>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</si>
  <si>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</si>
  <si>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</si>
  <si>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</si>
  <si>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</si>
  <si>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</si>
  <si>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</si>
  <si>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</si>
  <si>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</si>
  <si>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</si>
  <si>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</si>
  <si>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</si>
  <si>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</si>
  <si>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</si>
  <si>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</si>
  <si>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</si>
  <si>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</si>
  <si>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</si>
  <si>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</si>
  <si>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</si>
  <si>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</si>
  <si>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</si>
  <si>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</si>
  <si>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</si>
  <si>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</si>
  <si>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</si>
  <si>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</si>
  <si>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</si>
  <si>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</si>
  <si>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</si>
  <si>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</si>
  <si>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</si>
  <si>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</si>
  <si>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</si>
  <si>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</si>
  <si>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</si>
  <si>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</si>
  <si>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</si>
  <si>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</si>
  <si>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</si>
  <si>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</si>
  <si>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</si>
  <si>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</si>
  <si>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</si>
  <si>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</si>
  <si>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</si>
  <si>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</si>
  <si>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</si>
  <si>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</si>
  <si>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</si>
  <si>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</si>
  <si>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</si>
  <si>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</si>
  <si>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</si>
  <si>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</si>
  <si>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</si>
  <si>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</si>
  <si>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</si>
  <si>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</si>
  <si>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</si>
  <si>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</si>
  <si>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</si>
  <si>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</si>
  <si>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</si>
  <si>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</si>
  <si>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</si>
  <si>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</si>
  <si>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</si>
  <si>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</si>
  <si>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</si>
  <si>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</si>
  <si>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</si>
  <si>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</si>
  <si>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</si>
  <si>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</si>
  <si>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</si>
  <si>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</si>
  <si>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</si>
  <si>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</si>
  <si>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</si>
  <si>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</si>
  <si>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</si>
  <si>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</si>
  <si>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</si>
  <si>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</si>
  <si>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</si>
  <si>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</si>
  <si>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</si>
  <si>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</si>
  <si>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</si>
  <si>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</si>
  <si>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</si>
  <si>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</si>
  <si>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</si>
  <si>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</si>
  <si>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</si>
  <si>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</si>
  <si>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</si>
  <si>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</si>
  <si>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</si>
  <si>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</si>
  <si>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</si>
  <si>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</si>
  <si>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</si>
  <si>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</si>
  <si>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</si>
  <si>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</si>
  <si>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</si>
  <si>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</si>
  <si>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</si>
  <si>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</si>
  <si>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</si>
  <si>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</si>
  <si>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</si>
  <si>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</si>
  <si>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</si>
  <si>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</si>
  <si>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</si>
  <si>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</si>
  <si>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</si>
  <si>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</si>
  <si>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</si>
  <si>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</si>
  <si>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</si>
  <si>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</si>
  <si>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</si>
  <si>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</si>
  <si>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</si>
  <si>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</si>
  <si>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</si>
  <si>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</si>
  <si>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</si>
  <si>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</si>
  <si>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</si>
  <si>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</si>
  <si>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</si>
  <si>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</si>
  <si>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</si>
  <si>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</si>
  <si>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</si>
  <si>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</si>
  <si>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</si>
  <si>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</si>
  <si>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</si>
  <si>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</si>
  <si>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</si>
  <si>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</si>
  <si>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</si>
  <si>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</si>
  <si>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</si>
  <si>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</si>
  <si>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</si>
  <si>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</si>
  <si>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</si>
  <si>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</si>
  <si>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</si>
  <si>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</si>
  <si>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Custom</t>
  </si>
  <si>
    <t>Mini PCIe Connector</t>
  </si>
  <si>
    <t>-</t>
  </si>
  <si>
    <t>Value</t>
  </si>
  <si>
    <t>Quantity (5 Boards)</t>
  </si>
  <si>
    <t>Remarks</t>
  </si>
  <si>
    <t>Quantity (1 Board)</t>
  </si>
  <si>
    <t>Bill of Materials for Project [EthPoE-Module-v2.0.]</t>
  </si>
  <si>
    <t>EthPoE-Module-v2.0.</t>
  </si>
  <si>
    <t>EthPoE-Module-v2.0</t>
  </si>
  <si>
    <t>CONN JACK 1PORT 100 BASE-T PCB</t>
  </si>
  <si>
    <t>ARJM11D7-114-AB-EW2</t>
  </si>
  <si>
    <t>Abracon</t>
  </si>
  <si>
    <t>IC POE CNTRL 1 CHANNEL 8SOIC</t>
  </si>
  <si>
    <t>SOIC-8</t>
  </si>
  <si>
    <t>TPS2375DR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</si>
  <si>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</si>
  <si>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</si>
  <si>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</si>
  <si>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</si>
  <si>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</si>
  <si>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R3, R11</t>
  </si>
  <si>
    <t>Peripheral</t>
  </si>
  <si>
    <t>LC-2030C</t>
  </si>
  <si>
    <t xml:space="preserve">Shengwei </t>
  </si>
  <si>
    <t>D3, D4</t>
  </si>
  <si>
    <t>TVS DIODE 5.5VWM 8.5VC SOT23-3</t>
  </si>
  <si>
    <t>SP0502BAHTG</t>
  </si>
  <si>
    <t>POE Injector</t>
  </si>
  <si>
    <t>Refrence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</si>
</sst>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.aliexpress.com/item/1005001356576287.html?spm=a2g0o.productlist.main.1.77e44a5a6JBItS&amp;algo_pvid=cdf4e0e0-0e5c-49ca-97d9-4c5834f08fcb&amp;aem_p4p_detail=202312220853009160133276496790003316758&amp;algo_exp_id=cdf4e0e0-0e5c-49ca-97d9-4c5834f08fcb-0&amp;pdp_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5"/>
  <sheetViews>
    <sheetView tabSelected="1" workbookViewId="0">
      <selection activeCell="N35" sqref="N35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1.5703125" customWidth="1"/>
    <col min="7" max="7" width="25.28515625" bestFit="1" customWidth="1"/>
    <col min="8" max="8" width="24.42578125" bestFit="1" customWidth="1"/>
    <col min="9" max="9" width="6.140625" bestFit="1" customWidth="1"/>
    <col min="10" max="10" width="17.42578125" bestFit="1" customWidth="1"/>
    <col min="11" max="11" width="18.28515625" bestFit="1" customWidth="1"/>
    <col min="12" max="12" width="29.42578125" customWidth="1"/>
    <col min="14" max="14" width="25.28515625" bestFit="1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3"/>
      <c r="J1" s="63"/>
      <c r="K1" s="63"/>
      <c r="L1" s="63"/>
    </row>
    <row r="2" spans="1:12" ht="32.25" thickBot="1" x14ac:dyDescent="0.3">
      <c r="A2" s="1"/>
      <c r="B2" s="20"/>
      <c r="C2" s="43"/>
      <c r="D2" s="10" t="s">
        <v>0</v>
      </c>
      <c r="E2" s="10"/>
      <c r="F2" s="50" t="s">
        <v>207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1" t="s">
        <v>208</v>
      </c>
      <c r="G3" s="12"/>
      <c r="H3" s="12"/>
      <c r="I3" s="4"/>
      <c r="J3" s="4"/>
      <c r="K3" s="4"/>
      <c r="L3" s="64"/>
    </row>
    <row r="4" spans="1:12" x14ac:dyDescent="0.25">
      <c r="A4" s="1"/>
      <c r="B4" s="21"/>
      <c r="C4" s="44"/>
      <c r="D4" s="12" t="s">
        <v>2</v>
      </c>
      <c r="E4" s="12"/>
      <c r="F4" s="52" t="s">
        <v>209</v>
      </c>
      <c r="G4" s="13"/>
      <c r="H4" s="13"/>
      <c r="I4" s="6"/>
      <c r="J4" s="6"/>
      <c r="K4" s="6"/>
      <c r="L4" s="65"/>
    </row>
    <row r="5" spans="1:12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65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65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65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65"/>
    </row>
    <row r="9" spans="1:12" ht="15.75" thickBot="1" x14ac:dyDescent="0.3">
      <c r="A9" s="1"/>
      <c r="B9" s="29" t="s">
        <v>4</v>
      </c>
      <c r="C9" s="29" t="s">
        <v>6</v>
      </c>
      <c r="D9" s="29" t="s">
        <v>18</v>
      </c>
      <c r="E9" s="29" t="s">
        <v>57</v>
      </c>
      <c r="F9" s="29" t="s">
        <v>96</v>
      </c>
      <c r="G9" s="29" t="s">
        <v>115</v>
      </c>
      <c r="H9" s="29" t="s">
        <v>151</v>
      </c>
      <c r="I9" s="30" t="s">
        <v>203</v>
      </c>
      <c r="J9" s="29" t="s">
        <v>206</v>
      </c>
      <c r="K9" s="29" t="s">
        <v>204</v>
      </c>
      <c r="L9" s="29" t="s">
        <v>205</v>
      </c>
    </row>
    <row r="10" spans="1:12" x14ac:dyDescent="0.25">
      <c r="A10" s="1"/>
      <c r="B10" s="54">
        <f>ROW(B10) - ROW($B$9)</f>
        <v>1</v>
      </c>
      <c r="C10" s="55" t="s">
        <v>7</v>
      </c>
      <c r="D10" s="36" t="s">
        <v>19</v>
      </c>
      <c r="E10" s="36" t="s">
        <v>58</v>
      </c>
      <c r="F10" s="36" t="s">
        <v>97</v>
      </c>
      <c r="G10" s="36" t="s">
        <v>116</v>
      </c>
      <c r="H10" s="36" t="s">
        <v>152</v>
      </c>
      <c r="I10" s="36" t="s">
        <v>171</v>
      </c>
      <c r="J10" s="36">
        <v>10</v>
      </c>
      <c r="K10" s="37">
        <f>J10*5</f>
        <v>50</v>
      </c>
      <c r="L10" s="36"/>
    </row>
    <row r="11" spans="1:12" ht="36" x14ac:dyDescent="0.25">
      <c r="A11" s="1"/>
      <c r="B11" s="56">
        <f t="shared" ref="B11:B53" si="0">ROW(B11) - ROW($B$9)</f>
        <v>2</v>
      </c>
      <c r="C11" s="57" t="s">
        <v>7</v>
      </c>
      <c r="D11" s="38" t="s">
        <v>20</v>
      </c>
      <c r="E11" s="38" t="s">
        <v>59</v>
      </c>
      <c r="F11" s="38" t="s">
        <v>200</v>
      </c>
      <c r="G11" s="38" t="s">
        <v>98</v>
      </c>
      <c r="H11" s="38" t="s">
        <v>153</v>
      </c>
      <c r="I11" s="38" t="s">
        <v>172</v>
      </c>
      <c r="J11" s="38">
        <v>1</v>
      </c>
      <c r="K11" s="39">
        <f t="shared" ref="K11" si="1">J11*5</f>
        <v>5</v>
      </c>
      <c r="L11" s="38"/>
    </row>
    <row r="12" spans="1:12" x14ac:dyDescent="0.25">
      <c r="A12" s="1"/>
      <c r="B12" s="54">
        <f>ROW(B12) - ROW($B$9)</f>
        <v>3</v>
      </c>
      <c r="C12" s="57" t="s">
        <v>7</v>
      </c>
      <c r="D12" s="36" t="s">
        <v>21</v>
      </c>
      <c r="E12" s="36" t="s">
        <v>60</v>
      </c>
      <c r="F12" s="36" t="s">
        <v>99</v>
      </c>
      <c r="G12" s="60" t="s">
        <v>117</v>
      </c>
      <c r="H12" s="36" t="s">
        <v>152</v>
      </c>
      <c r="I12" s="36" t="s">
        <v>173</v>
      </c>
      <c r="J12" s="36">
        <v>3</v>
      </c>
      <c r="K12" s="37">
        <f>J12*5</f>
        <v>15</v>
      </c>
      <c r="L12" s="36"/>
    </row>
    <row r="13" spans="1:12" x14ac:dyDescent="0.25">
      <c r="A13" s="1"/>
      <c r="B13" s="56">
        <f t="shared" si="0"/>
        <v>4</v>
      </c>
      <c r="C13" s="57" t="s">
        <v>7</v>
      </c>
      <c r="D13" s="38" t="s">
        <v>22</v>
      </c>
      <c r="E13" s="38" t="s">
        <v>61</v>
      </c>
      <c r="F13" s="38" t="s">
        <v>100</v>
      </c>
      <c r="G13" s="61" t="s">
        <v>118</v>
      </c>
      <c r="H13" s="38" t="s">
        <v>154</v>
      </c>
      <c r="I13" s="38" t="s">
        <v>174</v>
      </c>
      <c r="J13" s="38">
        <v>1</v>
      </c>
      <c r="K13" s="39">
        <f t="shared" ref="K13" si="2">J13*5</f>
        <v>5</v>
      </c>
      <c r="L13" s="38"/>
    </row>
    <row r="14" spans="1:12" x14ac:dyDescent="0.25">
      <c r="A14" s="1"/>
      <c r="B14" s="54">
        <f>ROW(B14) - ROW($B$9)</f>
        <v>5</v>
      </c>
      <c r="C14" s="55" t="s">
        <v>7</v>
      </c>
      <c r="D14" s="36" t="s">
        <v>23</v>
      </c>
      <c r="E14" s="36" t="s">
        <v>62</v>
      </c>
      <c r="F14" s="36" t="s">
        <v>97</v>
      </c>
      <c r="G14" s="60" t="s">
        <v>119</v>
      </c>
      <c r="H14" s="36" t="s">
        <v>155</v>
      </c>
      <c r="I14" s="36" t="s">
        <v>175</v>
      </c>
      <c r="J14" s="36">
        <v>1</v>
      </c>
      <c r="K14" s="37">
        <f>J14*5</f>
        <v>5</v>
      </c>
      <c r="L14" s="36"/>
    </row>
    <row r="15" spans="1:12" x14ac:dyDescent="0.25">
      <c r="A15" s="1"/>
      <c r="B15" s="56">
        <f t="shared" si="0"/>
        <v>6</v>
      </c>
      <c r="C15" s="57" t="s">
        <v>7</v>
      </c>
      <c r="D15" s="38" t="s">
        <v>24</v>
      </c>
      <c r="E15" s="38" t="s">
        <v>63</v>
      </c>
      <c r="F15" s="38" t="s">
        <v>97</v>
      </c>
      <c r="G15" s="60" t="s">
        <v>120</v>
      </c>
      <c r="H15" s="38" t="s">
        <v>155</v>
      </c>
      <c r="I15" s="38" t="s">
        <v>176</v>
      </c>
      <c r="J15" s="38">
        <v>3</v>
      </c>
      <c r="K15" s="39">
        <f t="shared" ref="K15" si="3">J15*5</f>
        <v>15</v>
      </c>
      <c r="L15" s="38"/>
    </row>
    <row r="16" spans="1:12" x14ac:dyDescent="0.25">
      <c r="A16" s="1"/>
      <c r="B16" s="54">
        <f>ROW(B16) - ROW($B$9)</f>
        <v>7</v>
      </c>
      <c r="C16" s="55" t="s">
        <v>7</v>
      </c>
      <c r="D16" s="36" t="s">
        <v>25</v>
      </c>
      <c r="E16" s="36" t="s">
        <v>64</v>
      </c>
      <c r="F16" s="36" t="s">
        <v>99</v>
      </c>
      <c r="G16" s="60" t="s">
        <v>121</v>
      </c>
      <c r="H16" s="36" t="s">
        <v>156</v>
      </c>
      <c r="I16" s="36" t="s">
        <v>177</v>
      </c>
      <c r="J16" s="36">
        <v>1</v>
      </c>
      <c r="K16" s="37">
        <f>J16*5</f>
        <v>5</v>
      </c>
      <c r="L16" s="36"/>
    </row>
    <row r="17" spans="1:12" x14ac:dyDescent="0.25">
      <c r="A17" s="1"/>
      <c r="B17" s="56">
        <f t="shared" si="0"/>
        <v>8</v>
      </c>
      <c r="C17" s="57" t="s">
        <v>7</v>
      </c>
      <c r="D17" s="38" t="s">
        <v>26</v>
      </c>
      <c r="E17" s="38" t="s">
        <v>65</v>
      </c>
      <c r="F17" s="38" t="s">
        <v>99</v>
      </c>
      <c r="G17" s="61" t="s">
        <v>122</v>
      </c>
      <c r="H17" s="38" t="s">
        <v>157</v>
      </c>
      <c r="I17" s="38" t="s">
        <v>178</v>
      </c>
      <c r="J17" s="38">
        <v>2</v>
      </c>
      <c r="K17" s="39">
        <f t="shared" ref="K17" si="4">J17*5</f>
        <v>10</v>
      </c>
      <c r="L17" s="38"/>
    </row>
    <row r="18" spans="1:12" x14ac:dyDescent="0.25">
      <c r="A18" s="1"/>
      <c r="B18" s="54">
        <f>ROW(B18) - ROW($B$9)</f>
        <v>9</v>
      </c>
      <c r="C18" s="55" t="s">
        <v>7</v>
      </c>
      <c r="D18" s="36" t="s">
        <v>27</v>
      </c>
      <c r="E18" s="36" t="s">
        <v>66</v>
      </c>
      <c r="F18" s="36" t="s">
        <v>99</v>
      </c>
      <c r="G18" s="60" t="s">
        <v>123</v>
      </c>
      <c r="H18" s="36" t="s">
        <v>155</v>
      </c>
      <c r="I18" s="36" t="s">
        <v>179</v>
      </c>
      <c r="J18" s="36">
        <v>2</v>
      </c>
      <c r="K18" s="37">
        <f>J18*5</f>
        <v>10</v>
      </c>
      <c r="L18" s="36"/>
    </row>
    <row r="19" spans="1:12" x14ac:dyDescent="0.25">
      <c r="A19" s="1"/>
      <c r="B19" s="56">
        <f t="shared" si="0"/>
        <v>10</v>
      </c>
      <c r="C19" s="55" t="s">
        <v>7</v>
      </c>
      <c r="D19" s="38" t="s">
        <v>28</v>
      </c>
      <c r="E19" s="38" t="s">
        <v>67</v>
      </c>
      <c r="F19" s="38" t="s">
        <v>99</v>
      </c>
      <c r="G19" s="61" t="s">
        <v>124</v>
      </c>
      <c r="H19" s="38" t="s">
        <v>156</v>
      </c>
      <c r="I19" s="38" t="s">
        <v>180</v>
      </c>
      <c r="J19" s="38">
        <v>1</v>
      </c>
      <c r="K19" s="39">
        <f t="shared" ref="K19" si="5">J19*5</f>
        <v>5</v>
      </c>
      <c r="L19" s="38"/>
    </row>
    <row r="20" spans="1:12" ht="24" x14ac:dyDescent="0.25">
      <c r="A20" s="1"/>
      <c r="B20" s="54">
        <f>ROW(B20) - ROW($B$9)</f>
        <v>11</v>
      </c>
      <c r="C20" s="55" t="s">
        <v>8</v>
      </c>
      <c r="D20" s="36" t="s">
        <v>29</v>
      </c>
      <c r="E20" s="36" t="s">
        <v>68</v>
      </c>
      <c r="F20" s="36" t="s">
        <v>101</v>
      </c>
      <c r="G20" s="60" t="s">
        <v>125</v>
      </c>
      <c r="H20" s="36" t="s">
        <v>158</v>
      </c>
      <c r="I20" s="36" t="s">
        <v>202</v>
      </c>
      <c r="J20" s="36">
        <v>1</v>
      </c>
      <c r="K20" s="37">
        <f>J20*5</f>
        <v>5</v>
      </c>
      <c r="L20" s="36"/>
    </row>
    <row r="21" spans="1:12" x14ac:dyDescent="0.25">
      <c r="A21" s="1"/>
      <c r="B21" s="56">
        <f t="shared" si="0"/>
        <v>12</v>
      </c>
      <c r="C21" s="57" t="s">
        <v>8</v>
      </c>
      <c r="D21" s="38" t="s">
        <v>30</v>
      </c>
      <c r="E21" s="38" t="s">
        <v>69</v>
      </c>
      <c r="F21" s="38" t="s">
        <v>102</v>
      </c>
      <c r="G21" s="61" t="s">
        <v>126</v>
      </c>
      <c r="H21" s="38" t="s">
        <v>159</v>
      </c>
      <c r="I21" s="38" t="s">
        <v>202</v>
      </c>
      <c r="J21" s="38">
        <v>1</v>
      </c>
      <c r="K21" s="39">
        <f t="shared" ref="K21:K22" si="6">J21*5</f>
        <v>5</v>
      </c>
      <c r="L21" s="38"/>
    </row>
    <row r="22" spans="1:12" x14ac:dyDescent="0.25">
      <c r="A22" s="1"/>
      <c r="B22" s="56">
        <f t="shared" si="0"/>
        <v>13</v>
      </c>
      <c r="C22" s="55" t="s">
        <v>16</v>
      </c>
      <c r="D22" s="36" t="s">
        <v>225</v>
      </c>
      <c r="E22" s="36" t="s">
        <v>226</v>
      </c>
      <c r="F22" s="36" t="s">
        <v>107</v>
      </c>
      <c r="G22" s="36" t="s">
        <v>227</v>
      </c>
      <c r="H22" s="36" t="s">
        <v>169</v>
      </c>
      <c r="I22" s="36" t="s">
        <v>202</v>
      </c>
      <c r="J22" s="36">
        <v>2</v>
      </c>
      <c r="K22" s="37">
        <f t="shared" si="6"/>
        <v>10</v>
      </c>
      <c r="L22" s="36"/>
    </row>
    <row r="23" spans="1:12" ht="24" x14ac:dyDescent="0.25">
      <c r="A23" s="1"/>
      <c r="B23" s="54">
        <f>ROW(B23) - ROW($B$9)</f>
        <v>14</v>
      </c>
      <c r="C23" s="55" t="s">
        <v>9</v>
      </c>
      <c r="D23" s="36" t="s">
        <v>31</v>
      </c>
      <c r="E23" s="36" t="s">
        <v>218</v>
      </c>
      <c r="F23" s="36" t="s">
        <v>103</v>
      </c>
      <c r="G23" s="36" t="s">
        <v>219</v>
      </c>
      <c r="H23" s="36" t="s">
        <v>220</v>
      </c>
      <c r="I23" s="36" t="s">
        <v>202</v>
      </c>
      <c r="J23" s="36">
        <v>1</v>
      </c>
      <c r="K23" s="37">
        <f>J23*5</f>
        <v>5</v>
      </c>
      <c r="L23" s="36"/>
    </row>
    <row r="24" spans="1:12" x14ac:dyDescent="0.25">
      <c r="A24" s="1"/>
      <c r="B24" s="56">
        <f t="shared" si="0"/>
        <v>15</v>
      </c>
      <c r="C24" s="57" t="s">
        <v>10</v>
      </c>
      <c r="D24" s="38" t="s">
        <v>32</v>
      </c>
      <c r="E24" s="38" t="s">
        <v>70</v>
      </c>
      <c r="F24" s="38" t="s">
        <v>104</v>
      </c>
      <c r="G24" s="61" t="s">
        <v>127</v>
      </c>
      <c r="H24" s="38" t="s">
        <v>160</v>
      </c>
      <c r="I24" s="38" t="s">
        <v>202</v>
      </c>
      <c r="J24" s="38">
        <v>2</v>
      </c>
      <c r="K24" s="39">
        <f t="shared" ref="K24" si="7">J24*5</f>
        <v>10</v>
      </c>
      <c r="L24" s="38"/>
    </row>
    <row r="25" spans="1:12" x14ac:dyDescent="0.25">
      <c r="A25" s="1"/>
      <c r="B25" s="54">
        <f>ROW(B25) - ROW($B$9)</f>
        <v>16</v>
      </c>
      <c r="C25" s="55" t="s">
        <v>201</v>
      </c>
      <c r="D25" s="58" t="s">
        <v>33</v>
      </c>
      <c r="E25" s="58" t="s">
        <v>71</v>
      </c>
      <c r="F25" s="59" t="s">
        <v>200</v>
      </c>
      <c r="G25" s="58" t="s">
        <v>105</v>
      </c>
      <c r="H25" s="58" t="s">
        <v>202</v>
      </c>
      <c r="I25" s="58" t="s">
        <v>202</v>
      </c>
      <c r="J25" s="36">
        <v>1</v>
      </c>
      <c r="K25" s="37">
        <f>J25*5</f>
        <v>5</v>
      </c>
      <c r="L25" s="36"/>
    </row>
    <row r="26" spans="1:12" x14ac:dyDescent="0.25">
      <c r="A26" s="1"/>
      <c r="B26" s="56">
        <f t="shared" si="0"/>
        <v>17</v>
      </c>
      <c r="C26" s="57" t="s">
        <v>11</v>
      </c>
      <c r="D26" s="38" t="s">
        <v>34</v>
      </c>
      <c r="E26" s="38" t="s">
        <v>210</v>
      </c>
      <c r="F26" s="38" t="s">
        <v>200</v>
      </c>
      <c r="G26" s="38" t="s">
        <v>211</v>
      </c>
      <c r="H26" s="38" t="s">
        <v>212</v>
      </c>
      <c r="I26" s="38" t="s">
        <v>202</v>
      </c>
      <c r="J26" s="38">
        <v>1</v>
      </c>
      <c r="K26" s="39">
        <f t="shared" ref="K26" si="8">J26*5</f>
        <v>5</v>
      </c>
      <c r="L26" s="38"/>
    </row>
    <row r="27" spans="1:12" ht="24" x14ac:dyDescent="0.25">
      <c r="A27" s="1"/>
      <c r="B27" s="54">
        <f>ROW(B27) - ROW($B$9)</f>
        <v>18</v>
      </c>
      <c r="C27" s="55" t="s">
        <v>12</v>
      </c>
      <c r="D27" s="36" t="s">
        <v>35</v>
      </c>
      <c r="E27" s="36" t="s">
        <v>72</v>
      </c>
      <c r="F27" s="38" t="s">
        <v>200</v>
      </c>
      <c r="G27" s="60" t="s">
        <v>128</v>
      </c>
      <c r="H27" s="36" t="s">
        <v>161</v>
      </c>
      <c r="I27" s="36" t="s">
        <v>181</v>
      </c>
      <c r="J27" s="36">
        <v>1</v>
      </c>
      <c r="K27" s="37">
        <f>J27*5</f>
        <v>5</v>
      </c>
      <c r="L27" s="36"/>
    </row>
    <row r="28" spans="1:12" ht="48" x14ac:dyDescent="0.25">
      <c r="A28" s="1"/>
      <c r="B28" s="56">
        <f t="shared" si="0"/>
        <v>19</v>
      </c>
      <c r="C28" s="57" t="s">
        <v>13</v>
      </c>
      <c r="D28" s="38" t="s">
        <v>36</v>
      </c>
      <c r="E28" s="38" t="s">
        <v>73</v>
      </c>
      <c r="F28" s="38" t="s">
        <v>106</v>
      </c>
      <c r="G28" s="61" t="s">
        <v>129</v>
      </c>
      <c r="H28" s="38" t="s">
        <v>162</v>
      </c>
      <c r="I28" s="36" t="s">
        <v>202</v>
      </c>
      <c r="J28" s="38">
        <v>1</v>
      </c>
      <c r="K28" s="39">
        <f t="shared" ref="K28" si="9">J28*5</f>
        <v>5</v>
      </c>
      <c r="L28" s="38"/>
    </row>
    <row r="29" spans="1:12" x14ac:dyDescent="0.25">
      <c r="A29" s="1"/>
      <c r="B29" s="54">
        <f>ROW(B29) - ROW($B$9)</f>
        <v>20</v>
      </c>
      <c r="C29" s="57" t="s">
        <v>13</v>
      </c>
      <c r="D29" s="36" t="s">
        <v>37</v>
      </c>
      <c r="E29" s="36" t="s">
        <v>74</v>
      </c>
      <c r="F29" s="36" t="s">
        <v>107</v>
      </c>
      <c r="G29" s="60" t="s">
        <v>130</v>
      </c>
      <c r="H29" s="36" t="s">
        <v>163</v>
      </c>
      <c r="I29" s="38" t="s">
        <v>202</v>
      </c>
      <c r="J29" s="36">
        <v>1</v>
      </c>
      <c r="K29" s="37">
        <f>J29*5</f>
        <v>5</v>
      </c>
      <c r="L29" s="36"/>
    </row>
    <row r="30" spans="1:12" ht="36" x14ac:dyDescent="0.25">
      <c r="A30" s="1"/>
      <c r="B30" s="56">
        <f t="shared" si="0"/>
        <v>21</v>
      </c>
      <c r="C30" s="57" t="s">
        <v>14</v>
      </c>
      <c r="D30" s="38" t="s">
        <v>38</v>
      </c>
      <c r="E30" s="38" t="s">
        <v>75</v>
      </c>
      <c r="F30" s="38" t="s">
        <v>108</v>
      </c>
      <c r="G30" s="61" t="s">
        <v>131</v>
      </c>
      <c r="H30" s="38" t="s">
        <v>164</v>
      </c>
      <c r="I30" s="38" t="s">
        <v>182</v>
      </c>
      <c r="J30" s="38">
        <v>1</v>
      </c>
      <c r="K30" s="39">
        <f t="shared" ref="K30" si="10">J30*5</f>
        <v>5</v>
      </c>
      <c r="L30" s="38"/>
    </row>
    <row r="31" spans="1:12" x14ac:dyDescent="0.25">
      <c r="A31" s="1"/>
      <c r="B31" s="54">
        <f>ROW(B31) - ROW($B$9)</f>
        <v>22</v>
      </c>
      <c r="C31" s="55" t="s">
        <v>14</v>
      </c>
      <c r="D31" s="36" t="s">
        <v>39</v>
      </c>
      <c r="E31" s="36" t="s">
        <v>76</v>
      </c>
      <c r="F31" s="36" t="s">
        <v>108</v>
      </c>
      <c r="G31" s="60" t="s">
        <v>132</v>
      </c>
      <c r="H31" s="36" t="s">
        <v>155</v>
      </c>
      <c r="I31" s="36" t="s">
        <v>183</v>
      </c>
      <c r="J31" s="36">
        <v>1</v>
      </c>
      <c r="K31" s="37">
        <f>J31*5</f>
        <v>5</v>
      </c>
      <c r="L31" s="36"/>
    </row>
    <row r="32" spans="1:12" x14ac:dyDescent="0.25">
      <c r="A32" s="1"/>
      <c r="B32" s="56">
        <f t="shared" si="0"/>
        <v>23</v>
      </c>
      <c r="C32" s="57" t="s">
        <v>14</v>
      </c>
      <c r="D32" s="38" t="s">
        <v>221</v>
      </c>
      <c r="E32" s="38" t="s">
        <v>77</v>
      </c>
      <c r="F32" s="38" t="s">
        <v>109</v>
      </c>
      <c r="G32" s="61" t="s">
        <v>133</v>
      </c>
      <c r="H32" s="38" t="s">
        <v>155</v>
      </c>
      <c r="I32" s="38" t="s">
        <v>184</v>
      </c>
      <c r="J32" s="38">
        <v>2</v>
      </c>
      <c r="K32" s="39">
        <f t="shared" ref="K32" si="11">J32*5</f>
        <v>10</v>
      </c>
      <c r="L32" s="38"/>
    </row>
    <row r="33" spans="1:12" x14ac:dyDescent="0.25">
      <c r="A33" s="1"/>
      <c r="B33" s="54">
        <f>ROW(B33) - ROW($B$9)</f>
        <v>24</v>
      </c>
      <c r="C33" s="55" t="s">
        <v>14</v>
      </c>
      <c r="D33" s="36" t="s">
        <v>40</v>
      </c>
      <c r="E33" s="36" t="s">
        <v>78</v>
      </c>
      <c r="F33" s="36" t="s">
        <v>110</v>
      </c>
      <c r="G33" s="60" t="s">
        <v>134</v>
      </c>
      <c r="H33" s="36" t="s">
        <v>155</v>
      </c>
      <c r="I33" s="36" t="s">
        <v>185</v>
      </c>
      <c r="J33" s="36">
        <v>1</v>
      </c>
      <c r="K33" s="37">
        <f>J33*5</f>
        <v>5</v>
      </c>
      <c r="L33" s="36"/>
    </row>
    <row r="34" spans="1:12" x14ac:dyDescent="0.25">
      <c r="A34" s="1"/>
      <c r="B34" s="56">
        <f t="shared" si="0"/>
        <v>25</v>
      </c>
      <c r="C34" s="57" t="s">
        <v>14</v>
      </c>
      <c r="D34" s="38" t="s">
        <v>41</v>
      </c>
      <c r="E34" s="38" t="s">
        <v>79</v>
      </c>
      <c r="F34" s="38" t="s">
        <v>108</v>
      </c>
      <c r="G34" s="61" t="s">
        <v>135</v>
      </c>
      <c r="H34" s="38" t="s">
        <v>155</v>
      </c>
      <c r="I34" s="38" t="s">
        <v>186</v>
      </c>
      <c r="J34" s="38">
        <v>1</v>
      </c>
      <c r="K34" s="39">
        <f t="shared" ref="K34" si="12">J34*5</f>
        <v>5</v>
      </c>
      <c r="L34" s="38"/>
    </row>
    <row r="35" spans="1:12" ht="24" x14ac:dyDescent="0.25">
      <c r="A35" s="1"/>
      <c r="B35" s="54">
        <f>ROW(B35) - ROW($B$9)</f>
        <v>26</v>
      </c>
      <c r="C35" s="55" t="s">
        <v>14</v>
      </c>
      <c r="D35" s="36" t="s">
        <v>42</v>
      </c>
      <c r="E35" s="36" t="s">
        <v>80</v>
      </c>
      <c r="F35" s="36" t="s">
        <v>108</v>
      </c>
      <c r="G35" s="60" t="s">
        <v>136</v>
      </c>
      <c r="H35" s="36" t="s">
        <v>164</v>
      </c>
      <c r="I35" s="36" t="s">
        <v>187</v>
      </c>
      <c r="J35" s="36">
        <v>1</v>
      </c>
      <c r="K35" s="37">
        <f>J35*5</f>
        <v>5</v>
      </c>
      <c r="L35" s="36"/>
    </row>
    <row r="36" spans="1:12" x14ac:dyDescent="0.25">
      <c r="A36" s="1"/>
      <c r="B36" s="56">
        <f t="shared" si="0"/>
        <v>27</v>
      </c>
      <c r="C36" s="55" t="s">
        <v>14</v>
      </c>
      <c r="D36" s="38" t="s">
        <v>43</v>
      </c>
      <c r="E36" s="38" t="s">
        <v>81</v>
      </c>
      <c r="F36" s="38" t="s">
        <v>111</v>
      </c>
      <c r="G36" s="60" t="s">
        <v>137</v>
      </c>
      <c r="H36" s="38" t="s">
        <v>165</v>
      </c>
      <c r="I36" s="38" t="s">
        <v>188</v>
      </c>
      <c r="J36" s="38">
        <v>1</v>
      </c>
      <c r="K36" s="39">
        <f t="shared" ref="K36" si="13">J36*5</f>
        <v>5</v>
      </c>
      <c r="L36" s="38"/>
    </row>
    <row r="37" spans="1:12" x14ac:dyDescent="0.25">
      <c r="A37" s="1"/>
      <c r="B37" s="54">
        <f>ROW(B37) - ROW($B$9)</f>
        <v>28</v>
      </c>
      <c r="C37" s="55" t="s">
        <v>14</v>
      </c>
      <c r="D37" s="36" t="s">
        <v>44</v>
      </c>
      <c r="E37" s="36" t="s">
        <v>82</v>
      </c>
      <c r="F37" s="36" t="s">
        <v>108</v>
      </c>
      <c r="G37" s="60" t="s">
        <v>138</v>
      </c>
      <c r="H37" s="36" t="s">
        <v>155</v>
      </c>
      <c r="I37" s="36" t="s">
        <v>189</v>
      </c>
      <c r="J37" s="36">
        <v>1</v>
      </c>
      <c r="K37" s="37">
        <f>J37*5</f>
        <v>5</v>
      </c>
      <c r="L37" s="36"/>
    </row>
    <row r="38" spans="1:12" x14ac:dyDescent="0.25">
      <c r="A38" s="1"/>
      <c r="B38" s="56">
        <f t="shared" si="0"/>
        <v>29</v>
      </c>
      <c r="C38" s="57" t="s">
        <v>14</v>
      </c>
      <c r="D38" s="38" t="s">
        <v>45</v>
      </c>
      <c r="E38" s="38" t="s">
        <v>83</v>
      </c>
      <c r="F38" s="38" t="s">
        <v>108</v>
      </c>
      <c r="G38" s="61" t="s">
        <v>139</v>
      </c>
      <c r="H38" s="38" t="s">
        <v>155</v>
      </c>
      <c r="I38" s="38" t="s">
        <v>190</v>
      </c>
      <c r="J38" s="38">
        <v>1</v>
      </c>
      <c r="K38" s="39">
        <f t="shared" ref="K38" si="14">J38*5</f>
        <v>5</v>
      </c>
      <c r="L38" s="38"/>
    </row>
    <row r="39" spans="1:12" ht="24" x14ac:dyDescent="0.25">
      <c r="A39" s="1"/>
      <c r="B39" s="54">
        <f>ROW(B39) - ROW($B$9)</f>
        <v>30</v>
      </c>
      <c r="C39" s="55" t="s">
        <v>14</v>
      </c>
      <c r="D39" s="36" t="s">
        <v>216</v>
      </c>
      <c r="E39" s="36" t="s">
        <v>84</v>
      </c>
      <c r="F39" s="36" t="s">
        <v>108</v>
      </c>
      <c r="G39" s="60" t="s">
        <v>140</v>
      </c>
      <c r="H39" s="36" t="s">
        <v>155</v>
      </c>
      <c r="I39" s="36" t="s">
        <v>191</v>
      </c>
      <c r="J39" s="36">
        <v>13</v>
      </c>
      <c r="K39" s="37">
        <f>J39*5</f>
        <v>65</v>
      </c>
      <c r="L39" s="36"/>
    </row>
    <row r="40" spans="1:12" x14ac:dyDescent="0.25">
      <c r="A40" s="1"/>
      <c r="B40" s="56">
        <f>ROW(B40) - ROW($B$9)</f>
        <v>31</v>
      </c>
      <c r="C40" s="57" t="s">
        <v>14</v>
      </c>
      <c r="D40" s="38" t="s">
        <v>217</v>
      </c>
      <c r="E40" s="38" t="s">
        <v>87</v>
      </c>
      <c r="F40" s="38" t="s">
        <v>111</v>
      </c>
      <c r="G40" s="61" t="s">
        <v>143</v>
      </c>
      <c r="H40" s="38" t="s">
        <v>155</v>
      </c>
      <c r="I40" s="38" t="s">
        <v>194</v>
      </c>
      <c r="J40" s="38">
        <v>3</v>
      </c>
      <c r="K40" s="39">
        <f t="shared" ref="K40" si="15">J40*5</f>
        <v>15</v>
      </c>
      <c r="L40" s="38"/>
    </row>
    <row r="41" spans="1:12" x14ac:dyDescent="0.25">
      <c r="A41" s="1"/>
      <c r="B41" s="56">
        <f t="shared" si="0"/>
        <v>32</v>
      </c>
      <c r="C41" s="57" t="s">
        <v>14</v>
      </c>
      <c r="D41" s="38" t="s">
        <v>46</v>
      </c>
      <c r="E41" s="38" t="s">
        <v>85</v>
      </c>
      <c r="F41" s="38" t="s">
        <v>111</v>
      </c>
      <c r="G41" s="61" t="s">
        <v>141</v>
      </c>
      <c r="H41" s="38" t="s">
        <v>155</v>
      </c>
      <c r="I41" s="38" t="s">
        <v>192</v>
      </c>
      <c r="J41" s="38">
        <v>1</v>
      </c>
      <c r="K41" s="39">
        <f t="shared" ref="K41" si="16">J41*5</f>
        <v>5</v>
      </c>
      <c r="L41" s="38"/>
    </row>
    <row r="42" spans="1:12" x14ac:dyDescent="0.25">
      <c r="A42" s="1"/>
      <c r="B42" s="54">
        <f>ROW(B42) - ROW($B$9)</f>
        <v>33</v>
      </c>
      <c r="C42" s="55" t="s">
        <v>14</v>
      </c>
      <c r="D42" s="36" t="s">
        <v>47</v>
      </c>
      <c r="E42" s="36" t="s">
        <v>86</v>
      </c>
      <c r="F42" s="36" t="s">
        <v>111</v>
      </c>
      <c r="G42" s="60" t="s">
        <v>142</v>
      </c>
      <c r="H42" s="36" t="s">
        <v>155</v>
      </c>
      <c r="I42" s="36" t="s">
        <v>193</v>
      </c>
      <c r="J42" s="36">
        <v>2</v>
      </c>
      <c r="K42" s="37">
        <f>J42*5</f>
        <v>10</v>
      </c>
      <c r="L42" s="36"/>
    </row>
    <row r="43" spans="1:12" x14ac:dyDescent="0.25">
      <c r="A43" s="1"/>
      <c r="B43" s="54">
        <f>ROW(B43) - ROW($B$9)</f>
        <v>34</v>
      </c>
      <c r="C43" s="55" t="s">
        <v>14</v>
      </c>
      <c r="D43" s="36" t="s">
        <v>48</v>
      </c>
      <c r="E43" s="36" t="s">
        <v>88</v>
      </c>
      <c r="F43" s="36" t="s">
        <v>108</v>
      </c>
      <c r="G43" s="60" t="s">
        <v>144</v>
      </c>
      <c r="H43" s="36" t="s">
        <v>155</v>
      </c>
      <c r="I43" s="36" t="s">
        <v>195</v>
      </c>
      <c r="J43" s="36">
        <v>4</v>
      </c>
      <c r="K43" s="37">
        <f>J43*5</f>
        <v>20</v>
      </c>
      <c r="L43" s="36"/>
    </row>
    <row r="44" spans="1:12" x14ac:dyDescent="0.25">
      <c r="A44" s="1"/>
      <c r="B44" s="56">
        <f t="shared" si="0"/>
        <v>35</v>
      </c>
      <c r="C44" s="57" t="s">
        <v>14</v>
      </c>
      <c r="D44" s="38" t="s">
        <v>49</v>
      </c>
      <c r="E44" s="38" t="s">
        <v>89</v>
      </c>
      <c r="F44" s="38" t="s">
        <v>111</v>
      </c>
      <c r="G44" s="61" t="s">
        <v>145</v>
      </c>
      <c r="H44" s="38" t="s">
        <v>155</v>
      </c>
      <c r="I44" s="38" t="s">
        <v>196</v>
      </c>
      <c r="J44" s="38">
        <v>1</v>
      </c>
      <c r="K44" s="39">
        <f t="shared" ref="K44" si="17">J44*5</f>
        <v>5</v>
      </c>
      <c r="L44" s="38"/>
    </row>
    <row r="45" spans="1:12" x14ac:dyDescent="0.25">
      <c r="A45" s="1"/>
      <c r="B45" s="54">
        <f>ROW(B45) - ROW($B$9)</f>
        <v>36</v>
      </c>
      <c r="C45" s="55" t="s">
        <v>14</v>
      </c>
      <c r="D45" s="36" t="s">
        <v>50</v>
      </c>
      <c r="E45" s="36" t="s">
        <v>90</v>
      </c>
      <c r="F45" s="36" t="s">
        <v>111</v>
      </c>
      <c r="G45" s="60" t="s">
        <v>146</v>
      </c>
      <c r="H45" s="36" t="s">
        <v>155</v>
      </c>
      <c r="I45" s="36" t="s">
        <v>197</v>
      </c>
      <c r="J45" s="36">
        <v>4</v>
      </c>
      <c r="K45" s="37">
        <f>J45*5</f>
        <v>20</v>
      </c>
      <c r="L45" s="36"/>
    </row>
    <row r="46" spans="1:12" x14ac:dyDescent="0.25">
      <c r="A46" s="1"/>
      <c r="B46" s="56">
        <f t="shared" si="0"/>
        <v>37</v>
      </c>
      <c r="C46" s="55" t="s">
        <v>14</v>
      </c>
      <c r="D46" s="38" t="s">
        <v>51</v>
      </c>
      <c r="E46" s="38" t="s">
        <v>91</v>
      </c>
      <c r="F46" s="38" t="s">
        <v>111</v>
      </c>
      <c r="G46" s="61" t="s">
        <v>147</v>
      </c>
      <c r="H46" s="38" t="s">
        <v>155</v>
      </c>
      <c r="I46" s="38" t="s">
        <v>198</v>
      </c>
      <c r="J46" s="38">
        <v>1</v>
      </c>
      <c r="K46" s="39">
        <f t="shared" ref="K46" si="18">J46*5</f>
        <v>5</v>
      </c>
      <c r="L46" s="38"/>
    </row>
    <row r="47" spans="1:12" x14ac:dyDescent="0.25">
      <c r="A47" s="1"/>
      <c r="B47" s="54">
        <f>ROW(B47) - ROW($B$9)</f>
        <v>38</v>
      </c>
      <c r="C47" s="55" t="s">
        <v>14</v>
      </c>
      <c r="D47" s="36" t="s">
        <v>52</v>
      </c>
      <c r="E47" s="36" t="s">
        <v>92</v>
      </c>
      <c r="F47" s="36" t="s">
        <v>111</v>
      </c>
      <c r="G47" s="60" t="s">
        <v>148</v>
      </c>
      <c r="H47" s="36" t="s">
        <v>155</v>
      </c>
      <c r="I47" s="36" t="s">
        <v>199</v>
      </c>
      <c r="J47" s="36">
        <v>1</v>
      </c>
      <c r="K47" s="37">
        <f>J47*5</f>
        <v>5</v>
      </c>
      <c r="L47" s="36"/>
    </row>
    <row r="48" spans="1:12" x14ac:dyDescent="0.25">
      <c r="A48" s="1"/>
      <c r="B48" s="56">
        <f t="shared" si="0"/>
        <v>39</v>
      </c>
      <c r="C48" s="57" t="s">
        <v>15</v>
      </c>
      <c r="D48" s="38" t="s">
        <v>53</v>
      </c>
      <c r="E48" s="38" t="s">
        <v>213</v>
      </c>
      <c r="F48" s="38" t="s">
        <v>214</v>
      </c>
      <c r="G48" s="38" t="s">
        <v>215</v>
      </c>
      <c r="H48" s="38" t="s">
        <v>166</v>
      </c>
      <c r="I48" s="38" t="s">
        <v>202</v>
      </c>
      <c r="J48" s="38">
        <v>1</v>
      </c>
      <c r="K48" s="39">
        <f t="shared" ref="K48" si="19">J48*5</f>
        <v>5</v>
      </c>
      <c r="L48" s="38"/>
    </row>
    <row r="49" spans="1:12" ht="24" x14ac:dyDescent="0.25">
      <c r="A49" s="1"/>
      <c r="B49" s="54">
        <f>ROW(B49) - ROW($B$9)</f>
        <v>40</v>
      </c>
      <c r="C49" s="55" t="s">
        <v>15</v>
      </c>
      <c r="D49" s="36" t="s">
        <v>54</v>
      </c>
      <c r="E49" s="36" t="s">
        <v>93</v>
      </c>
      <c r="F49" s="36" t="s">
        <v>112</v>
      </c>
      <c r="G49" s="60" t="s">
        <v>149</v>
      </c>
      <c r="H49" s="36" t="s">
        <v>167</v>
      </c>
      <c r="I49" s="36" t="s">
        <v>202</v>
      </c>
      <c r="J49" s="36">
        <v>1</v>
      </c>
      <c r="K49" s="37">
        <f>J49*5</f>
        <v>5</v>
      </c>
      <c r="L49" s="36"/>
    </row>
    <row r="50" spans="1:12" x14ac:dyDescent="0.25">
      <c r="A50" s="1"/>
      <c r="B50" s="56">
        <f t="shared" si="0"/>
        <v>41</v>
      </c>
      <c r="C50" s="57" t="s">
        <v>15</v>
      </c>
      <c r="D50" s="38" t="s">
        <v>55</v>
      </c>
      <c r="E50" s="38" t="s">
        <v>94</v>
      </c>
      <c r="F50" s="38" t="s">
        <v>113</v>
      </c>
      <c r="G50" s="61" t="s">
        <v>150</v>
      </c>
      <c r="H50" s="38" t="s">
        <v>168</v>
      </c>
      <c r="I50" s="38" t="s">
        <v>202</v>
      </c>
      <c r="J50" s="38">
        <v>1</v>
      </c>
      <c r="K50" s="39">
        <f t="shared" ref="K50" si="20">J50*5</f>
        <v>5</v>
      </c>
      <c r="L50" s="38"/>
    </row>
    <row r="51" spans="1:12" x14ac:dyDescent="0.25">
      <c r="A51" s="1"/>
      <c r="B51" s="56">
        <f t="shared" si="0"/>
        <v>42</v>
      </c>
      <c r="C51" s="57" t="s">
        <v>17</v>
      </c>
      <c r="D51" s="38" t="s">
        <v>56</v>
      </c>
      <c r="E51" s="38" t="s">
        <v>95</v>
      </c>
      <c r="F51" s="38" t="s">
        <v>200</v>
      </c>
      <c r="G51" s="38" t="s">
        <v>114</v>
      </c>
      <c r="H51" s="38" t="s">
        <v>170</v>
      </c>
      <c r="I51" s="36" t="s">
        <v>202</v>
      </c>
      <c r="J51" s="38">
        <v>1</v>
      </c>
      <c r="K51" s="39">
        <f t="shared" ref="K51:K52" si="21">J51*5</f>
        <v>5</v>
      </c>
      <c r="L51" s="38"/>
    </row>
    <row r="52" spans="1:12" x14ac:dyDescent="0.25">
      <c r="A52" s="1"/>
      <c r="B52" s="56">
        <f t="shared" si="0"/>
        <v>43</v>
      </c>
      <c r="C52" s="57" t="s">
        <v>222</v>
      </c>
      <c r="D52" s="38" t="s">
        <v>202</v>
      </c>
      <c r="E52" s="38" t="s">
        <v>202</v>
      </c>
      <c r="F52" s="38" t="s">
        <v>202</v>
      </c>
      <c r="G52" s="38" t="s">
        <v>223</v>
      </c>
      <c r="H52" s="38" t="s">
        <v>224</v>
      </c>
      <c r="I52" s="36" t="s">
        <v>202</v>
      </c>
      <c r="J52" s="38">
        <v>1</v>
      </c>
      <c r="K52" s="39">
        <f t="shared" si="21"/>
        <v>5</v>
      </c>
      <c r="L52" s="38"/>
    </row>
    <row r="53" spans="1:12" ht="15.75" thickBot="1" x14ac:dyDescent="0.3">
      <c r="A53" s="1"/>
      <c r="B53" s="56">
        <f t="shared" si="0"/>
        <v>44</v>
      </c>
      <c r="C53" s="57" t="s">
        <v>222</v>
      </c>
      <c r="D53" s="38" t="s">
        <v>202</v>
      </c>
      <c r="E53" s="38" t="s">
        <v>202</v>
      </c>
      <c r="F53" s="38" t="s">
        <v>202</v>
      </c>
      <c r="G53" s="38" t="s">
        <v>228</v>
      </c>
      <c r="H53" s="38"/>
      <c r="I53" s="36" t="s">
        <v>202</v>
      </c>
      <c r="J53" s="38">
        <v>1</v>
      </c>
      <c r="K53" s="39">
        <v>1</v>
      </c>
      <c r="L53" s="62" t="s">
        <v>229</v>
      </c>
    </row>
    <row r="54" spans="1:12" x14ac:dyDescent="0.25">
      <c r="A54" s="1"/>
      <c r="B54" s="31"/>
      <c r="C54" s="48"/>
      <c r="D54" s="32"/>
      <c r="E54" s="33"/>
      <c r="F54" s="34"/>
      <c r="G54" s="35"/>
      <c r="H54" s="35"/>
      <c r="I54" s="35"/>
      <c r="J54" s="35"/>
      <c r="K54" s="35"/>
      <c r="L54" s="41"/>
    </row>
    <row r="55" spans="1:12" ht="15.75" thickBot="1" x14ac:dyDescent="0.3">
      <c r="A55" s="1"/>
      <c r="B55" s="24"/>
      <c r="C55" s="49"/>
      <c r="D55" s="8"/>
      <c r="E55" s="9"/>
      <c r="F55" s="9"/>
      <c r="G55" s="9"/>
      <c r="H55" s="9"/>
      <c r="I55" s="9"/>
      <c r="J55" s="9"/>
      <c r="K55" s="9"/>
      <c r="L55" s="42"/>
    </row>
  </sheetData>
  <mergeCells count="2">
    <mergeCell ref="I1:L1"/>
    <mergeCell ref="L3:L8"/>
  </mergeCells>
  <hyperlinks>
    <hyperlink ref="L53" r:id="rId1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2023-12-26T12:34:36Z</dcterms:modified>
</cp:coreProperties>
</file>