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O91" i="1" l="1"/>
  <c r="O90" i="1"/>
  <c r="O89" i="1"/>
  <c r="O85" i="1"/>
  <c r="O81" i="1"/>
  <c r="O77" i="1"/>
  <c r="O73" i="1"/>
  <c r="O69" i="1"/>
  <c r="O68" i="1"/>
  <c r="O65" i="1"/>
  <c r="O64" i="1"/>
  <c r="O61" i="1"/>
  <c r="O60" i="1"/>
  <c r="O57" i="1"/>
  <c r="O56" i="1"/>
  <c r="O53" i="1"/>
  <c r="O52" i="1"/>
  <c r="O49" i="1"/>
  <c r="O47" i="1"/>
  <c r="O44" i="1"/>
  <c r="O43" i="1"/>
  <c r="O40" i="1"/>
  <c r="O39" i="1"/>
  <c r="O36" i="1"/>
  <c r="O35" i="1"/>
  <c r="O32" i="1"/>
  <c r="O31" i="1"/>
  <c r="O28" i="1"/>
  <c r="O27" i="1"/>
  <c r="O24" i="1"/>
  <c r="O23" i="1"/>
  <c r="O20" i="1"/>
  <c r="O19" i="1"/>
  <c r="O16" i="1"/>
  <c r="O15" i="1"/>
  <c r="O12" i="1"/>
  <c r="O11" i="1"/>
  <c r="L89" i="1"/>
  <c r="L88" i="1"/>
  <c r="O88" i="1" s="1"/>
  <c r="L87" i="1"/>
  <c r="O87" i="1" s="1"/>
  <c r="L86" i="1"/>
  <c r="O86" i="1" s="1"/>
  <c r="L85" i="1"/>
  <c r="L84" i="1"/>
  <c r="O84" i="1" s="1"/>
  <c r="L83" i="1"/>
  <c r="O83" i="1" s="1"/>
  <c r="L82" i="1"/>
  <c r="O82" i="1" s="1"/>
  <c r="L81" i="1"/>
  <c r="L80" i="1"/>
  <c r="O80" i="1" s="1"/>
  <c r="L79" i="1"/>
  <c r="O79" i="1" s="1"/>
  <c r="L78" i="1"/>
  <c r="O78" i="1" s="1"/>
  <c r="L77" i="1"/>
  <c r="L76" i="1"/>
  <c r="O76" i="1" s="1"/>
  <c r="L75" i="1"/>
  <c r="O75" i="1" s="1"/>
  <c r="L74" i="1"/>
  <c r="O74" i="1" s="1"/>
  <c r="L73" i="1"/>
  <c r="L72" i="1"/>
  <c r="O72" i="1" s="1"/>
  <c r="L71" i="1"/>
  <c r="L70" i="1"/>
  <c r="O70" i="1" s="1"/>
  <c r="L69" i="1"/>
  <c r="L68" i="1"/>
  <c r="L67" i="1"/>
  <c r="O67" i="1" s="1"/>
  <c r="L66" i="1"/>
  <c r="O66" i="1" s="1"/>
  <c r="L65" i="1"/>
  <c r="L64" i="1"/>
  <c r="L63" i="1"/>
  <c r="O63" i="1" s="1"/>
  <c r="L62" i="1"/>
  <c r="O62" i="1" s="1"/>
  <c r="L61" i="1"/>
  <c r="L60" i="1"/>
  <c r="L59" i="1"/>
  <c r="O59" i="1" s="1"/>
  <c r="L58" i="1"/>
  <c r="O58" i="1" s="1"/>
  <c r="L57" i="1"/>
  <c r="L56" i="1"/>
  <c r="L55" i="1"/>
  <c r="O55" i="1" s="1"/>
  <c r="L54" i="1"/>
  <c r="O54" i="1" s="1"/>
  <c r="L53" i="1"/>
  <c r="L52" i="1"/>
  <c r="L51" i="1"/>
  <c r="O51" i="1" s="1"/>
  <c r="L50" i="1"/>
  <c r="O50" i="1" s="1"/>
  <c r="L49" i="1"/>
  <c r="L48" i="1"/>
  <c r="L47" i="1"/>
  <c r="L46" i="1"/>
  <c r="O46" i="1" s="1"/>
  <c r="L45" i="1"/>
  <c r="O45" i="1" s="1"/>
  <c r="L44" i="1"/>
  <c r="L43" i="1"/>
  <c r="L42" i="1"/>
  <c r="O42" i="1" s="1"/>
  <c r="L41" i="1"/>
  <c r="O41" i="1" s="1"/>
  <c r="L40" i="1"/>
  <c r="L39" i="1"/>
  <c r="L38" i="1"/>
  <c r="O38" i="1" s="1"/>
  <c r="L37" i="1"/>
  <c r="O37" i="1" s="1"/>
  <c r="L36" i="1"/>
  <c r="L35" i="1"/>
  <c r="L34" i="1"/>
  <c r="O34" i="1" s="1"/>
  <c r="L33" i="1"/>
  <c r="O33" i="1" s="1"/>
  <c r="L32" i="1"/>
  <c r="L31" i="1"/>
  <c r="L30" i="1"/>
  <c r="O30" i="1" s="1"/>
  <c r="L29" i="1"/>
  <c r="O29" i="1" s="1"/>
  <c r="L28" i="1"/>
  <c r="L27" i="1"/>
  <c r="L26" i="1"/>
  <c r="O26" i="1" s="1"/>
  <c r="L25" i="1"/>
  <c r="O25" i="1" s="1"/>
  <c r="L24" i="1"/>
  <c r="L23" i="1"/>
  <c r="L22" i="1"/>
  <c r="O22" i="1" s="1"/>
  <c r="L21" i="1"/>
  <c r="O21" i="1" s="1"/>
  <c r="L20" i="1"/>
  <c r="L19" i="1"/>
  <c r="L18" i="1"/>
  <c r="O18" i="1" s="1"/>
  <c r="L17" i="1"/>
  <c r="O17" i="1" s="1"/>
  <c r="L16" i="1"/>
  <c r="L15" i="1"/>
  <c r="L14" i="1"/>
  <c r="O14" i="1" s="1"/>
  <c r="L13" i="1"/>
  <c r="O13" i="1" s="1"/>
  <c r="L12" i="1"/>
  <c r="L11" i="1"/>
  <c r="L10" i="1"/>
  <c r="B89" i="1" l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<sst xmlns="http://schemas.openxmlformats.org/spreadsheetml/2006/main" count="649" uniqueCount="409">
  <si>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</si>
  <si>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</si>
  <si>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</si>
  <si>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</si>
  <si>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</si>
  <si>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</si>
  <si>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</si>
  <si>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</si>
  <si>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</si>
  <si>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</si>
  <si>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</si>
  <si>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</si>
  <si>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</si>
  <si>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</si>
  <si>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</si>
  <si>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</si>
  <si>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</si>
  <si>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</si>
  <si>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</si>
  <si>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</si>
  <si>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</si>
  <si>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</si>
  <si>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</si>
  <si>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</si>
  <si>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</si>
  <si>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</si>
  <si>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</si>
  <si>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</si>
  <si>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</si>
  <si>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</si>
  <si>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</si>
  <si>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</si>
  <si>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</si>
  <si>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</si>
  <si>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</si>
  <si>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</si>
  <si>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</si>
  <si>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</si>
  <si>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</si>
  <si>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</si>
  <si>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</si>
  <si>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</si>
  <si>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</si>
  <si>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</si>
  <si>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</si>
  <si>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</si>
  <si>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</si>
  <si>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</si>
  <si>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</si>
  <si>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</si>
  <si>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</si>
  <si>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</si>
  <si>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</si>
  <si>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</si>
  <si>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</si>
  <si>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</si>
  <si>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</si>
  <si>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</si>
  <si>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</si>
  <si>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</si>
  <si>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</si>
  <si>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</si>
  <si>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</si>
  <si>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</si>
  <si>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</si>
  <si>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</si>
  <si>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R5, R7, R10, R13, R34, R47, R48, R49, R50, R51, R52, R53, R54, R55, R56, R57, R58, R59, R60, R61, R62, R93, R94, R95, R96</t>
  </si>
  <si>
    <t>R6, R8, R79, R80, R81, R85, R86</t>
  </si>
  <si>
    <t>R9</t>
  </si>
  <si>
    <t>R11, R29</t>
  </si>
  <si>
    <t>R12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</si>
  <si>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</si>
  <si>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</si>
  <si>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</si>
  <si>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</si>
  <si>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</si>
  <si>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</si>
  <si>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</si>
  <si>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R63, R64, R65, R66, R67, R82, R83, R84, R88, R89</t>
  </si>
  <si>
    <t>R73, R74, R75, R76</t>
  </si>
  <si>
    <t>R78</t>
  </si>
  <si>
    <t>R87</t>
  </si>
  <si>
    <t>R90, R91</t>
  </si>
  <si>
    <t>R92</t>
  </si>
  <si>
    <t>SB1, SB2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</si>
  <si>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</si>
  <si>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</si>
  <si>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</si>
  <si>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</si>
  <si>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</si>
  <si>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</si>
  <si>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</si>
  <si>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</si>
  <si>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</si>
  <si>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</si>
  <si>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</si>
  <si>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</si>
  <si>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</si>
  <si>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</si>
  <si>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</si>
  <si>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</si>
  <si>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</si>
  <si>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</si>
  <si>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</si>
  <si>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</si>
  <si>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</si>
  <si>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</si>
  <si>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</si>
  <si>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CAP TANT 220UF 10% 10V 2917</t>
  </si>
  <si>
    <t>10uF 10V 8Ω@100kHz ±10% CASE-A-3216 Tantalum Capacitors ROHS</t>
  </si>
  <si>
    <t>47uF 6.3V 5Ω@100kHz ±10% CASE-A-3216 Tantalum Capacitors ROHS</t>
  </si>
  <si>
    <t>CAP TANT 330UF 20% 16V 2917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</si>
  <si>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</si>
  <si>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</si>
  <si>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</si>
  <si>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</si>
  <si>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</si>
  <si>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</si>
  <si>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</si>
  <si>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</si>
  <si>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</si>
  <si>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</si>
  <si>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</si>
  <si>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</si>
  <si>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</si>
  <si>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</si>
  <si>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</si>
  <si>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</si>
  <si>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</si>
  <si>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</si>
  <si>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</si>
  <si>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</si>
  <si>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CONN HEADER SMD 11POS 1.25MM</t>
  </si>
  <si>
    <t>1x6P SH 1 1mm 6 SMD,P=1mm Wire To Board / Wire To Wire Connector ROHS</t>
  </si>
  <si>
    <t>1 Inner bore SMA Board Edge Bend -55℃~+155℃ 50Ω Plugin RF Connectors / Coaxial Connectors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</si>
  <si>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</si>
  <si>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</si>
  <si>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</si>
  <si>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</si>
  <si>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</si>
  <si>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</si>
  <si>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</si>
  <si>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</si>
  <si>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</si>
  <si>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</si>
  <si>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</si>
  <si>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</si>
  <si>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</si>
  <si>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</si>
  <si>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</si>
  <si>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</si>
  <si>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</si>
  <si>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</si>
  <si>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</si>
  <si>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</si>
  <si>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</si>
  <si>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</si>
  <si>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</si>
  <si>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</si>
  <si>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</si>
  <si>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</si>
  <si>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</si>
  <si>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</si>
  <si>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</si>
  <si>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</si>
  <si>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</si>
  <si>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</si>
  <si>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</si>
  <si>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</si>
  <si>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</si>
  <si>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</si>
  <si>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</si>
  <si>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</si>
  <si>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</si>
  <si>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</si>
  <si>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</si>
  <si>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</si>
  <si>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</si>
  <si>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</si>
  <si>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</si>
  <si>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3.579545MHz 20pF ±20ppm ±30ppm HC-49S Crystals ROHS</t>
  </si>
  <si>
    <t>Footprint</t>
  </si>
  <si>
    <t>ANT*</t>
  </si>
  <si>
    <t>Cap-0603</t>
  </si>
  <si>
    <t>Cap-0402</t>
  </si>
  <si>
    <t>RVT1H680M0607</t>
  </si>
  <si>
    <t>Case-D</t>
  </si>
  <si>
    <t>Case-A</t>
  </si>
  <si>
    <t>Case-E</t>
  </si>
  <si>
    <t>Case-B</t>
  </si>
  <si>
    <t>DSN0603-2</t>
  </si>
  <si>
    <t>SMB_</t>
  </si>
  <si>
    <t>TO-277</t>
  </si>
  <si>
    <t>UDD32C03L01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</si>
  <si>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</si>
  <si>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</si>
  <si>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</si>
  <si>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</si>
  <si>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</si>
  <si>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</si>
  <si>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</si>
  <si>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</si>
  <si>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</si>
  <si>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</si>
  <si>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</si>
  <si>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</si>
  <si>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</si>
  <si>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</si>
  <si>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</si>
  <si>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</si>
  <si>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</si>
  <si>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</si>
  <si>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</si>
  <si>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</si>
  <si>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</si>
  <si>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</si>
  <si>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</si>
  <si>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</si>
  <si>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</si>
  <si>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</si>
  <si>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</si>
  <si>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</si>
  <si>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</si>
  <si>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</si>
  <si>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</si>
  <si>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</si>
  <si>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</si>
  <si>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</si>
  <si>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</si>
  <si>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X49SD3579545MSD2SC-1</t>
  </si>
  <si>
    <t>Manufacturer Part Number</t>
  </si>
  <si>
    <t>CC0603JRNPO9BN472</t>
  </si>
  <si>
    <t>GRM155R62A104KE14D</t>
  </si>
  <si>
    <t>CC0402KRX7R9BB103</t>
  </si>
  <si>
    <t>TAJD227K010RNJV</t>
  </si>
  <si>
    <t>CA45-A-10V-10uF-K</t>
  </si>
  <si>
    <t>CA45-A-6.3V-47uF-K</t>
  </si>
  <si>
    <t>TAJE337M016RNJ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</si>
  <si>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</si>
  <si>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</si>
  <si>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</si>
  <si>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</si>
  <si>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</si>
  <si>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</si>
  <si>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</si>
  <si>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</si>
  <si>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</si>
  <si>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</si>
  <si>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</si>
  <si>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</si>
  <si>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</si>
  <si>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</si>
  <si>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</si>
  <si>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</si>
  <si>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</si>
  <si>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53398-1171</t>
  </si>
  <si>
    <t>C145963</t>
  </si>
  <si>
    <t>HJ-SMA508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</si>
  <si>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</si>
  <si>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</si>
  <si>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</si>
  <si>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</si>
  <si>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</si>
  <si>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</si>
  <si>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</si>
  <si>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</si>
  <si>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</si>
  <si>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</si>
  <si>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</si>
  <si>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</si>
  <si>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</si>
  <si>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</si>
  <si>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</si>
  <si>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</si>
  <si>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</si>
  <si>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</si>
  <si>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</si>
  <si>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</si>
  <si>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</si>
  <si>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</si>
  <si>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</si>
  <si>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</si>
  <si>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</si>
  <si>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</si>
  <si>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</si>
  <si>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</si>
  <si>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</si>
  <si>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</si>
  <si>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</si>
  <si>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</si>
  <si>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</si>
  <si>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</si>
  <si>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</si>
  <si>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</si>
  <si>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</si>
  <si>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</si>
  <si>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</si>
  <si>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</si>
  <si>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</si>
  <si>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</si>
  <si>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</si>
  <si>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</si>
  <si>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Kyocera AVX</t>
  </si>
  <si>
    <t>CEC(Shenzhen Zhenhua XinYun Elec)</t>
  </si>
  <si>
    <t>CEC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</si>
  <si>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</si>
  <si>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</si>
  <si>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</si>
  <si>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</si>
  <si>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</si>
  <si>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</si>
  <si>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</si>
  <si>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</si>
  <si>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</si>
  <si>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</si>
  <si>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</si>
  <si>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</si>
  <si>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</si>
  <si>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</si>
  <si>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</si>
  <si>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Molex</t>
  </si>
  <si>
    <t>BOOMELE</t>
  </si>
  <si>
    <t>HJ Tech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</si>
  <si>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</si>
  <si>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</si>
  <si>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</si>
  <si>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</si>
  <si>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</si>
  <si>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</si>
  <si>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</si>
  <si>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</si>
  <si>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</si>
  <si>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</si>
  <si>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</si>
  <si>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</si>
  <si>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</si>
  <si>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</si>
  <si>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</si>
  <si>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</si>
  <si>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</si>
  <si>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</si>
  <si>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</si>
  <si>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</si>
  <si>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</si>
  <si>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</si>
  <si>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</si>
  <si>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</si>
  <si>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</si>
  <si>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</si>
  <si>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</si>
  <si>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</si>
  <si>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</si>
  <si>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</si>
  <si>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</si>
  <si>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</si>
  <si>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</si>
  <si>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</si>
  <si>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</si>
  <si>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</si>
  <si>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</si>
  <si>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</si>
  <si>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</si>
  <si>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</si>
  <si>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</si>
  <si>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</si>
  <si>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</si>
  <si>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</si>
  <si>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</si>
  <si>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56k</t>
  </si>
  <si>
    <t>330K</t>
  </si>
  <si>
    <t>150K</t>
  </si>
  <si>
    <t>68K</t>
  </si>
  <si>
    <t>0R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</si>
  <si>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</si>
  <si>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</si>
  <si>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</si>
  <si>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</si>
  <si>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</si>
  <si>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</si>
  <si>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</si>
  <si>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</si>
  <si>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Bill of Materials for Project [Baseboard-v2.0.]</t>
  </si>
  <si>
    <t>Baseboard-v2.0</t>
  </si>
  <si>
    <t>-</t>
  </si>
  <si>
    <t>Custom</t>
  </si>
  <si>
    <t>Wire To Board Connector</t>
  </si>
  <si>
    <t>UFL Connector</t>
  </si>
  <si>
    <t>Relay</t>
  </si>
  <si>
    <t>5V SPDT (1 Form C) 6 DIP,11x15.5mm Power Relays ROHS</t>
  </si>
  <si>
    <t>BS4-5S-C20</t>
  </si>
  <si>
    <t>Test Point</t>
  </si>
  <si>
    <t>P1, P2, P3, P4, P5, P6, P7, P8, P9, P10</t>
  </si>
  <si>
    <t>Mosfet</t>
  </si>
  <si>
    <t>NBC</t>
  </si>
  <si>
    <t>Alternate Part Number</t>
  </si>
  <si>
    <t>GRM155R61H105KE05D</t>
  </si>
  <si>
    <t>--</t>
  </si>
  <si>
    <t>RT0402BRE075K1L</t>
  </si>
  <si>
    <t>RC0201FR-071KL</t>
  </si>
  <si>
    <t>RC-01W471JT</t>
  </si>
  <si>
    <t>0402WGJ0220TCE</t>
  </si>
  <si>
    <t>Value</t>
  </si>
  <si>
    <t>Quantity (5 Boards)</t>
  </si>
  <si>
    <t>Links</t>
  </si>
  <si>
    <t>Unit Cost (5 Boards)</t>
  </si>
  <si>
    <t>Total Cost (5 Boards)</t>
  </si>
  <si>
    <t>Remarks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</si>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</sst>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7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 wrapText="1"/>
    </xf>
    <xf numFmtId="0" fontId="17" fillId="2" borderId="16" xfId="0" quotePrefix="1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/>
    </xf>
    <xf numFmtId="165" fontId="17" fillId="2" borderId="16" xfId="0" applyNumberFormat="1" applyFont="1" applyFill="1" applyBorder="1" applyAlignment="1">
      <alignment horizontal="center" vertical="center"/>
    </xf>
    <xf numFmtId="165" fontId="17" fillId="2" borderId="15" xfId="0" applyNumberFormat="1" applyFont="1" applyFill="1" applyBorder="1" applyAlignment="1">
      <alignment horizontal="center" vertical="center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22" fillId="3" borderId="18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91"/>
  <sheetViews>
    <sheetView tabSelected="1" topLeftCell="E1" workbookViewId="0">
      <selection activeCell="F17" sqref="F17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10.7109375" bestFit="1" customWidth="1"/>
    <col min="11" max="11" width="8.7109375" bestFit="1" customWidth="1"/>
    <col min="12" max="12" width="18.28515625" bestFit="1" customWidth="1"/>
    <col min="13" max="13" width="9.285156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52"/>
      <c r="K1" s="52"/>
      <c r="L1" s="52"/>
      <c r="M1" s="52"/>
      <c r="N1" s="52"/>
      <c r="O1" s="52"/>
      <c r="P1" s="52"/>
    </row>
    <row r="2" spans="1:16" ht="32.25" thickBot="1" x14ac:dyDescent="0.3">
      <c r="A2" s="1"/>
      <c r="B2" s="20"/>
      <c r="C2" s="40"/>
      <c r="D2" s="10" t="s">
        <v>0</v>
      </c>
      <c r="E2" s="10"/>
      <c r="F2" s="48" t="s">
        <v>381</v>
      </c>
      <c r="G2" s="11"/>
      <c r="H2" s="11"/>
      <c r="I2" s="3"/>
      <c r="J2" s="3"/>
      <c r="K2" s="3"/>
      <c r="L2" s="3"/>
      <c r="M2" s="3"/>
      <c r="N2" s="3"/>
      <c r="O2" s="3"/>
      <c r="P2" s="37"/>
    </row>
    <row r="3" spans="1:16" x14ac:dyDescent="0.25">
      <c r="A3" s="1"/>
      <c r="B3" s="21"/>
      <c r="C3" s="41"/>
      <c r="D3" s="12" t="s">
        <v>1</v>
      </c>
      <c r="E3" s="12"/>
      <c r="F3" s="49" t="s">
        <v>382</v>
      </c>
      <c r="G3" s="12"/>
      <c r="H3" s="12"/>
      <c r="I3" s="4"/>
      <c r="J3" s="4"/>
      <c r="K3" s="4"/>
      <c r="L3" s="4"/>
      <c r="M3" s="4"/>
      <c r="N3" s="4"/>
      <c r="O3" s="4"/>
      <c r="P3" s="53"/>
    </row>
    <row r="4" spans="1:16" x14ac:dyDescent="0.25">
      <c r="A4" s="1"/>
      <c r="B4" s="21"/>
      <c r="C4" s="41"/>
      <c r="D4" s="12" t="s">
        <v>2</v>
      </c>
      <c r="E4" s="12"/>
      <c r="F4" s="50" t="s">
        <v>382</v>
      </c>
      <c r="G4" s="13"/>
      <c r="H4" s="13"/>
      <c r="I4" s="6"/>
      <c r="J4" s="6"/>
      <c r="K4" s="6"/>
      <c r="L4" s="5"/>
      <c r="M4" s="5"/>
      <c r="N4" s="5"/>
      <c r="O4" s="5"/>
      <c r="P4" s="54"/>
    </row>
    <row r="5" spans="1:16" x14ac:dyDescent="0.25">
      <c r="A5" s="1"/>
      <c r="B5" s="21"/>
      <c r="C5" s="41"/>
      <c r="D5" s="12" t="s">
        <v>3</v>
      </c>
      <c r="E5" s="12"/>
      <c r="F5" s="51" t="s">
        <v>5</v>
      </c>
      <c r="G5" s="14"/>
      <c r="H5" s="14"/>
      <c r="I5" s="5"/>
      <c r="J5" s="5"/>
      <c r="K5" s="5"/>
      <c r="L5" s="5"/>
      <c r="M5" s="5"/>
      <c r="N5" s="5"/>
      <c r="O5" s="5"/>
      <c r="P5" s="54"/>
    </row>
    <row r="6" spans="1:16" x14ac:dyDescent="0.25">
      <c r="A6" s="1"/>
      <c r="B6" s="22"/>
      <c r="C6" s="42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54"/>
    </row>
    <row r="7" spans="1:16" x14ac:dyDescent="0.25">
      <c r="A7" s="1"/>
      <c r="B7" s="23"/>
      <c r="C7" s="43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54"/>
    </row>
    <row r="8" spans="1:16" ht="15.75" thickBot="1" x14ac:dyDescent="0.3">
      <c r="A8" s="1"/>
      <c r="B8" s="26"/>
      <c r="C8" s="44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54"/>
    </row>
    <row r="9" spans="1:16" ht="15.75" thickBot="1" x14ac:dyDescent="0.3">
      <c r="A9" s="1"/>
      <c r="B9" s="29" t="s">
        <v>4</v>
      </c>
      <c r="C9" s="29" t="s">
        <v>6</v>
      </c>
      <c r="D9" s="29" t="s">
        <v>23</v>
      </c>
      <c r="E9" s="29" t="s">
        <v>103</v>
      </c>
      <c r="F9" s="29" t="s">
        <v>181</v>
      </c>
      <c r="G9" s="29" t="s">
        <v>230</v>
      </c>
      <c r="H9" s="29" t="s">
        <v>394</v>
      </c>
      <c r="I9" s="29" t="s">
        <v>298</v>
      </c>
      <c r="J9" s="29" t="s">
        <v>401</v>
      </c>
      <c r="K9" s="29" t="s">
        <v>380</v>
      </c>
      <c r="L9" s="29" t="s">
        <v>402</v>
      </c>
      <c r="M9" s="29" t="s">
        <v>403</v>
      </c>
      <c r="N9" s="29" t="s">
        <v>404</v>
      </c>
      <c r="O9" s="29" t="s">
        <v>405</v>
      </c>
      <c r="P9" s="29" t="s">
        <v>406</v>
      </c>
    </row>
    <row r="10" spans="1:16" ht="15.75" thickBot="1" x14ac:dyDescent="0.3">
      <c r="A10" s="1"/>
      <c r="B10" s="47">
        <f>ROW(B10) - ROW($B$9)</f>
        <v>1</v>
      </c>
      <c r="C10" s="55" t="s">
        <v>342</v>
      </c>
      <c r="D10" s="56" t="s">
        <v>24</v>
      </c>
      <c r="E10" s="56" t="s">
        <v>383</v>
      </c>
      <c r="F10" s="56" t="s">
        <v>182</v>
      </c>
      <c r="G10" s="56" t="s">
        <v>342</v>
      </c>
      <c r="H10" s="64" t="s">
        <v>383</v>
      </c>
      <c r="I10" s="64" t="s">
        <v>383</v>
      </c>
      <c r="J10" s="56" t="s">
        <v>383</v>
      </c>
      <c r="K10" s="56">
        <v>1</v>
      </c>
      <c r="L10" s="56">
        <f>K10*5</f>
        <v>5</v>
      </c>
      <c r="M10" s="56"/>
      <c r="N10" s="64"/>
      <c r="O10" s="64" t="s">
        <v>383</v>
      </c>
      <c r="P10" s="35"/>
    </row>
    <row r="11" spans="1:16" ht="15.75" thickBot="1" x14ac:dyDescent="0.3">
      <c r="A11" s="1"/>
      <c r="B11" s="47">
        <f t="shared" ref="B11:B89" si="0">ROW(B11) - ROW($B$9)</f>
        <v>2</v>
      </c>
      <c r="C11" s="57" t="s">
        <v>7</v>
      </c>
      <c r="D11" s="36" t="s">
        <v>25</v>
      </c>
      <c r="E11" s="36" t="s">
        <v>104</v>
      </c>
      <c r="F11" s="36" t="s">
        <v>183</v>
      </c>
      <c r="G11" s="36" t="s">
        <v>231</v>
      </c>
      <c r="H11" s="36" t="s">
        <v>383</v>
      </c>
      <c r="I11" s="36" t="s">
        <v>299</v>
      </c>
      <c r="J11" s="36" t="s">
        <v>343</v>
      </c>
      <c r="K11" s="36">
        <v>1</v>
      </c>
      <c r="L11" s="36">
        <f t="shared" ref="L11" si="1">K11*5</f>
        <v>5</v>
      </c>
      <c r="M11" s="66"/>
      <c r="N11" s="67"/>
      <c r="O11" s="67">
        <f t="shared" ref="O11" si="2">N11*L11</f>
        <v>0</v>
      </c>
      <c r="P11" s="36"/>
    </row>
    <row r="12" spans="1:16" ht="36.75" thickBot="1" x14ac:dyDescent="0.3">
      <c r="A12" s="1"/>
      <c r="B12" s="47">
        <f>ROW(B12) - ROW($B$9)</f>
        <v>3</v>
      </c>
      <c r="C12" s="55" t="s">
        <v>7</v>
      </c>
      <c r="D12" s="35" t="s">
        <v>26</v>
      </c>
      <c r="E12" s="35" t="s">
        <v>105</v>
      </c>
      <c r="F12" s="35" t="s">
        <v>184</v>
      </c>
      <c r="G12" s="35" t="s">
        <v>232</v>
      </c>
      <c r="H12" s="35" t="s">
        <v>383</v>
      </c>
      <c r="I12" s="35" t="s">
        <v>300</v>
      </c>
      <c r="J12" s="35" t="s">
        <v>344</v>
      </c>
      <c r="K12" s="35">
        <v>25</v>
      </c>
      <c r="L12" s="35">
        <f>K12*5</f>
        <v>125</v>
      </c>
      <c r="M12" s="66"/>
      <c r="N12" s="68"/>
      <c r="O12" s="68">
        <f>N12*L12</f>
        <v>0</v>
      </c>
      <c r="P12" s="35"/>
    </row>
    <row r="13" spans="1:16" ht="15.75" thickBot="1" x14ac:dyDescent="0.3">
      <c r="A13" s="1"/>
      <c r="B13" s="47">
        <f t="shared" si="0"/>
        <v>4</v>
      </c>
      <c r="C13" s="57" t="s">
        <v>7</v>
      </c>
      <c r="D13" s="36" t="s">
        <v>27</v>
      </c>
      <c r="E13" s="36" t="s">
        <v>106</v>
      </c>
      <c r="F13" s="36" t="s">
        <v>184</v>
      </c>
      <c r="G13" s="36" t="s">
        <v>233</v>
      </c>
      <c r="H13" s="36" t="s">
        <v>383</v>
      </c>
      <c r="I13" s="36" t="s">
        <v>299</v>
      </c>
      <c r="J13" s="36" t="s">
        <v>345</v>
      </c>
      <c r="K13" s="36">
        <v>3</v>
      </c>
      <c r="L13" s="36">
        <f t="shared" ref="L13" si="3">K13*5</f>
        <v>15</v>
      </c>
      <c r="M13" s="66"/>
      <c r="N13" s="67"/>
      <c r="O13" s="67">
        <f t="shared" ref="O13" si="4">N13*L13</f>
        <v>0</v>
      </c>
      <c r="P13" s="36"/>
    </row>
    <row r="14" spans="1:16" ht="36.75" thickBot="1" x14ac:dyDescent="0.3">
      <c r="A14" s="1"/>
      <c r="B14" s="47">
        <f>ROW(B14) - ROW($B$9)</f>
        <v>5</v>
      </c>
      <c r="C14" s="55" t="s">
        <v>7</v>
      </c>
      <c r="D14" s="35" t="s">
        <v>28</v>
      </c>
      <c r="E14" s="35" t="s">
        <v>107</v>
      </c>
      <c r="F14" s="35" t="s">
        <v>384</v>
      </c>
      <c r="G14" s="35" t="s">
        <v>185</v>
      </c>
      <c r="H14" s="35" t="s">
        <v>383</v>
      </c>
      <c r="I14" s="35" t="s">
        <v>301</v>
      </c>
      <c r="J14" s="35" t="s">
        <v>346</v>
      </c>
      <c r="K14" s="35">
        <v>3</v>
      </c>
      <c r="L14" s="35">
        <f>K14*5</f>
        <v>15</v>
      </c>
      <c r="M14" s="66"/>
      <c r="N14" s="68"/>
      <c r="O14" s="68">
        <f>N14*L14</f>
        <v>0</v>
      </c>
      <c r="P14" s="35"/>
    </row>
    <row r="15" spans="1:16" ht="15.75" thickBot="1" x14ac:dyDescent="0.3">
      <c r="A15" s="1"/>
      <c r="B15" s="47">
        <f t="shared" si="0"/>
        <v>6</v>
      </c>
      <c r="C15" s="57" t="s">
        <v>7</v>
      </c>
      <c r="D15" s="36" t="s">
        <v>29</v>
      </c>
      <c r="E15" s="36" t="s">
        <v>108</v>
      </c>
      <c r="F15" s="36" t="s">
        <v>186</v>
      </c>
      <c r="G15" s="36" t="s">
        <v>234</v>
      </c>
      <c r="H15" s="36" t="s">
        <v>383</v>
      </c>
      <c r="I15" s="36" t="s">
        <v>302</v>
      </c>
      <c r="J15" s="36" t="s">
        <v>347</v>
      </c>
      <c r="K15" s="36">
        <v>2</v>
      </c>
      <c r="L15" s="36">
        <f t="shared" ref="L15" si="5">K15*5</f>
        <v>10</v>
      </c>
      <c r="M15" s="66"/>
      <c r="N15" s="67"/>
      <c r="O15" s="67">
        <f t="shared" ref="O15" si="6">N15*L15</f>
        <v>0</v>
      </c>
      <c r="P15" s="36"/>
    </row>
    <row r="16" spans="1:16" ht="24.75" thickBot="1" x14ac:dyDescent="0.3">
      <c r="A16" s="1"/>
      <c r="B16" s="47">
        <f>ROW(B16) - ROW($B$9)</f>
        <v>7</v>
      </c>
      <c r="C16" s="55" t="s">
        <v>7</v>
      </c>
      <c r="D16" s="35" t="s">
        <v>30</v>
      </c>
      <c r="E16" s="35" t="s">
        <v>109</v>
      </c>
      <c r="F16" s="35" t="s">
        <v>187</v>
      </c>
      <c r="G16" s="35" t="s">
        <v>235</v>
      </c>
      <c r="H16" s="35" t="s">
        <v>383</v>
      </c>
      <c r="I16" s="35" t="s">
        <v>303</v>
      </c>
      <c r="J16" s="35" t="s">
        <v>348</v>
      </c>
      <c r="K16" s="35">
        <v>1</v>
      </c>
      <c r="L16" s="35">
        <f>K16*5</f>
        <v>5</v>
      </c>
      <c r="M16" s="66"/>
      <c r="N16" s="68"/>
      <c r="O16" s="68">
        <f>N16*L16</f>
        <v>0</v>
      </c>
      <c r="P16" s="35"/>
    </row>
    <row r="17" spans="1:16" ht="24.75" thickBot="1" x14ac:dyDescent="0.3">
      <c r="A17" s="1"/>
      <c r="B17" s="47">
        <f t="shared" si="0"/>
        <v>8</v>
      </c>
      <c r="C17" s="57" t="s">
        <v>7</v>
      </c>
      <c r="D17" s="36" t="s">
        <v>31</v>
      </c>
      <c r="E17" s="36" t="s">
        <v>110</v>
      </c>
      <c r="F17" s="36" t="s">
        <v>187</v>
      </c>
      <c r="G17" s="36" t="s">
        <v>236</v>
      </c>
      <c r="H17" s="36" t="s">
        <v>383</v>
      </c>
      <c r="I17" s="36" t="s">
        <v>304</v>
      </c>
      <c r="J17" s="36" t="s">
        <v>349</v>
      </c>
      <c r="K17" s="36">
        <v>1</v>
      </c>
      <c r="L17" s="36">
        <f t="shared" ref="L17" si="7">K17*5</f>
        <v>5</v>
      </c>
      <c r="M17" s="66"/>
      <c r="N17" s="67"/>
      <c r="O17" s="67">
        <f t="shared" ref="O17" si="8">N17*L17</f>
        <v>0</v>
      </c>
      <c r="P17" s="36"/>
    </row>
    <row r="18" spans="1:16" ht="15.75" thickBot="1" x14ac:dyDescent="0.3">
      <c r="A18" s="1"/>
      <c r="B18" s="47">
        <f>ROW(B18) - ROW($B$9)</f>
        <v>9</v>
      </c>
      <c r="C18" s="55" t="s">
        <v>7</v>
      </c>
      <c r="D18" s="35" t="s">
        <v>32</v>
      </c>
      <c r="E18" s="35" t="s">
        <v>111</v>
      </c>
      <c r="F18" s="35" t="s">
        <v>188</v>
      </c>
      <c r="G18" s="35" t="s">
        <v>237</v>
      </c>
      <c r="H18" s="35" t="s">
        <v>383</v>
      </c>
      <c r="I18" s="35" t="s">
        <v>302</v>
      </c>
      <c r="J18" s="35" t="s">
        <v>350</v>
      </c>
      <c r="K18" s="35">
        <v>1</v>
      </c>
      <c r="L18" s="35">
        <f>K18*5</f>
        <v>5</v>
      </c>
      <c r="M18" s="66"/>
      <c r="N18" s="68"/>
      <c r="O18" s="68">
        <f>N18*L18</f>
        <v>0</v>
      </c>
      <c r="P18" s="35"/>
    </row>
    <row r="19" spans="1:16" ht="15.75" thickBot="1" x14ac:dyDescent="0.3">
      <c r="A19" s="1"/>
      <c r="B19" s="47">
        <f t="shared" si="0"/>
        <v>10</v>
      </c>
      <c r="C19" s="57" t="s">
        <v>7</v>
      </c>
      <c r="D19" s="36" t="s">
        <v>33</v>
      </c>
      <c r="E19" s="36" t="s">
        <v>112</v>
      </c>
      <c r="F19" s="36" t="s">
        <v>189</v>
      </c>
      <c r="G19" s="36" t="s">
        <v>238</v>
      </c>
      <c r="H19" s="36" t="s">
        <v>383</v>
      </c>
      <c r="I19" s="36" t="s">
        <v>302</v>
      </c>
      <c r="J19" s="36" t="s">
        <v>351</v>
      </c>
      <c r="K19" s="36">
        <v>1</v>
      </c>
      <c r="L19" s="36">
        <f t="shared" ref="L19" si="9">K19*5</f>
        <v>5</v>
      </c>
      <c r="M19" s="66"/>
      <c r="N19" s="67"/>
      <c r="O19" s="67">
        <f t="shared" ref="O19" si="10">N19*L19</f>
        <v>0</v>
      </c>
      <c r="P19" s="36"/>
    </row>
    <row r="20" spans="1:16" ht="15.75" thickBot="1" x14ac:dyDescent="0.3">
      <c r="A20" s="1"/>
      <c r="B20" s="47">
        <f>ROW(B20) - ROW($B$9)</f>
        <v>11</v>
      </c>
      <c r="C20" s="55" t="s">
        <v>7</v>
      </c>
      <c r="D20" s="35" t="s">
        <v>34</v>
      </c>
      <c r="E20" s="35" t="s">
        <v>113</v>
      </c>
      <c r="F20" s="35" t="s">
        <v>184</v>
      </c>
      <c r="G20" s="56" t="s">
        <v>239</v>
      </c>
      <c r="H20" s="35" t="s">
        <v>395</v>
      </c>
      <c r="I20" s="35" t="s">
        <v>305</v>
      </c>
      <c r="J20" s="35" t="s">
        <v>352</v>
      </c>
      <c r="K20" s="35">
        <v>4</v>
      </c>
      <c r="L20" s="35">
        <f>K20*5</f>
        <v>20</v>
      </c>
      <c r="M20" s="66"/>
      <c r="N20" s="68"/>
      <c r="O20" s="68">
        <f>N20*L20</f>
        <v>0</v>
      </c>
      <c r="P20" s="35"/>
    </row>
    <row r="21" spans="1:16" ht="15.75" thickBot="1" x14ac:dyDescent="0.3">
      <c r="A21" s="1"/>
      <c r="B21" s="47">
        <f t="shared" si="0"/>
        <v>12</v>
      </c>
      <c r="C21" s="57" t="s">
        <v>7</v>
      </c>
      <c r="D21" s="36" t="s">
        <v>35</v>
      </c>
      <c r="E21" s="36" t="s">
        <v>114</v>
      </c>
      <c r="F21" s="36" t="s">
        <v>184</v>
      </c>
      <c r="G21" s="36" t="s">
        <v>240</v>
      </c>
      <c r="H21" s="36" t="s">
        <v>383</v>
      </c>
      <c r="I21" s="36" t="s">
        <v>306</v>
      </c>
      <c r="J21" s="36" t="s">
        <v>348</v>
      </c>
      <c r="K21" s="36">
        <v>2</v>
      </c>
      <c r="L21" s="36">
        <f t="shared" ref="L21" si="11">K21*5</f>
        <v>10</v>
      </c>
      <c r="M21" s="66"/>
      <c r="N21" s="67"/>
      <c r="O21" s="67">
        <f t="shared" ref="O21" si="12">N21*L21</f>
        <v>0</v>
      </c>
      <c r="P21" s="36"/>
    </row>
    <row r="22" spans="1:16" ht="15.75" thickBot="1" x14ac:dyDescent="0.3">
      <c r="A22" s="1"/>
      <c r="B22" s="47">
        <f>ROW(B22) - ROW($B$9)</f>
        <v>13</v>
      </c>
      <c r="C22" s="55" t="s">
        <v>7</v>
      </c>
      <c r="D22" s="35" t="s">
        <v>36</v>
      </c>
      <c r="E22" s="35" t="s">
        <v>115</v>
      </c>
      <c r="F22" s="35" t="s">
        <v>184</v>
      </c>
      <c r="G22" s="35" t="s">
        <v>241</v>
      </c>
      <c r="H22" s="35" t="s">
        <v>383</v>
      </c>
      <c r="I22" s="35" t="s">
        <v>299</v>
      </c>
      <c r="J22" s="35" t="s">
        <v>353</v>
      </c>
      <c r="K22" s="35">
        <v>2</v>
      </c>
      <c r="L22" s="35">
        <f>K22*5</f>
        <v>10</v>
      </c>
      <c r="M22" s="66"/>
      <c r="N22" s="68"/>
      <c r="O22" s="68">
        <f>N22*L22</f>
        <v>0</v>
      </c>
      <c r="P22" s="35"/>
    </row>
    <row r="23" spans="1:16" ht="15.75" thickBot="1" x14ac:dyDescent="0.3">
      <c r="A23" s="1"/>
      <c r="B23" s="47">
        <f t="shared" si="0"/>
        <v>14</v>
      </c>
      <c r="C23" s="57" t="s">
        <v>7</v>
      </c>
      <c r="D23" s="36" t="s">
        <v>37</v>
      </c>
      <c r="E23" s="36" t="s">
        <v>116</v>
      </c>
      <c r="F23" s="36" t="s">
        <v>183</v>
      </c>
      <c r="G23" s="36" t="s">
        <v>242</v>
      </c>
      <c r="H23" s="36" t="s">
        <v>383</v>
      </c>
      <c r="I23" s="36" t="s">
        <v>299</v>
      </c>
      <c r="J23" s="36" t="s">
        <v>354</v>
      </c>
      <c r="K23" s="36">
        <v>3</v>
      </c>
      <c r="L23" s="36">
        <f t="shared" ref="L23" si="13">K23*5</f>
        <v>15</v>
      </c>
      <c r="M23" s="66"/>
      <c r="N23" s="67"/>
      <c r="O23" s="67">
        <f t="shared" ref="O23" si="14">N23*L23</f>
        <v>0</v>
      </c>
      <c r="P23" s="36"/>
    </row>
    <row r="24" spans="1:16" ht="15.75" thickBot="1" x14ac:dyDescent="0.3">
      <c r="A24" s="1"/>
      <c r="B24" s="47">
        <f>ROW(B24) - ROW($B$9)</f>
        <v>15</v>
      </c>
      <c r="C24" s="55" t="s">
        <v>8</v>
      </c>
      <c r="D24" s="35" t="s">
        <v>38</v>
      </c>
      <c r="E24" s="35" t="s">
        <v>117</v>
      </c>
      <c r="F24" s="35" t="s">
        <v>190</v>
      </c>
      <c r="G24" s="35" t="s">
        <v>243</v>
      </c>
      <c r="H24" s="35" t="s">
        <v>383</v>
      </c>
      <c r="I24" s="35" t="s">
        <v>307</v>
      </c>
      <c r="J24" s="35" t="s">
        <v>383</v>
      </c>
      <c r="K24" s="35">
        <v>1</v>
      </c>
      <c r="L24" s="35">
        <f>K24*5</f>
        <v>5</v>
      </c>
      <c r="M24" s="66"/>
      <c r="N24" s="68"/>
      <c r="O24" s="68">
        <f>N24*L24</f>
        <v>0</v>
      </c>
      <c r="P24" s="35"/>
    </row>
    <row r="25" spans="1:16" ht="24.75" thickBot="1" x14ac:dyDescent="0.3">
      <c r="A25" s="1"/>
      <c r="B25" s="47">
        <f t="shared" si="0"/>
        <v>16</v>
      </c>
      <c r="C25" s="57" t="s">
        <v>8</v>
      </c>
      <c r="D25" s="36" t="s">
        <v>39</v>
      </c>
      <c r="E25" s="36" t="s">
        <v>118</v>
      </c>
      <c r="F25" s="36" t="s">
        <v>191</v>
      </c>
      <c r="G25" s="36" t="s">
        <v>244</v>
      </c>
      <c r="H25" s="36" t="s">
        <v>383</v>
      </c>
      <c r="I25" s="36" t="s">
        <v>308</v>
      </c>
      <c r="J25" s="36" t="s">
        <v>383</v>
      </c>
      <c r="K25" s="36">
        <v>1</v>
      </c>
      <c r="L25" s="36">
        <f t="shared" ref="L25" si="15">K25*5</f>
        <v>5</v>
      </c>
      <c r="M25" s="66"/>
      <c r="N25" s="67"/>
      <c r="O25" s="67">
        <f t="shared" ref="O25" si="16">N25*L25</f>
        <v>0</v>
      </c>
      <c r="P25" s="36"/>
    </row>
    <row r="26" spans="1:16" ht="36.75" thickBot="1" x14ac:dyDescent="0.3">
      <c r="A26" s="1"/>
      <c r="B26" s="47">
        <f>ROW(B26) - ROW($B$9)</f>
        <v>17</v>
      </c>
      <c r="C26" s="55" t="s">
        <v>8</v>
      </c>
      <c r="D26" s="35" t="s">
        <v>40</v>
      </c>
      <c r="E26" s="35" t="s">
        <v>119</v>
      </c>
      <c r="F26" s="35" t="s">
        <v>192</v>
      </c>
      <c r="G26" s="35" t="s">
        <v>245</v>
      </c>
      <c r="H26" s="35" t="s">
        <v>383</v>
      </c>
      <c r="I26" s="35" t="s">
        <v>309</v>
      </c>
      <c r="J26" s="35" t="s">
        <v>383</v>
      </c>
      <c r="K26" s="35">
        <v>1</v>
      </c>
      <c r="L26" s="35">
        <f>K26*5</f>
        <v>5</v>
      </c>
      <c r="M26" s="66"/>
      <c r="N26" s="68"/>
      <c r="O26" s="68">
        <f>N26*L26</f>
        <v>0</v>
      </c>
      <c r="P26" s="35"/>
    </row>
    <row r="27" spans="1:16" ht="24.75" thickBot="1" x14ac:dyDescent="0.3">
      <c r="A27" s="1"/>
      <c r="B27" s="47">
        <f t="shared" si="0"/>
        <v>18</v>
      </c>
      <c r="C27" s="55" t="s">
        <v>8</v>
      </c>
      <c r="D27" s="36" t="s">
        <v>41</v>
      </c>
      <c r="E27" s="36" t="s">
        <v>120</v>
      </c>
      <c r="F27" s="36" t="s">
        <v>195</v>
      </c>
      <c r="G27" s="36" t="s">
        <v>193</v>
      </c>
      <c r="H27" s="36" t="s">
        <v>383</v>
      </c>
      <c r="I27" s="36" t="s">
        <v>310</v>
      </c>
      <c r="J27" s="36" t="s">
        <v>383</v>
      </c>
      <c r="K27" s="36">
        <v>1</v>
      </c>
      <c r="L27" s="36">
        <f t="shared" ref="L27" si="17">K27*5</f>
        <v>5</v>
      </c>
      <c r="M27" s="66"/>
      <c r="N27" s="67"/>
      <c r="O27" s="67">
        <f t="shared" ref="O27" si="18">N27*L27</f>
        <v>0</v>
      </c>
      <c r="P27" s="36"/>
    </row>
    <row r="28" spans="1:16" ht="24.75" thickBot="1" x14ac:dyDescent="0.3">
      <c r="A28" s="1"/>
      <c r="B28" s="47">
        <f>ROW(B28) - ROW($B$9)</f>
        <v>19</v>
      </c>
      <c r="C28" s="55" t="s">
        <v>8</v>
      </c>
      <c r="D28" s="35" t="s">
        <v>42</v>
      </c>
      <c r="E28" s="35" t="s">
        <v>121</v>
      </c>
      <c r="F28" s="35" t="s">
        <v>194</v>
      </c>
      <c r="G28" s="35" t="s">
        <v>246</v>
      </c>
      <c r="H28" s="35" t="s">
        <v>383</v>
      </c>
      <c r="I28" s="35" t="s">
        <v>311</v>
      </c>
      <c r="J28" s="35" t="s">
        <v>383</v>
      </c>
      <c r="K28" s="35">
        <v>3</v>
      </c>
      <c r="L28" s="35">
        <f>K28*5</f>
        <v>15</v>
      </c>
      <c r="M28" s="66"/>
      <c r="N28" s="68"/>
      <c r="O28" s="68">
        <f>N28*L28</f>
        <v>0</v>
      </c>
      <c r="P28" s="35"/>
    </row>
    <row r="29" spans="1:16" ht="36.75" thickBot="1" x14ac:dyDescent="0.3">
      <c r="A29" s="1"/>
      <c r="B29" s="47">
        <f t="shared" si="0"/>
        <v>20</v>
      </c>
      <c r="C29" s="57" t="s">
        <v>8</v>
      </c>
      <c r="D29" s="36" t="s">
        <v>43</v>
      </c>
      <c r="E29" s="36" t="s">
        <v>122</v>
      </c>
      <c r="F29" s="36" t="s">
        <v>195</v>
      </c>
      <c r="G29" s="36" t="s">
        <v>247</v>
      </c>
      <c r="H29" s="36" t="s">
        <v>383</v>
      </c>
      <c r="I29" s="36" t="s">
        <v>312</v>
      </c>
      <c r="J29" s="36" t="s">
        <v>383</v>
      </c>
      <c r="K29" s="36">
        <v>2</v>
      </c>
      <c r="L29" s="36">
        <f t="shared" ref="L29" si="19">K29*5</f>
        <v>10</v>
      </c>
      <c r="M29" s="66"/>
      <c r="N29" s="67"/>
      <c r="O29" s="67">
        <f t="shared" ref="O29" si="20">N29*L29</f>
        <v>0</v>
      </c>
      <c r="P29" s="36"/>
    </row>
    <row r="30" spans="1:16" ht="15.75" thickBot="1" x14ac:dyDescent="0.3">
      <c r="A30" s="1"/>
      <c r="B30" s="47">
        <f>ROW(B30) - ROW($B$9)</f>
        <v>21</v>
      </c>
      <c r="C30" s="55" t="s">
        <v>8</v>
      </c>
      <c r="D30" s="35" t="s">
        <v>44</v>
      </c>
      <c r="E30" s="35" t="s">
        <v>123</v>
      </c>
      <c r="F30" s="35" t="s">
        <v>196</v>
      </c>
      <c r="G30" s="35" t="s">
        <v>248</v>
      </c>
      <c r="H30" s="35" t="s">
        <v>383</v>
      </c>
      <c r="I30" s="35" t="s">
        <v>313</v>
      </c>
      <c r="J30" s="35" t="s">
        <v>383</v>
      </c>
      <c r="K30" s="35">
        <v>4</v>
      </c>
      <c r="L30" s="35">
        <f>K30*5</f>
        <v>20</v>
      </c>
      <c r="M30" s="66"/>
      <c r="N30" s="68"/>
      <c r="O30" s="68">
        <f>N30*L30</f>
        <v>0</v>
      </c>
      <c r="P30" s="35"/>
    </row>
    <row r="31" spans="1:16" ht="15.75" thickBot="1" x14ac:dyDescent="0.3">
      <c r="A31" s="1"/>
      <c r="B31" s="47">
        <f t="shared" si="0"/>
        <v>22</v>
      </c>
      <c r="C31" s="57" t="s">
        <v>8</v>
      </c>
      <c r="D31" s="36" t="s">
        <v>45</v>
      </c>
      <c r="E31" s="36" t="s">
        <v>124</v>
      </c>
      <c r="F31" s="36" t="s">
        <v>191</v>
      </c>
      <c r="G31" s="36" t="s">
        <v>249</v>
      </c>
      <c r="H31" s="36" t="s">
        <v>383</v>
      </c>
      <c r="I31" s="36" t="s">
        <v>314</v>
      </c>
      <c r="J31" s="36" t="s">
        <v>383</v>
      </c>
      <c r="K31" s="36">
        <v>4</v>
      </c>
      <c r="L31" s="36">
        <f t="shared" ref="L31" si="21">K31*5</f>
        <v>20</v>
      </c>
      <c r="M31" s="66"/>
      <c r="N31" s="67"/>
      <c r="O31" s="67">
        <f t="shared" ref="O31" si="22">N31*L31</f>
        <v>0</v>
      </c>
      <c r="P31" s="36"/>
    </row>
    <row r="32" spans="1:16" ht="15.75" thickBot="1" x14ac:dyDescent="0.3">
      <c r="A32" s="1"/>
      <c r="B32" s="47">
        <f>ROW(B32) - ROW($B$9)</f>
        <v>23</v>
      </c>
      <c r="C32" s="55" t="s">
        <v>9</v>
      </c>
      <c r="D32" s="35" t="s">
        <v>46</v>
      </c>
      <c r="E32" s="35" t="s">
        <v>125</v>
      </c>
      <c r="F32" s="35" t="s">
        <v>197</v>
      </c>
      <c r="G32" s="35" t="s">
        <v>250</v>
      </c>
      <c r="H32" s="35" t="s">
        <v>383</v>
      </c>
      <c r="I32" s="35" t="s">
        <v>315</v>
      </c>
      <c r="J32" s="35" t="s">
        <v>383</v>
      </c>
      <c r="K32" s="35">
        <v>1</v>
      </c>
      <c r="L32" s="35">
        <f>K32*5</f>
        <v>5</v>
      </c>
      <c r="M32" s="66"/>
      <c r="N32" s="68"/>
      <c r="O32" s="68">
        <f>N32*L32</f>
        <v>0</v>
      </c>
      <c r="P32" s="35"/>
    </row>
    <row r="33" spans="1:16" ht="24.75" thickBot="1" x14ac:dyDescent="0.3">
      <c r="A33" s="1"/>
      <c r="B33" s="47">
        <f t="shared" si="0"/>
        <v>24</v>
      </c>
      <c r="C33" s="57" t="s">
        <v>9</v>
      </c>
      <c r="D33" s="36" t="s">
        <v>47</v>
      </c>
      <c r="E33" s="36" t="s">
        <v>126</v>
      </c>
      <c r="F33" s="36" t="s">
        <v>198</v>
      </c>
      <c r="G33" s="36" t="s">
        <v>251</v>
      </c>
      <c r="H33" s="36" t="s">
        <v>383</v>
      </c>
      <c r="I33" s="36" t="s">
        <v>316</v>
      </c>
      <c r="J33" s="36" t="s">
        <v>383</v>
      </c>
      <c r="K33" s="36">
        <v>1</v>
      </c>
      <c r="L33" s="36">
        <f t="shared" ref="L33" si="23">K33*5</f>
        <v>5</v>
      </c>
      <c r="M33" s="66"/>
      <c r="N33" s="67"/>
      <c r="O33" s="67">
        <f t="shared" ref="O33" si="24">N33*L33</f>
        <v>0</v>
      </c>
      <c r="P33" s="36"/>
    </row>
    <row r="34" spans="1:16" ht="24.75" thickBot="1" x14ac:dyDescent="0.3">
      <c r="A34" s="1"/>
      <c r="B34" s="47">
        <f>ROW(B34) - ROW($B$9)</f>
        <v>25</v>
      </c>
      <c r="C34" s="55" t="s">
        <v>9</v>
      </c>
      <c r="D34" s="35" t="s">
        <v>48</v>
      </c>
      <c r="E34" s="35" t="s">
        <v>127</v>
      </c>
      <c r="F34" s="35" t="s">
        <v>199</v>
      </c>
      <c r="G34" s="35" t="s">
        <v>252</v>
      </c>
      <c r="H34" s="35" t="s">
        <v>383</v>
      </c>
      <c r="I34" s="35" t="s">
        <v>317</v>
      </c>
      <c r="J34" s="35" t="s">
        <v>383</v>
      </c>
      <c r="K34" s="35">
        <v>4</v>
      </c>
      <c r="L34" s="35">
        <f>K34*5</f>
        <v>20</v>
      </c>
      <c r="M34" s="66"/>
      <c r="N34" s="68"/>
      <c r="O34" s="68">
        <f>N34*L34</f>
        <v>0</v>
      </c>
      <c r="P34" s="35"/>
    </row>
    <row r="35" spans="1:16" ht="15.75" thickBot="1" x14ac:dyDescent="0.3">
      <c r="A35" s="1"/>
      <c r="B35" s="47">
        <f t="shared" si="0"/>
        <v>26</v>
      </c>
      <c r="C35" s="57" t="s">
        <v>10</v>
      </c>
      <c r="D35" s="36" t="s">
        <v>49</v>
      </c>
      <c r="E35" s="36" t="s">
        <v>128</v>
      </c>
      <c r="F35" s="36" t="s">
        <v>200</v>
      </c>
      <c r="G35" s="36" t="s">
        <v>253</v>
      </c>
      <c r="H35" s="65" t="s">
        <v>396</v>
      </c>
      <c r="I35" s="36" t="s">
        <v>300</v>
      </c>
      <c r="J35" s="36" t="s">
        <v>355</v>
      </c>
      <c r="K35" s="36">
        <v>1</v>
      </c>
      <c r="L35" s="36">
        <f t="shared" ref="L35" si="25">K35*5</f>
        <v>5</v>
      </c>
      <c r="M35" s="66"/>
      <c r="N35" s="67"/>
      <c r="O35" s="67">
        <f t="shared" ref="O35" si="26">N35*L35</f>
        <v>0</v>
      </c>
      <c r="P35" s="36"/>
    </row>
    <row r="36" spans="1:16" ht="48.75" thickBot="1" x14ac:dyDescent="0.3">
      <c r="A36" s="1"/>
      <c r="B36" s="47">
        <f>ROW(B36) - ROW($B$9)</f>
        <v>27</v>
      </c>
      <c r="C36" s="55" t="s">
        <v>11</v>
      </c>
      <c r="D36" s="35" t="s">
        <v>50</v>
      </c>
      <c r="E36" s="35" t="s">
        <v>129</v>
      </c>
      <c r="F36" s="36" t="s">
        <v>384</v>
      </c>
      <c r="G36" s="35" t="s">
        <v>201</v>
      </c>
      <c r="H36" s="35" t="s">
        <v>383</v>
      </c>
      <c r="I36" s="35" t="s">
        <v>318</v>
      </c>
      <c r="J36" s="35" t="s">
        <v>383</v>
      </c>
      <c r="K36" s="35">
        <v>8</v>
      </c>
      <c r="L36" s="35">
        <f>K36*5</f>
        <v>40</v>
      </c>
      <c r="M36" s="66"/>
      <c r="N36" s="68"/>
      <c r="O36" s="68">
        <f>N36*L36</f>
        <v>0</v>
      </c>
      <c r="P36" s="35"/>
    </row>
    <row r="37" spans="1:16" ht="24.75" thickBot="1" x14ac:dyDescent="0.3">
      <c r="A37" s="1"/>
      <c r="B37" s="47">
        <f t="shared" si="0"/>
        <v>28</v>
      </c>
      <c r="C37" s="57" t="s">
        <v>12</v>
      </c>
      <c r="D37" s="36" t="s">
        <v>51</v>
      </c>
      <c r="E37" s="36" t="s">
        <v>130</v>
      </c>
      <c r="F37" s="36" t="s">
        <v>384</v>
      </c>
      <c r="G37" s="36" t="s">
        <v>254</v>
      </c>
      <c r="H37" s="36" t="s">
        <v>383</v>
      </c>
      <c r="I37" s="36" t="s">
        <v>319</v>
      </c>
      <c r="J37" s="36" t="s">
        <v>383</v>
      </c>
      <c r="K37" s="36">
        <v>1</v>
      </c>
      <c r="L37" s="36">
        <f t="shared" ref="L37" si="27">K37*5</f>
        <v>5</v>
      </c>
      <c r="M37" s="66"/>
      <c r="N37" s="67"/>
      <c r="O37" s="67">
        <f t="shared" ref="O37" si="28">N37*L37</f>
        <v>0</v>
      </c>
      <c r="P37" s="36"/>
    </row>
    <row r="38" spans="1:16" ht="48.75" thickBot="1" x14ac:dyDescent="0.3">
      <c r="A38" s="1"/>
      <c r="B38" s="47">
        <f>ROW(B38) - ROW($B$9)</f>
        <v>29</v>
      </c>
      <c r="C38" s="55" t="s">
        <v>11</v>
      </c>
      <c r="D38" s="35" t="s">
        <v>52</v>
      </c>
      <c r="E38" s="35" t="s">
        <v>131</v>
      </c>
      <c r="F38" s="36" t="s">
        <v>384</v>
      </c>
      <c r="G38" s="35" t="s">
        <v>202</v>
      </c>
      <c r="H38" s="35" t="s">
        <v>383</v>
      </c>
      <c r="I38" s="35" t="s">
        <v>318</v>
      </c>
      <c r="J38" s="35" t="s">
        <v>383</v>
      </c>
      <c r="K38" s="35">
        <v>4</v>
      </c>
      <c r="L38" s="35">
        <f>K38*5</f>
        <v>20</v>
      </c>
      <c r="M38" s="66"/>
      <c r="N38" s="68"/>
      <c r="O38" s="68">
        <f>N38*L38</f>
        <v>0</v>
      </c>
      <c r="P38" s="35"/>
    </row>
    <row r="39" spans="1:16" ht="26.25" thickBot="1" x14ac:dyDescent="0.3">
      <c r="A39" s="1"/>
      <c r="B39" s="47">
        <f t="shared" si="0"/>
        <v>30</v>
      </c>
      <c r="C39" s="57" t="s">
        <v>385</v>
      </c>
      <c r="D39" s="36" t="s">
        <v>53</v>
      </c>
      <c r="E39" s="36" t="s">
        <v>132</v>
      </c>
      <c r="F39" s="36" t="s">
        <v>384</v>
      </c>
      <c r="G39" s="36" t="s">
        <v>255</v>
      </c>
      <c r="H39" s="36" t="s">
        <v>383</v>
      </c>
      <c r="I39" s="36" t="s">
        <v>320</v>
      </c>
      <c r="J39" s="36" t="s">
        <v>383</v>
      </c>
      <c r="K39" s="36">
        <v>1</v>
      </c>
      <c r="L39" s="36">
        <f t="shared" ref="L39" si="29">K39*5</f>
        <v>5</v>
      </c>
      <c r="M39" s="66"/>
      <c r="N39" s="67"/>
      <c r="O39" s="67">
        <f t="shared" ref="O39" si="30">N39*L39</f>
        <v>0</v>
      </c>
      <c r="P39" s="36"/>
    </row>
    <row r="40" spans="1:16" ht="36.75" thickBot="1" x14ac:dyDescent="0.3">
      <c r="A40" s="1"/>
      <c r="B40" s="47">
        <f>ROW(B40) - ROW($B$9)</f>
        <v>31</v>
      </c>
      <c r="C40" s="55" t="s">
        <v>13</v>
      </c>
      <c r="D40" s="35" t="s">
        <v>54</v>
      </c>
      <c r="E40" s="35" t="s">
        <v>133</v>
      </c>
      <c r="F40" s="36" t="s">
        <v>384</v>
      </c>
      <c r="G40" s="35" t="s">
        <v>256</v>
      </c>
      <c r="H40" s="35" t="s">
        <v>383</v>
      </c>
      <c r="I40" s="35" t="s">
        <v>321</v>
      </c>
      <c r="J40" s="35" t="s">
        <v>383</v>
      </c>
      <c r="K40" s="35">
        <v>1</v>
      </c>
      <c r="L40" s="35">
        <f>K40*5</f>
        <v>5</v>
      </c>
      <c r="M40" s="66"/>
      <c r="N40" s="68"/>
      <c r="O40" s="68">
        <f>N40*L40</f>
        <v>0</v>
      </c>
      <c r="P40" s="35"/>
    </row>
    <row r="41" spans="1:16" ht="48.75" thickBot="1" x14ac:dyDescent="0.3">
      <c r="A41" s="1"/>
      <c r="B41" s="47">
        <f t="shared" si="0"/>
        <v>32</v>
      </c>
      <c r="C41" s="57" t="s">
        <v>386</v>
      </c>
      <c r="D41" s="36" t="s">
        <v>55</v>
      </c>
      <c r="E41" s="36" t="s">
        <v>134</v>
      </c>
      <c r="F41" s="36" t="s">
        <v>384</v>
      </c>
      <c r="G41" s="36" t="s">
        <v>257</v>
      </c>
      <c r="H41" s="36"/>
      <c r="I41" s="36" t="s">
        <v>322</v>
      </c>
      <c r="J41" s="36" t="s">
        <v>383</v>
      </c>
      <c r="K41" s="36">
        <v>1</v>
      </c>
      <c r="L41" s="36">
        <f t="shared" ref="L41" si="31">K41*5</f>
        <v>5</v>
      </c>
      <c r="M41" s="66"/>
      <c r="N41" s="67"/>
      <c r="O41" s="67">
        <f t="shared" ref="O41" si="32">N41*L41</f>
        <v>0</v>
      </c>
      <c r="P41" s="36"/>
    </row>
    <row r="42" spans="1:16" ht="36.75" thickBot="1" x14ac:dyDescent="0.3">
      <c r="A42" s="1"/>
      <c r="B42" s="47">
        <f>ROW(B42) - ROW($B$9)</f>
        <v>33</v>
      </c>
      <c r="C42" s="55" t="s">
        <v>14</v>
      </c>
      <c r="D42" s="35" t="s">
        <v>56</v>
      </c>
      <c r="E42" s="35" t="s">
        <v>135</v>
      </c>
      <c r="F42" s="36" t="s">
        <v>384</v>
      </c>
      <c r="G42" s="35" t="s">
        <v>203</v>
      </c>
      <c r="H42" s="35" t="s">
        <v>383</v>
      </c>
      <c r="I42" s="35" t="s">
        <v>323</v>
      </c>
      <c r="J42" s="35" t="s">
        <v>383</v>
      </c>
      <c r="K42" s="35">
        <v>2</v>
      </c>
      <c r="L42" s="35">
        <f>K42*5</f>
        <v>10</v>
      </c>
      <c r="M42" s="66"/>
      <c r="N42" s="68"/>
      <c r="O42" s="68">
        <f>N42*L42</f>
        <v>0</v>
      </c>
      <c r="P42" s="35"/>
    </row>
    <row r="43" spans="1:16" ht="24.75" thickBot="1" x14ac:dyDescent="0.3">
      <c r="A43" s="1"/>
      <c r="B43" s="47">
        <f t="shared" si="0"/>
        <v>34</v>
      </c>
      <c r="C43" s="57" t="s">
        <v>387</v>
      </c>
      <c r="D43" s="36" t="s">
        <v>57</v>
      </c>
      <c r="E43" s="36" t="s">
        <v>388</v>
      </c>
      <c r="F43" s="36" t="s">
        <v>384</v>
      </c>
      <c r="G43" s="36" t="s">
        <v>389</v>
      </c>
      <c r="H43" s="36" t="s">
        <v>383</v>
      </c>
      <c r="I43" s="36" t="s">
        <v>393</v>
      </c>
      <c r="J43" s="36" t="s">
        <v>383</v>
      </c>
      <c r="K43" s="36">
        <v>3</v>
      </c>
      <c r="L43" s="36">
        <f t="shared" ref="L43" si="33">K43*5</f>
        <v>15</v>
      </c>
      <c r="M43" s="66"/>
      <c r="N43" s="67"/>
      <c r="O43" s="67">
        <f t="shared" ref="O43" si="34">N43*L43</f>
        <v>0</v>
      </c>
      <c r="P43" s="36"/>
    </row>
    <row r="44" spans="1:16" ht="24.75" thickBot="1" x14ac:dyDescent="0.3">
      <c r="A44" s="1"/>
      <c r="B44" s="47">
        <f>ROW(B44) - ROW($B$9)</f>
        <v>35</v>
      </c>
      <c r="C44" s="55" t="s">
        <v>15</v>
      </c>
      <c r="D44" s="35" t="s">
        <v>58</v>
      </c>
      <c r="E44" s="35" t="s">
        <v>136</v>
      </c>
      <c r="F44" s="36" t="s">
        <v>384</v>
      </c>
      <c r="G44" s="35" t="s">
        <v>204</v>
      </c>
      <c r="H44" s="35" t="s">
        <v>383</v>
      </c>
      <c r="I44" s="35" t="s">
        <v>324</v>
      </c>
      <c r="J44" s="35" t="s">
        <v>356</v>
      </c>
      <c r="K44" s="35">
        <v>1</v>
      </c>
      <c r="L44" s="35">
        <f>K44*5</f>
        <v>5</v>
      </c>
      <c r="M44" s="66"/>
      <c r="N44" s="68"/>
      <c r="O44" s="68">
        <f>N44*L44</f>
        <v>0</v>
      </c>
      <c r="P44" s="35"/>
    </row>
    <row r="45" spans="1:16" ht="15.75" thickBot="1" x14ac:dyDescent="0.3">
      <c r="A45" s="1"/>
      <c r="B45" s="47">
        <f t="shared" si="0"/>
        <v>36</v>
      </c>
      <c r="C45" s="55" t="s">
        <v>15</v>
      </c>
      <c r="D45" s="36" t="s">
        <v>59</v>
      </c>
      <c r="E45" s="36" t="s">
        <v>137</v>
      </c>
      <c r="F45" s="36" t="s">
        <v>205</v>
      </c>
      <c r="G45" s="36" t="s">
        <v>258</v>
      </c>
      <c r="H45" s="36" t="s">
        <v>383</v>
      </c>
      <c r="I45" s="36" t="s">
        <v>325</v>
      </c>
      <c r="J45" s="36" t="s">
        <v>357</v>
      </c>
      <c r="K45" s="36">
        <v>1</v>
      </c>
      <c r="L45" s="36">
        <f t="shared" ref="L45" si="35">K45*5</f>
        <v>5</v>
      </c>
      <c r="M45" s="66"/>
      <c r="N45" s="67"/>
      <c r="O45" s="67">
        <f t="shared" ref="O45" si="36">N45*L45</f>
        <v>0</v>
      </c>
      <c r="P45" s="36"/>
    </row>
    <row r="46" spans="1:16" ht="24.75" thickBot="1" x14ac:dyDescent="0.3">
      <c r="A46" s="1"/>
      <c r="B46" s="47">
        <f>ROW(B46) - ROW($B$9)</f>
        <v>37</v>
      </c>
      <c r="C46" s="55" t="s">
        <v>16</v>
      </c>
      <c r="D46" s="35" t="s">
        <v>60</v>
      </c>
      <c r="E46" s="35" t="s">
        <v>138</v>
      </c>
      <c r="F46" s="35" t="s">
        <v>206</v>
      </c>
      <c r="G46" s="35" t="s">
        <v>259</v>
      </c>
      <c r="H46" s="35" t="s">
        <v>383</v>
      </c>
      <c r="I46" s="35" t="s">
        <v>326</v>
      </c>
      <c r="J46" s="35" t="s">
        <v>383</v>
      </c>
      <c r="K46" s="35">
        <v>2</v>
      </c>
      <c r="L46" s="35">
        <f>K46*5</f>
        <v>10</v>
      </c>
      <c r="M46" s="66"/>
      <c r="N46" s="68"/>
      <c r="O46" s="68">
        <f>N46*L46</f>
        <v>0</v>
      </c>
      <c r="P46" s="35"/>
    </row>
    <row r="47" spans="1:16" ht="24.75" thickBot="1" x14ac:dyDescent="0.3">
      <c r="A47" s="1"/>
      <c r="B47" s="47">
        <f t="shared" si="0"/>
        <v>38</v>
      </c>
      <c r="C47" s="57" t="s">
        <v>16</v>
      </c>
      <c r="D47" s="36" t="s">
        <v>61</v>
      </c>
      <c r="E47" s="36" t="s">
        <v>139</v>
      </c>
      <c r="F47" s="36" t="s">
        <v>207</v>
      </c>
      <c r="G47" s="36" t="s">
        <v>260</v>
      </c>
      <c r="H47" s="65" t="s">
        <v>396</v>
      </c>
      <c r="I47" s="36" t="s">
        <v>326</v>
      </c>
      <c r="J47" s="36" t="s">
        <v>383</v>
      </c>
      <c r="K47" s="36">
        <v>1</v>
      </c>
      <c r="L47" s="36">
        <f t="shared" ref="L47" si="37">K47*5</f>
        <v>5</v>
      </c>
      <c r="M47" s="66"/>
      <c r="N47" s="67"/>
      <c r="O47" s="67">
        <f t="shared" ref="O47" si="38">N47*L47</f>
        <v>0</v>
      </c>
      <c r="P47" s="36"/>
    </row>
    <row r="48" spans="1:16" ht="15.75" thickBot="1" x14ac:dyDescent="0.3">
      <c r="A48" s="1"/>
      <c r="B48" s="47">
        <f>ROW(B48) - ROW($B$9)</f>
        <v>39</v>
      </c>
      <c r="C48" s="55" t="s">
        <v>390</v>
      </c>
      <c r="D48" s="56" t="s">
        <v>391</v>
      </c>
      <c r="E48" s="56" t="s">
        <v>140</v>
      </c>
      <c r="F48" s="56" t="s">
        <v>384</v>
      </c>
      <c r="G48" s="56" t="s">
        <v>208</v>
      </c>
      <c r="H48" s="56" t="s">
        <v>383</v>
      </c>
      <c r="I48" s="56" t="s">
        <v>383</v>
      </c>
      <c r="J48" s="56" t="s">
        <v>383</v>
      </c>
      <c r="K48" s="56">
        <v>10</v>
      </c>
      <c r="L48" s="56">
        <f>K48*5</f>
        <v>50</v>
      </c>
      <c r="M48" s="56"/>
      <c r="N48" s="56"/>
      <c r="O48" s="56" t="s">
        <v>383</v>
      </c>
      <c r="P48" s="35"/>
    </row>
    <row r="49" spans="1:16" ht="15.75" thickBot="1" x14ac:dyDescent="0.3">
      <c r="A49" s="1"/>
      <c r="B49" s="47">
        <f t="shared" si="0"/>
        <v>40</v>
      </c>
      <c r="C49" s="57" t="s">
        <v>392</v>
      </c>
      <c r="D49" s="36" t="s">
        <v>62</v>
      </c>
      <c r="E49" s="36" t="s">
        <v>141</v>
      </c>
      <c r="F49" s="36" t="s">
        <v>209</v>
      </c>
      <c r="G49" s="36" t="s">
        <v>261</v>
      </c>
      <c r="H49" s="36"/>
      <c r="I49" s="36" t="s">
        <v>327</v>
      </c>
      <c r="J49" s="36" t="s">
        <v>383</v>
      </c>
      <c r="K49" s="36">
        <v>1</v>
      </c>
      <c r="L49" s="36">
        <f t="shared" ref="L49" si="39">K49*5</f>
        <v>5</v>
      </c>
      <c r="M49" s="66"/>
      <c r="N49" s="67"/>
      <c r="O49" s="67">
        <f t="shared" ref="O49" si="40">N49*L49</f>
        <v>0</v>
      </c>
      <c r="P49" s="36"/>
    </row>
    <row r="50" spans="1:16" ht="15.75" thickBot="1" x14ac:dyDescent="0.3">
      <c r="A50" s="1"/>
      <c r="B50" s="47">
        <f>ROW(B50) - ROW($B$9)</f>
        <v>41</v>
      </c>
      <c r="C50" s="55" t="s">
        <v>17</v>
      </c>
      <c r="D50" s="35" t="s">
        <v>63</v>
      </c>
      <c r="E50" s="35" t="s">
        <v>142</v>
      </c>
      <c r="F50" s="35" t="s">
        <v>210</v>
      </c>
      <c r="G50" s="56" t="s">
        <v>262</v>
      </c>
      <c r="H50" s="35" t="s">
        <v>397</v>
      </c>
      <c r="I50" s="35" t="s">
        <v>328</v>
      </c>
      <c r="J50" s="35" t="s">
        <v>358</v>
      </c>
      <c r="K50" s="35">
        <v>2</v>
      </c>
      <c r="L50" s="35">
        <f>K50*5</f>
        <v>10</v>
      </c>
      <c r="M50" s="66"/>
      <c r="N50" s="68"/>
      <c r="O50" s="68">
        <f>N50*L50</f>
        <v>0</v>
      </c>
      <c r="P50" s="35"/>
    </row>
    <row r="51" spans="1:16" ht="15.75" thickBot="1" x14ac:dyDescent="0.3">
      <c r="A51" s="1"/>
      <c r="B51" s="47">
        <f t="shared" si="0"/>
        <v>42</v>
      </c>
      <c r="C51" s="57" t="s">
        <v>18</v>
      </c>
      <c r="D51" s="36" t="s">
        <v>64</v>
      </c>
      <c r="E51" s="36" t="s">
        <v>143</v>
      </c>
      <c r="F51" s="36" t="s">
        <v>384</v>
      </c>
      <c r="G51" s="36" t="s">
        <v>211</v>
      </c>
      <c r="H51" s="36"/>
      <c r="I51" s="36" t="s">
        <v>329</v>
      </c>
      <c r="J51" s="36" t="s">
        <v>383</v>
      </c>
      <c r="K51" s="36">
        <v>1</v>
      </c>
      <c r="L51" s="36">
        <f t="shared" ref="L51" si="41">K51*5</f>
        <v>5</v>
      </c>
      <c r="M51" s="66"/>
      <c r="N51" s="67"/>
      <c r="O51" s="67">
        <f t="shared" ref="O51" si="42">N51*L51</f>
        <v>0</v>
      </c>
      <c r="P51" s="36"/>
    </row>
    <row r="52" spans="1:16" ht="15.75" thickBot="1" x14ac:dyDescent="0.3">
      <c r="A52" s="1"/>
      <c r="B52" s="47">
        <f>ROW(B52) - ROW($B$9)</f>
        <v>43</v>
      </c>
      <c r="C52" s="55" t="s">
        <v>17</v>
      </c>
      <c r="D52" s="35" t="s">
        <v>65</v>
      </c>
      <c r="E52" s="35" t="s">
        <v>144</v>
      </c>
      <c r="F52" s="35" t="s">
        <v>210</v>
      </c>
      <c r="G52" s="35" t="s">
        <v>263</v>
      </c>
      <c r="H52" s="35"/>
      <c r="I52" s="35" t="s">
        <v>299</v>
      </c>
      <c r="J52" s="35" t="s">
        <v>359</v>
      </c>
      <c r="K52" s="35">
        <v>1</v>
      </c>
      <c r="L52" s="35">
        <f>K52*5</f>
        <v>5</v>
      </c>
      <c r="M52" s="66"/>
      <c r="N52" s="68"/>
      <c r="O52" s="68">
        <f>N52*L52</f>
        <v>0</v>
      </c>
      <c r="P52" s="35"/>
    </row>
    <row r="53" spans="1:16" ht="36.75" thickBot="1" x14ac:dyDescent="0.3">
      <c r="A53" s="1"/>
      <c r="B53" s="47">
        <f t="shared" si="0"/>
        <v>44</v>
      </c>
      <c r="C53" s="57" t="s">
        <v>17</v>
      </c>
      <c r="D53" s="36" t="s">
        <v>66</v>
      </c>
      <c r="E53" s="36" t="s">
        <v>145</v>
      </c>
      <c r="F53" s="36" t="s">
        <v>212</v>
      </c>
      <c r="G53" s="36" t="s">
        <v>264</v>
      </c>
      <c r="H53" s="36"/>
      <c r="I53" s="36" t="s">
        <v>299</v>
      </c>
      <c r="J53" s="36" t="s">
        <v>360</v>
      </c>
      <c r="K53" s="36">
        <v>25</v>
      </c>
      <c r="L53" s="36">
        <f t="shared" ref="L53" si="43">K53*5</f>
        <v>125</v>
      </c>
      <c r="M53" s="66"/>
      <c r="N53" s="67"/>
      <c r="O53" s="67">
        <f t="shared" ref="O53" si="44">N53*L53</f>
        <v>0</v>
      </c>
      <c r="P53" s="36"/>
    </row>
    <row r="54" spans="1:16" ht="15.75" thickBot="1" x14ac:dyDescent="0.3">
      <c r="A54" s="1"/>
      <c r="B54" s="47">
        <f>ROW(B54) - ROW($B$9)</f>
        <v>45</v>
      </c>
      <c r="C54" s="57" t="s">
        <v>17</v>
      </c>
      <c r="D54" s="35" t="s">
        <v>67</v>
      </c>
      <c r="E54" s="35" t="s">
        <v>146</v>
      </c>
      <c r="F54" s="35" t="s">
        <v>212</v>
      </c>
      <c r="G54" s="56" t="s">
        <v>265</v>
      </c>
      <c r="H54" s="35" t="s">
        <v>398</v>
      </c>
      <c r="I54" s="35" t="s">
        <v>299</v>
      </c>
      <c r="J54" s="35" t="s">
        <v>361</v>
      </c>
      <c r="K54" s="35">
        <v>7</v>
      </c>
      <c r="L54" s="35">
        <f>K54*5</f>
        <v>35</v>
      </c>
      <c r="M54" s="66"/>
      <c r="N54" s="68"/>
      <c r="O54" s="68">
        <f>N54*L54</f>
        <v>0</v>
      </c>
      <c r="P54" s="35"/>
    </row>
    <row r="55" spans="1:16" ht="36.75" thickBot="1" x14ac:dyDescent="0.3">
      <c r="A55" s="1"/>
      <c r="B55" s="47">
        <f t="shared" si="0"/>
        <v>46</v>
      </c>
      <c r="C55" s="57" t="s">
        <v>17</v>
      </c>
      <c r="D55" s="36" t="s">
        <v>68</v>
      </c>
      <c r="E55" s="36" t="s">
        <v>147</v>
      </c>
      <c r="F55" s="36" t="s">
        <v>213</v>
      </c>
      <c r="G55" s="36" t="s">
        <v>266</v>
      </c>
      <c r="H55" s="36" t="s">
        <v>383</v>
      </c>
      <c r="I55" s="36" t="s">
        <v>330</v>
      </c>
      <c r="J55" s="36" t="s">
        <v>362</v>
      </c>
      <c r="K55" s="36">
        <v>1</v>
      </c>
      <c r="L55" s="36">
        <f t="shared" ref="L55" si="45">K55*5</f>
        <v>5</v>
      </c>
      <c r="M55" s="66"/>
      <c r="N55" s="67"/>
      <c r="O55" s="67">
        <f t="shared" ref="O55" si="46">N55*L55</f>
        <v>0</v>
      </c>
      <c r="P55" s="36"/>
    </row>
    <row r="56" spans="1:16" ht="15.75" thickBot="1" x14ac:dyDescent="0.3">
      <c r="A56" s="1"/>
      <c r="B56" s="47">
        <f>ROW(B56) - ROW($B$9)</f>
        <v>47</v>
      </c>
      <c r="C56" s="57" t="s">
        <v>17</v>
      </c>
      <c r="D56" s="35" t="s">
        <v>69</v>
      </c>
      <c r="E56" s="35" t="s">
        <v>148</v>
      </c>
      <c r="F56" s="35" t="s">
        <v>212</v>
      </c>
      <c r="G56" s="35" t="s">
        <v>267</v>
      </c>
      <c r="H56" s="35" t="s">
        <v>383</v>
      </c>
      <c r="I56" s="35" t="s">
        <v>299</v>
      </c>
      <c r="J56" s="35" t="s">
        <v>363</v>
      </c>
      <c r="K56" s="35">
        <v>2</v>
      </c>
      <c r="L56" s="35">
        <f>K56*5</f>
        <v>10</v>
      </c>
      <c r="M56" s="66"/>
      <c r="N56" s="68"/>
      <c r="O56" s="68">
        <f>N56*L56</f>
        <v>0</v>
      </c>
      <c r="P56" s="35"/>
    </row>
    <row r="57" spans="1:16" ht="15.75" thickBot="1" x14ac:dyDescent="0.3">
      <c r="A57" s="1"/>
      <c r="B57" s="47">
        <f t="shared" si="0"/>
        <v>48</v>
      </c>
      <c r="C57" s="57" t="s">
        <v>17</v>
      </c>
      <c r="D57" s="36" t="s">
        <v>70</v>
      </c>
      <c r="E57" s="36" t="s">
        <v>149</v>
      </c>
      <c r="F57" s="36" t="s">
        <v>212</v>
      </c>
      <c r="G57" s="56" t="s">
        <v>268</v>
      </c>
      <c r="H57" s="36" t="s">
        <v>399</v>
      </c>
      <c r="I57" s="36" t="s">
        <v>299</v>
      </c>
      <c r="J57" s="36" t="s">
        <v>364</v>
      </c>
      <c r="K57" s="36">
        <v>1</v>
      </c>
      <c r="L57" s="36">
        <f t="shared" ref="L57" si="47">K57*5</f>
        <v>5</v>
      </c>
      <c r="M57" s="66"/>
      <c r="N57" s="67"/>
      <c r="O57" s="67">
        <f t="shared" ref="O57" si="48">N57*L57</f>
        <v>0</v>
      </c>
      <c r="P57" s="36"/>
    </row>
    <row r="58" spans="1:16" ht="15.75" thickBot="1" x14ac:dyDescent="0.3">
      <c r="A58" s="1"/>
      <c r="B58" s="47">
        <f>ROW(B58) - ROW($B$9)</f>
        <v>49</v>
      </c>
      <c r="C58" s="55" t="s">
        <v>17</v>
      </c>
      <c r="D58" s="35" t="s">
        <v>71</v>
      </c>
      <c r="E58" s="35" t="s">
        <v>150</v>
      </c>
      <c r="F58" s="35" t="s">
        <v>210</v>
      </c>
      <c r="G58" s="35" t="s">
        <v>269</v>
      </c>
      <c r="H58" s="35"/>
      <c r="I58" s="35" t="s">
        <v>299</v>
      </c>
      <c r="J58" s="35" t="s">
        <v>365</v>
      </c>
      <c r="K58" s="35">
        <v>2</v>
      </c>
      <c r="L58" s="35">
        <f>K58*5</f>
        <v>10</v>
      </c>
      <c r="M58" s="66"/>
      <c r="N58" s="68"/>
      <c r="O58" s="68">
        <f>N58*L58</f>
        <v>0</v>
      </c>
      <c r="P58" s="35"/>
    </row>
    <row r="59" spans="1:16" ht="36.75" thickBot="1" x14ac:dyDescent="0.3">
      <c r="A59" s="1"/>
      <c r="B59" s="47">
        <f t="shared" si="0"/>
        <v>50</v>
      </c>
      <c r="C59" s="57" t="s">
        <v>17</v>
      </c>
      <c r="D59" s="36" t="s">
        <v>72</v>
      </c>
      <c r="E59" s="36" t="s">
        <v>151</v>
      </c>
      <c r="F59" s="36" t="s">
        <v>210</v>
      </c>
      <c r="G59" s="36" t="s">
        <v>270</v>
      </c>
      <c r="H59" s="36"/>
      <c r="I59" s="36" t="s">
        <v>299</v>
      </c>
      <c r="J59" s="36" t="s">
        <v>366</v>
      </c>
      <c r="K59" s="36">
        <v>22</v>
      </c>
      <c r="L59" s="36">
        <f t="shared" ref="L59" si="49">K59*5</f>
        <v>110</v>
      </c>
      <c r="M59" s="66"/>
      <c r="N59" s="67"/>
      <c r="O59" s="67">
        <f t="shared" ref="O59" si="50">N59*L59</f>
        <v>0</v>
      </c>
      <c r="P59" s="36"/>
    </row>
    <row r="60" spans="1:16" ht="15.75" thickBot="1" x14ac:dyDescent="0.3">
      <c r="A60" s="1"/>
      <c r="B60" s="47">
        <f>ROW(B60) - ROW($B$9)</f>
        <v>51</v>
      </c>
      <c r="C60" s="57" t="s">
        <v>17</v>
      </c>
      <c r="D60" s="35" t="s">
        <v>73</v>
      </c>
      <c r="E60" s="35" t="s">
        <v>152</v>
      </c>
      <c r="F60" s="35" t="s">
        <v>210</v>
      </c>
      <c r="G60" s="35" t="s">
        <v>271</v>
      </c>
      <c r="H60" s="35"/>
      <c r="I60" s="35" t="s">
        <v>299</v>
      </c>
      <c r="J60" s="35" t="s">
        <v>367</v>
      </c>
      <c r="K60" s="35">
        <v>1</v>
      </c>
      <c r="L60" s="35">
        <f>K60*5</f>
        <v>5</v>
      </c>
      <c r="M60" s="66"/>
      <c r="N60" s="68"/>
      <c r="O60" s="68">
        <f>N60*L60</f>
        <v>0</v>
      </c>
      <c r="P60" s="35"/>
    </row>
    <row r="61" spans="1:16" ht="15.75" thickBot="1" x14ac:dyDescent="0.3">
      <c r="A61" s="1"/>
      <c r="B61" s="47">
        <f t="shared" si="0"/>
        <v>52</v>
      </c>
      <c r="C61" s="55" t="s">
        <v>17</v>
      </c>
      <c r="D61" s="35" t="s">
        <v>74</v>
      </c>
      <c r="E61" s="35" t="s">
        <v>153</v>
      </c>
      <c r="F61" s="35" t="s">
        <v>210</v>
      </c>
      <c r="G61" s="35" t="s">
        <v>272</v>
      </c>
      <c r="H61" s="35"/>
      <c r="I61" s="35" t="s">
        <v>299</v>
      </c>
      <c r="J61" s="35" t="s">
        <v>368</v>
      </c>
      <c r="K61" s="35">
        <v>4</v>
      </c>
      <c r="L61" s="35">
        <f>K61*5</f>
        <v>20</v>
      </c>
      <c r="M61" s="66"/>
      <c r="N61" s="68"/>
      <c r="O61" s="68">
        <f>N61*L61</f>
        <v>0</v>
      </c>
      <c r="P61" s="36"/>
    </row>
    <row r="62" spans="1:16" ht="15.75" thickBot="1" x14ac:dyDescent="0.3">
      <c r="A62" s="1"/>
      <c r="B62" s="47">
        <f>ROW(B62) - ROW($B$9)</f>
        <v>53</v>
      </c>
      <c r="C62" s="57" t="s">
        <v>17</v>
      </c>
      <c r="D62" s="36" t="s">
        <v>75</v>
      </c>
      <c r="E62" s="36" t="s">
        <v>154</v>
      </c>
      <c r="F62" s="36" t="s">
        <v>213</v>
      </c>
      <c r="G62" s="36" t="s">
        <v>273</v>
      </c>
      <c r="H62" s="36"/>
      <c r="I62" s="36" t="s">
        <v>299</v>
      </c>
      <c r="J62" s="36" t="s">
        <v>369</v>
      </c>
      <c r="K62" s="36">
        <v>1</v>
      </c>
      <c r="L62" s="36">
        <f t="shared" ref="L62" si="51">K62*5</f>
        <v>5</v>
      </c>
      <c r="M62" s="66"/>
      <c r="N62" s="67"/>
      <c r="O62" s="67">
        <f t="shared" ref="O62" si="52">N62*L62</f>
        <v>0</v>
      </c>
      <c r="P62" s="35"/>
    </row>
    <row r="63" spans="1:16" ht="15.75" thickBot="1" x14ac:dyDescent="0.3">
      <c r="A63" s="1"/>
      <c r="B63" s="47">
        <f t="shared" si="0"/>
        <v>54</v>
      </c>
      <c r="C63" s="55" t="s">
        <v>17</v>
      </c>
      <c r="D63" s="35" t="s">
        <v>76</v>
      </c>
      <c r="E63" s="35" t="s">
        <v>155</v>
      </c>
      <c r="F63" s="35" t="s">
        <v>210</v>
      </c>
      <c r="G63" s="35" t="s">
        <v>274</v>
      </c>
      <c r="H63" s="35"/>
      <c r="I63" s="35" t="s">
        <v>299</v>
      </c>
      <c r="J63" s="35" t="s">
        <v>370</v>
      </c>
      <c r="K63" s="35">
        <v>1</v>
      </c>
      <c r="L63" s="35">
        <f>K63*5</f>
        <v>5</v>
      </c>
      <c r="M63" s="66"/>
      <c r="N63" s="68"/>
      <c r="O63" s="68">
        <f>N63*L63</f>
        <v>0</v>
      </c>
      <c r="P63" s="36"/>
    </row>
    <row r="64" spans="1:16" ht="15.75" thickBot="1" x14ac:dyDescent="0.3">
      <c r="A64" s="1"/>
      <c r="B64" s="47">
        <f>ROW(B64) - ROW($B$9)</f>
        <v>55</v>
      </c>
      <c r="C64" s="55" t="s">
        <v>17</v>
      </c>
      <c r="D64" s="36" t="s">
        <v>77</v>
      </c>
      <c r="E64" s="36" t="s">
        <v>156</v>
      </c>
      <c r="F64" s="36" t="s">
        <v>213</v>
      </c>
      <c r="G64" s="36" t="s">
        <v>275</v>
      </c>
      <c r="H64" s="36"/>
      <c r="I64" s="36" t="s">
        <v>299</v>
      </c>
      <c r="J64" s="36" t="s">
        <v>371</v>
      </c>
      <c r="K64" s="36">
        <v>1</v>
      </c>
      <c r="L64" s="36">
        <f t="shared" ref="L64" si="53">K64*5</f>
        <v>5</v>
      </c>
      <c r="M64" s="66"/>
      <c r="N64" s="67"/>
      <c r="O64" s="67">
        <f t="shared" ref="O64" si="54">N64*L64</f>
        <v>0</v>
      </c>
      <c r="P64" s="35"/>
    </row>
    <row r="65" spans="1:16" ht="24.75" thickBot="1" x14ac:dyDescent="0.3">
      <c r="A65" s="1"/>
      <c r="B65" s="47">
        <f t="shared" si="0"/>
        <v>56</v>
      </c>
      <c r="C65" s="55" t="s">
        <v>17</v>
      </c>
      <c r="D65" s="36" t="s">
        <v>78</v>
      </c>
      <c r="E65" s="35" t="s">
        <v>157</v>
      </c>
      <c r="F65" s="35" t="s">
        <v>210</v>
      </c>
      <c r="G65" s="35" t="s">
        <v>276</v>
      </c>
      <c r="H65" s="35"/>
      <c r="I65" s="35" t="s">
        <v>299</v>
      </c>
      <c r="J65" s="35" t="s">
        <v>372</v>
      </c>
      <c r="K65" s="35">
        <v>10</v>
      </c>
      <c r="L65" s="35">
        <f>K65*5</f>
        <v>50</v>
      </c>
      <c r="M65" s="66"/>
      <c r="N65" s="68"/>
      <c r="O65" s="68">
        <f>N65*L65</f>
        <v>0</v>
      </c>
      <c r="P65" s="36"/>
    </row>
    <row r="66" spans="1:16" ht="15.75" thickBot="1" x14ac:dyDescent="0.3">
      <c r="A66" s="1"/>
      <c r="B66" s="47">
        <f>ROW(B66) - ROW($B$9)</f>
        <v>57</v>
      </c>
      <c r="C66" s="55" t="s">
        <v>17</v>
      </c>
      <c r="D66" s="36" t="s">
        <v>79</v>
      </c>
      <c r="E66" s="36" t="s">
        <v>158</v>
      </c>
      <c r="F66" s="36" t="s">
        <v>210</v>
      </c>
      <c r="G66" s="56" t="s">
        <v>277</v>
      </c>
      <c r="H66" s="36" t="s">
        <v>400</v>
      </c>
      <c r="I66" s="36" t="s">
        <v>331</v>
      </c>
      <c r="J66" s="36" t="s">
        <v>373</v>
      </c>
      <c r="K66" s="36">
        <v>4</v>
      </c>
      <c r="L66" s="36">
        <f t="shared" ref="L66" si="55">K66*5</f>
        <v>20</v>
      </c>
      <c r="M66" s="66"/>
      <c r="N66" s="67"/>
      <c r="O66" s="67">
        <f t="shared" ref="O66" si="56">N66*L66</f>
        <v>0</v>
      </c>
      <c r="P66" s="35"/>
    </row>
    <row r="67" spans="1:16" ht="15.75" thickBot="1" x14ac:dyDescent="0.3">
      <c r="A67" s="1"/>
      <c r="B67" s="47">
        <f t="shared" si="0"/>
        <v>58</v>
      </c>
      <c r="C67" s="55" t="s">
        <v>17</v>
      </c>
      <c r="D67" s="35" t="s">
        <v>80</v>
      </c>
      <c r="E67" s="35" t="s">
        <v>159</v>
      </c>
      <c r="F67" s="35" t="s">
        <v>213</v>
      </c>
      <c r="G67" s="35" t="s">
        <v>278</v>
      </c>
      <c r="H67" s="35"/>
      <c r="I67" s="35" t="s">
        <v>299</v>
      </c>
      <c r="J67" s="35" t="s">
        <v>374</v>
      </c>
      <c r="K67" s="35">
        <v>1</v>
      </c>
      <c r="L67" s="35">
        <f>K67*5</f>
        <v>5</v>
      </c>
      <c r="M67" s="66"/>
      <c r="N67" s="68"/>
      <c r="O67" s="68">
        <f>N67*L67</f>
        <v>0</v>
      </c>
      <c r="P67" s="36"/>
    </row>
    <row r="68" spans="1:16" ht="15.75" thickBot="1" x14ac:dyDescent="0.3">
      <c r="A68" s="1"/>
      <c r="B68" s="47">
        <f>ROW(B68) - ROW($B$9)</f>
        <v>59</v>
      </c>
      <c r="C68" s="55" t="s">
        <v>17</v>
      </c>
      <c r="D68" s="36" t="s">
        <v>81</v>
      </c>
      <c r="E68" s="36" t="s">
        <v>160</v>
      </c>
      <c r="F68" s="36" t="s">
        <v>210</v>
      </c>
      <c r="G68" s="36" t="s">
        <v>279</v>
      </c>
      <c r="H68" s="36"/>
      <c r="I68" s="36" t="s">
        <v>328</v>
      </c>
      <c r="J68" s="36" t="s">
        <v>375</v>
      </c>
      <c r="K68" s="36">
        <v>1</v>
      </c>
      <c r="L68" s="36">
        <f t="shared" ref="L68" si="57">K68*5</f>
        <v>5</v>
      </c>
      <c r="M68" s="66"/>
      <c r="N68" s="67"/>
      <c r="O68" s="67">
        <f t="shared" ref="O68" si="58">N68*L68</f>
        <v>0</v>
      </c>
      <c r="P68" s="35"/>
    </row>
    <row r="69" spans="1:16" ht="15.75" thickBot="1" x14ac:dyDescent="0.3">
      <c r="A69" s="1"/>
      <c r="B69" s="47">
        <f t="shared" si="0"/>
        <v>60</v>
      </c>
      <c r="C69" s="55" t="s">
        <v>17</v>
      </c>
      <c r="D69" s="35" t="s">
        <v>82</v>
      </c>
      <c r="E69" s="35" t="s">
        <v>161</v>
      </c>
      <c r="F69" s="35" t="s">
        <v>213</v>
      </c>
      <c r="G69" s="35" t="s">
        <v>280</v>
      </c>
      <c r="H69" s="35"/>
      <c r="I69" s="35" t="s">
        <v>299</v>
      </c>
      <c r="J69" s="35" t="s">
        <v>376</v>
      </c>
      <c r="K69" s="35">
        <v>2</v>
      </c>
      <c r="L69" s="35">
        <f>K69*5</f>
        <v>10</v>
      </c>
      <c r="M69" s="66"/>
      <c r="N69" s="68"/>
      <c r="O69" s="68">
        <f>N69*L69</f>
        <v>0</v>
      </c>
      <c r="P69" s="36"/>
    </row>
    <row r="70" spans="1:16" ht="15.75" thickBot="1" x14ac:dyDescent="0.3">
      <c r="A70" s="1"/>
      <c r="B70" s="47">
        <f>ROW(B70) - ROW($B$9)</f>
        <v>61</v>
      </c>
      <c r="C70" s="57" t="s">
        <v>17</v>
      </c>
      <c r="D70" s="36" t="s">
        <v>83</v>
      </c>
      <c r="E70" s="36" t="s">
        <v>162</v>
      </c>
      <c r="F70" s="36" t="s">
        <v>210</v>
      </c>
      <c r="G70" s="36" t="s">
        <v>281</v>
      </c>
      <c r="H70" s="36"/>
      <c r="I70" s="36" t="s">
        <v>299</v>
      </c>
      <c r="J70" s="36" t="s">
        <v>377</v>
      </c>
      <c r="K70" s="36">
        <v>1</v>
      </c>
      <c r="L70" s="36">
        <f t="shared" ref="L70" si="59">K70*5</f>
        <v>5</v>
      </c>
      <c r="M70" s="66"/>
      <c r="N70" s="67"/>
      <c r="O70" s="67">
        <f t="shared" ref="O70" si="60">N70*L70</f>
        <v>0</v>
      </c>
      <c r="P70" s="35"/>
    </row>
    <row r="71" spans="1:16" ht="15.75" thickBot="1" x14ac:dyDescent="0.3">
      <c r="A71" s="1"/>
      <c r="B71" s="47">
        <f t="shared" si="0"/>
        <v>62</v>
      </c>
      <c r="C71" s="55" t="s">
        <v>19</v>
      </c>
      <c r="D71" s="58" t="s">
        <v>84</v>
      </c>
      <c r="E71" s="58" t="s">
        <v>163</v>
      </c>
      <c r="F71" s="59" t="s">
        <v>384</v>
      </c>
      <c r="G71" s="58" t="s">
        <v>214</v>
      </c>
      <c r="H71" s="58" t="s">
        <v>383</v>
      </c>
      <c r="I71" s="58" t="s">
        <v>383</v>
      </c>
      <c r="J71" s="58" t="s">
        <v>383</v>
      </c>
      <c r="K71" s="58">
        <v>2</v>
      </c>
      <c r="L71" s="58">
        <f>K71*5</f>
        <v>10</v>
      </c>
      <c r="M71" s="58"/>
      <c r="N71" s="58"/>
      <c r="O71" s="58" t="s">
        <v>383</v>
      </c>
      <c r="P71" s="36"/>
    </row>
    <row r="72" spans="1:16" ht="24.75" thickBot="1" x14ac:dyDescent="0.3">
      <c r="A72" s="1"/>
      <c r="B72" s="47">
        <f>ROW(B72) - ROW($B$9)</f>
        <v>63</v>
      </c>
      <c r="C72" s="57" t="s">
        <v>20</v>
      </c>
      <c r="D72" s="36" t="s">
        <v>85</v>
      </c>
      <c r="E72" s="36" t="s">
        <v>164</v>
      </c>
      <c r="F72" s="36" t="s">
        <v>384</v>
      </c>
      <c r="G72" s="36" t="s">
        <v>215</v>
      </c>
      <c r="H72" s="36" t="s">
        <v>383</v>
      </c>
      <c r="I72" s="36" t="s">
        <v>332</v>
      </c>
      <c r="J72" s="36" t="s">
        <v>383</v>
      </c>
      <c r="K72" s="36">
        <v>1</v>
      </c>
      <c r="L72" s="36">
        <f t="shared" ref="L72" si="61">K72*5</f>
        <v>5</v>
      </c>
      <c r="M72" s="66"/>
      <c r="N72" s="67"/>
      <c r="O72" s="67">
        <f t="shared" ref="O72" si="62">N72*L72</f>
        <v>0</v>
      </c>
      <c r="P72" s="35"/>
    </row>
    <row r="73" spans="1:16" ht="15.75" thickBot="1" x14ac:dyDescent="0.3">
      <c r="A73" s="1"/>
      <c r="B73" s="47">
        <f t="shared" si="0"/>
        <v>64</v>
      </c>
      <c r="C73" s="55" t="s">
        <v>21</v>
      </c>
      <c r="D73" s="35" t="s">
        <v>86</v>
      </c>
      <c r="E73" s="35" t="s">
        <v>165</v>
      </c>
      <c r="F73" s="35" t="s">
        <v>216</v>
      </c>
      <c r="G73" s="35" t="s">
        <v>282</v>
      </c>
      <c r="H73" s="35" t="s">
        <v>383</v>
      </c>
      <c r="I73" s="35" t="s">
        <v>333</v>
      </c>
      <c r="J73" s="35" t="s">
        <v>383</v>
      </c>
      <c r="K73" s="35">
        <v>1</v>
      </c>
      <c r="L73" s="35">
        <f>K73*5</f>
        <v>5</v>
      </c>
      <c r="M73" s="66"/>
      <c r="N73" s="68"/>
      <c r="O73" s="68">
        <f>N73*L73</f>
        <v>0</v>
      </c>
      <c r="P73" s="36"/>
    </row>
    <row r="74" spans="1:16" ht="15.75" thickBot="1" x14ac:dyDescent="0.3">
      <c r="A74" s="1"/>
      <c r="B74" s="47">
        <f>ROW(B74) - ROW($B$9)</f>
        <v>65</v>
      </c>
      <c r="C74" s="57" t="s">
        <v>21</v>
      </c>
      <c r="D74" s="36" t="s">
        <v>87</v>
      </c>
      <c r="E74" s="36" t="s">
        <v>166</v>
      </c>
      <c r="F74" s="36" t="s">
        <v>217</v>
      </c>
      <c r="G74" s="36" t="s">
        <v>283</v>
      </c>
      <c r="H74" s="36" t="s">
        <v>383</v>
      </c>
      <c r="I74" s="36" t="s">
        <v>333</v>
      </c>
      <c r="J74" s="36" t="s">
        <v>383</v>
      </c>
      <c r="K74" s="36">
        <v>1</v>
      </c>
      <c r="L74" s="36">
        <f t="shared" ref="L74" si="63">K74*5</f>
        <v>5</v>
      </c>
      <c r="M74" s="66"/>
      <c r="N74" s="67"/>
      <c r="O74" s="67">
        <f t="shared" ref="O74" si="64">N74*L74</f>
        <v>0</v>
      </c>
      <c r="P74" s="35"/>
    </row>
    <row r="75" spans="1:16" ht="36.75" thickBot="1" x14ac:dyDescent="0.3">
      <c r="A75" s="1"/>
      <c r="B75" s="47">
        <f t="shared" si="0"/>
        <v>66</v>
      </c>
      <c r="C75" s="55" t="s">
        <v>21</v>
      </c>
      <c r="D75" s="35" t="s">
        <v>88</v>
      </c>
      <c r="E75" s="35" t="s">
        <v>167</v>
      </c>
      <c r="F75" s="35" t="s">
        <v>218</v>
      </c>
      <c r="G75" s="35" t="s">
        <v>284</v>
      </c>
      <c r="H75" s="35" t="s">
        <v>383</v>
      </c>
      <c r="I75" s="35" t="s">
        <v>334</v>
      </c>
      <c r="J75" s="35" t="s">
        <v>383</v>
      </c>
      <c r="K75" s="35">
        <v>1</v>
      </c>
      <c r="L75" s="35">
        <f>K75*5</f>
        <v>5</v>
      </c>
      <c r="M75" s="66"/>
      <c r="N75" s="68"/>
      <c r="O75" s="68">
        <f>N75*L75</f>
        <v>0</v>
      </c>
      <c r="P75" s="36"/>
    </row>
    <row r="76" spans="1:16" ht="15.75" thickBot="1" x14ac:dyDescent="0.3">
      <c r="A76" s="1"/>
      <c r="B76" s="47">
        <f>ROW(B76) - ROW($B$9)</f>
        <v>67</v>
      </c>
      <c r="C76" s="57" t="s">
        <v>21</v>
      </c>
      <c r="D76" s="36" t="s">
        <v>89</v>
      </c>
      <c r="E76" s="36" t="s">
        <v>168</v>
      </c>
      <c r="F76" s="36" t="s">
        <v>219</v>
      </c>
      <c r="G76" s="36" t="s">
        <v>285</v>
      </c>
      <c r="H76" s="36" t="s">
        <v>383</v>
      </c>
      <c r="I76" s="36" t="s">
        <v>335</v>
      </c>
      <c r="J76" s="36" t="s">
        <v>383</v>
      </c>
      <c r="K76" s="36">
        <v>1</v>
      </c>
      <c r="L76" s="36">
        <f t="shared" ref="L76" si="65">K76*5</f>
        <v>5</v>
      </c>
      <c r="M76" s="66"/>
      <c r="N76" s="67"/>
      <c r="O76" s="67">
        <f t="shared" ref="O76" si="66">N76*L76</f>
        <v>0</v>
      </c>
      <c r="P76" s="35"/>
    </row>
    <row r="77" spans="1:16" ht="15.75" thickBot="1" x14ac:dyDescent="0.3">
      <c r="A77" s="1"/>
      <c r="B77" s="47">
        <f t="shared" si="0"/>
        <v>68</v>
      </c>
      <c r="C77" s="55" t="s">
        <v>21</v>
      </c>
      <c r="D77" s="35" t="s">
        <v>90</v>
      </c>
      <c r="E77" s="35" t="s">
        <v>169</v>
      </c>
      <c r="F77" s="35" t="s">
        <v>220</v>
      </c>
      <c r="G77" s="35" t="s">
        <v>286</v>
      </c>
      <c r="H77" s="35"/>
      <c r="I77" s="35" t="s">
        <v>336</v>
      </c>
      <c r="J77" s="35" t="s">
        <v>383</v>
      </c>
      <c r="K77" s="35">
        <v>1</v>
      </c>
      <c r="L77" s="35">
        <f>K77*5</f>
        <v>5</v>
      </c>
      <c r="M77" s="66"/>
      <c r="N77" s="68"/>
      <c r="O77" s="68">
        <f>N77*L77</f>
        <v>0</v>
      </c>
      <c r="P77" s="36"/>
    </row>
    <row r="78" spans="1:16" ht="15.75" thickBot="1" x14ac:dyDescent="0.3">
      <c r="A78" s="1"/>
      <c r="B78" s="47">
        <f>ROW(B78) - ROW($B$9)</f>
        <v>69</v>
      </c>
      <c r="C78" s="60" t="s">
        <v>21</v>
      </c>
      <c r="D78" s="61" t="s">
        <v>91</v>
      </c>
      <c r="E78" s="61" t="s">
        <v>170</v>
      </c>
      <c r="F78" s="61" t="s">
        <v>221</v>
      </c>
      <c r="G78" s="61" t="s">
        <v>287</v>
      </c>
      <c r="H78" s="61" t="s">
        <v>383</v>
      </c>
      <c r="I78" s="61" t="s">
        <v>337</v>
      </c>
      <c r="J78" s="61" t="s">
        <v>383</v>
      </c>
      <c r="K78" s="61">
        <v>1</v>
      </c>
      <c r="L78" s="61">
        <f t="shared" ref="L78" si="67">K78*5</f>
        <v>5</v>
      </c>
      <c r="M78" s="69"/>
      <c r="N78" s="70"/>
      <c r="O78" s="70">
        <f t="shared" ref="O78" si="68">N78*L78</f>
        <v>0</v>
      </c>
      <c r="P78" s="35"/>
    </row>
    <row r="79" spans="1:16" ht="15.75" thickBot="1" x14ac:dyDescent="0.3">
      <c r="A79" s="1"/>
      <c r="B79" s="47">
        <f t="shared" si="0"/>
        <v>70</v>
      </c>
      <c r="C79" s="62" t="s">
        <v>21</v>
      </c>
      <c r="D79" s="63" t="s">
        <v>92</v>
      </c>
      <c r="E79" s="63" t="s">
        <v>171</v>
      </c>
      <c r="F79" s="63" t="s">
        <v>222</v>
      </c>
      <c r="G79" s="63" t="s">
        <v>288</v>
      </c>
      <c r="H79" s="63" t="s">
        <v>383</v>
      </c>
      <c r="I79" s="63" t="s">
        <v>335</v>
      </c>
      <c r="J79" s="63" t="s">
        <v>383</v>
      </c>
      <c r="K79" s="63">
        <v>1</v>
      </c>
      <c r="L79" s="63">
        <f>K79*5</f>
        <v>5</v>
      </c>
      <c r="M79" s="69"/>
      <c r="N79" s="71"/>
      <c r="O79" s="71">
        <f>N79*L79</f>
        <v>0</v>
      </c>
      <c r="P79" s="36"/>
    </row>
    <row r="80" spans="1:16" ht="15.75" thickBot="1" x14ac:dyDescent="0.3">
      <c r="A80" s="1"/>
      <c r="B80" s="47">
        <f>ROW(B80) - ROW($B$9)</f>
        <v>71</v>
      </c>
      <c r="C80" s="57" t="s">
        <v>21</v>
      </c>
      <c r="D80" s="36" t="s">
        <v>93</v>
      </c>
      <c r="E80" s="36" t="s">
        <v>172</v>
      </c>
      <c r="F80" s="36" t="s">
        <v>223</v>
      </c>
      <c r="G80" s="36" t="s">
        <v>289</v>
      </c>
      <c r="H80" s="36"/>
      <c r="I80" s="36" t="s">
        <v>338</v>
      </c>
      <c r="J80" s="36" t="s">
        <v>383</v>
      </c>
      <c r="K80" s="36">
        <v>1</v>
      </c>
      <c r="L80" s="36">
        <f t="shared" ref="L80" si="69">K80*5</f>
        <v>5</v>
      </c>
      <c r="M80" s="66"/>
      <c r="N80" s="67"/>
      <c r="O80" s="67">
        <f t="shared" ref="O80" si="70">N80*L80</f>
        <v>0</v>
      </c>
      <c r="P80" s="35"/>
    </row>
    <row r="81" spans="1:16" ht="15.75" thickBot="1" x14ac:dyDescent="0.3">
      <c r="A81" s="1"/>
      <c r="B81" s="47">
        <f t="shared" si="0"/>
        <v>72</v>
      </c>
      <c r="C81" s="62" t="s">
        <v>21</v>
      </c>
      <c r="D81" s="63" t="s">
        <v>94</v>
      </c>
      <c r="E81" s="63" t="s">
        <v>173</v>
      </c>
      <c r="F81" s="63" t="s">
        <v>224</v>
      </c>
      <c r="G81" s="63" t="s">
        <v>290</v>
      </c>
      <c r="H81" s="63" t="s">
        <v>383</v>
      </c>
      <c r="I81" s="63" t="s">
        <v>339</v>
      </c>
      <c r="J81" s="63" t="s">
        <v>383</v>
      </c>
      <c r="K81" s="63">
        <v>1</v>
      </c>
      <c r="L81" s="63">
        <f>K81*5</f>
        <v>5</v>
      </c>
      <c r="M81" s="69"/>
      <c r="N81" s="71"/>
      <c r="O81" s="71">
        <f>N81*L81</f>
        <v>0</v>
      </c>
      <c r="P81" s="36"/>
    </row>
    <row r="82" spans="1:16" ht="15.75" thickBot="1" x14ac:dyDescent="0.3">
      <c r="A82" s="1"/>
      <c r="B82" s="47">
        <f>ROW(B82) - ROW($B$9)</f>
        <v>73</v>
      </c>
      <c r="C82" s="57" t="s">
        <v>21</v>
      </c>
      <c r="D82" s="36" t="s">
        <v>95</v>
      </c>
      <c r="E82" s="36" t="s">
        <v>174</v>
      </c>
      <c r="F82" s="36" t="s">
        <v>225</v>
      </c>
      <c r="G82" s="36" t="s">
        <v>291</v>
      </c>
      <c r="H82" s="36" t="s">
        <v>383</v>
      </c>
      <c r="I82" s="36" t="s">
        <v>335</v>
      </c>
      <c r="J82" s="36" t="s">
        <v>383</v>
      </c>
      <c r="K82" s="36">
        <v>3</v>
      </c>
      <c r="L82" s="36">
        <f t="shared" ref="L82" si="71">K82*5</f>
        <v>15</v>
      </c>
      <c r="M82" s="66"/>
      <c r="N82" s="67"/>
      <c r="O82" s="67">
        <f t="shared" ref="O82" si="72">N82*L82</f>
        <v>0</v>
      </c>
      <c r="P82" s="35"/>
    </row>
    <row r="83" spans="1:16" ht="60.75" thickBot="1" x14ac:dyDescent="0.3">
      <c r="A83" s="1"/>
      <c r="B83" s="47">
        <f t="shared" si="0"/>
        <v>74</v>
      </c>
      <c r="C83" s="55" t="s">
        <v>21</v>
      </c>
      <c r="D83" s="35" t="s">
        <v>96</v>
      </c>
      <c r="E83" s="35" t="s">
        <v>175</v>
      </c>
      <c r="F83" s="35" t="s">
        <v>226</v>
      </c>
      <c r="G83" s="35" t="s">
        <v>292</v>
      </c>
      <c r="H83" s="35" t="s">
        <v>383</v>
      </c>
      <c r="I83" s="35" t="s">
        <v>340</v>
      </c>
      <c r="J83" s="35" t="s">
        <v>383</v>
      </c>
      <c r="K83" s="35">
        <v>1</v>
      </c>
      <c r="L83" s="35">
        <f>K83*5</f>
        <v>5</v>
      </c>
      <c r="M83" s="66"/>
      <c r="N83" s="68"/>
      <c r="O83" s="68">
        <f>N83*L83</f>
        <v>0</v>
      </c>
      <c r="P83" s="36"/>
    </row>
    <row r="84" spans="1:16" ht="15.75" thickBot="1" x14ac:dyDescent="0.3">
      <c r="A84" s="1"/>
      <c r="B84" s="47">
        <f>ROW(B84) - ROW($B$9)</f>
        <v>75</v>
      </c>
      <c r="C84" s="57" t="s">
        <v>21</v>
      </c>
      <c r="D84" s="36" t="s">
        <v>97</v>
      </c>
      <c r="E84" s="36" t="s">
        <v>176</v>
      </c>
      <c r="F84" s="36" t="s">
        <v>227</v>
      </c>
      <c r="G84" s="36" t="s">
        <v>293</v>
      </c>
      <c r="H84" s="36" t="s">
        <v>383</v>
      </c>
      <c r="I84" s="36" t="s">
        <v>333</v>
      </c>
      <c r="J84" s="36" t="s">
        <v>383</v>
      </c>
      <c r="K84" s="36">
        <v>1</v>
      </c>
      <c r="L84" s="36">
        <f t="shared" ref="L84" si="73">K84*5</f>
        <v>5</v>
      </c>
      <c r="M84" s="66"/>
      <c r="N84" s="67"/>
      <c r="O84" s="67">
        <f t="shared" ref="O84" si="74">N84*L84</f>
        <v>0</v>
      </c>
      <c r="P84" s="35"/>
    </row>
    <row r="85" spans="1:16" ht="15.75" thickBot="1" x14ac:dyDescent="0.3">
      <c r="A85" s="1"/>
      <c r="B85" s="47">
        <f t="shared" si="0"/>
        <v>76</v>
      </c>
      <c r="C85" s="55" t="s">
        <v>21</v>
      </c>
      <c r="D85" s="35" t="s">
        <v>98</v>
      </c>
      <c r="E85" s="35" t="s">
        <v>177</v>
      </c>
      <c r="F85" s="35" t="s">
        <v>228</v>
      </c>
      <c r="G85" s="35" t="s">
        <v>294</v>
      </c>
      <c r="H85" s="35" t="s">
        <v>383</v>
      </c>
      <c r="I85" s="35" t="s">
        <v>334</v>
      </c>
      <c r="J85" s="35" t="s">
        <v>383</v>
      </c>
      <c r="K85" s="35">
        <v>1</v>
      </c>
      <c r="L85" s="35">
        <f>K85*5</f>
        <v>5</v>
      </c>
      <c r="M85" s="66"/>
      <c r="N85" s="68"/>
      <c r="O85" s="68">
        <f>N85*L85</f>
        <v>0</v>
      </c>
      <c r="P85" s="36"/>
    </row>
    <row r="86" spans="1:16" ht="15.75" thickBot="1" x14ac:dyDescent="0.3">
      <c r="A86" s="1"/>
      <c r="B86" s="47">
        <f>ROW(B86) - ROW($B$9)</f>
        <v>77</v>
      </c>
      <c r="C86" s="57" t="s">
        <v>21</v>
      </c>
      <c r="D86" s="36" t="s">
        <v>99</v>
      </c>
      <c r="E86" s="36" t="s">
        <v>178</v>
      </c>
      <c r="F86" s="36" t="s">
        <v>222</v>
      </c>
      <c r="G86" s="36" t="s">
        <v>295</v>
      </c>
      <c r="H86" s="36" t="s">
        <v>383</v>
      </c>
      <c r="I86" s="36" t="s">
        <v>339</v>
      </c>
      <c r="J86" s="36" t="s">
        <v>383</v>
      </c>
      <c r="K86" s="36">
        <v>1</v>
      </c>
      <c r="L86" s="36">
        <f t="shared" ref="L86" si="75">K86*5</f>
        <v>5</v>
      </c>
      <c r="M86" s="66"/>
      <c r="N86" s="67"/>
      <c r="O86" s="67">
        <f t="shared" ref="O86" si="76">N86*L86</f>
        <v>0</v>
      </c>
      <c r="P86" s="35"/>
    </row>
    <row r="87" spans="1:16" ht="15.75" thickBot="1" x14ac:dyDescent="0.3">
      <c r="A87" s="1"/>
      <c r="B87" s="47">
        <f t="shared" si="0"/>
        <v>78</v>
      </c>
      <c r="C87" s="55" t="s">
        <v>21</v>
      </c>
      <c r="D87" s="35" t="s">
        <v>100</v>
      </c>
      <c r="E87" s="35" t="s">
        <v>178</v>
      </c>
      <c r="F87" s="35" t="s">
        <v>222</v>
      </c>
      <c r="G87" s="35" t="s">
        <v>296</v>
      </c>
      <c r="H87" s="35" t="s">
        <v>383</v>
      </c>
      <c r="I87" s="35" t="s">
        <v>339</v>
      </c>
      <c r="J87" s="35" t="s">
        <v>383</v>
      </c>
      <c r="K87" s="35">
        <v>1</v>
      </c>
      <c r="L87" s="35">
        <f>K87*5</f>
        <v>5</v>
      </c>
      <c r="M87" s="66"/>
      <c r="N87" s="68"/>
      <c r="O87" s="68">
        <f>N87*L87</f>
        <v>0</v>
      </c>
      <c r="P87" s="36"/>
    </row>
    <row r="88" spans="1:16" ht="24.75" thickBot="1" x14ac:dyDescent="0.3">
      <c r="A88" s="1"/>
      <c r="B88" s="47">
        <f>ROW(B88) - ROW($B$9)</f>
        <v>79</v>
      </c>
      <c r="C88" s="57" t="s">
        <v>22</v>
      </c>
      <c r="D88" s="36" t="s">
        <v>101</v>
      </c>
      <c r="E88" s="36" t="s">
        <v>179</v>
      </c>
      <c r="F88" s="36" t="s">
        <v>384</v>
      </c>
      <c r="G88" s="36" t="s">
        <v>297</v>
      </c>
      <c r="H88" s="36" t="s">
        <v>383</v>
      </c>
      <c r="I88" s="36" t="s">
        <v>341</v>
      </c>
      <c r="J88" s="36" t="s">
        <v>378</v>
      </c>
      <c r="K88" s="36">
        <v>1</v>
      </c>
      <c r="L88" s="36">
        <f t="shared" ref="L88" si="77">K88*5</f>
        <v>5</v>
      </c>
      <c r="M88" s="66"/>
      <c r="N88" s="67"/>
      <c r="O88" s="67">
        <f t="shared" ref="O88" si="78">N88*L88</f>
        <v>0</v>
      </c>
      <c r="P88" s="35"/>
    </row>
    <row r="89" spans="1:16" ht="24.75" thickBot="1" x14ac:dyDescent="0.3">
      <c r="A89" s="1"/>
      <c r="B89" s="47">
        <f t="shared" si="0"/>
        <v>80</v>
      </c>
      <c r="C89" s="55" t="s">
        <v>22</v>
      </c>
      <c r="D89" s="35" t="s">
        <v>102</v>
      </c>
      <c r="E89" s="35" t="s">
        <v>180</v>
      </c>
      <c r="F89" s="36" t="s">
        <v>384</v>
      </c>
      <c r="G89" s="35" t="s">
        <v>229</v>
      </c>
      <c r="H89" s="35" t="s">
        <v>383</v>
      </c>
      <c r="I89" s="35" t="s">
        <v>341</v>
      </c>
      <c r="J89" s="35" t="s">
        <v>379</v>
      </c>
      <c r="K89" s="35">
        <v>1</v>
      </c>
      <c r="L89" s="35">
        <f>K89*5</f>
        <v>5</v>
      </c>
      <c r="M89" s="66"/>
      <c r="N89" s="68"/>
      <c r="O89" s="68">
        <f>N89*L89</f>
        <v>0</v>
      </c>
      <c r="P89" s="36"/>
    </row>
    <row r="90" spans="1:16" ht="19.5" thickBot="1" x14ac:dyDescent="0.3">
      <c r="A90" s="1"/>
      <c r="B90" s="30"/>
      <c r="C90" s="45"/>
      <c r="D90" s="31"/>
      <c r="E90" s="32"/>
      <c r="F90" s="33"/>
      <c r="G90" s="34"/>
      <c r="H90" s="34"/>
      <c r="I90" s="33"/>
      <c r="J90" s="34"/>
      <c r="K90" s="34"/>
      <c r="L90" s="74" t="s">
        <v>407</v>
      </c>
      <c r="M90" s="75"/>
      <c r="N90" s="75"/>
      <c r="O90" s="72">
        <f>SUM(O10:O89)</f>
        <v>0</v>
      </c>
      <c r="P90" s="38"/>
    </row>
    <row r="91" spans="1:16" ht="19.5" thickBot="1" x14ac:dyDescent="0.3">
      <c r="A91" s="1"/>
      <c r="B91" s="24"/>
      <c r="C91" s="46"/>
      <c r="D91" s="8"/>
      <c r="E91" s="9"/>
      <c r="F91" s="9"/>
      <c r="G91" s="9"/>
      <c r="H91" s="9"/>
      <c r="I91" s="9"/>
      <c r="J91" s="9"/>
      <c r="K91" s="9"/>
      <c r="L91" s="74" t="s">
        <v>408</v>
      </c>
      <c r="M91" s="75"/>
      <c r="N91" s="75"/>
      <c r="O91" s="73">
        <f>O90/5</f>
        <v>0</v>
      </c>
      <c r="P91" s="39"/>
    </row>
  </sheetData>
  <mergeCells count="4">
    <mergeCell ref="J1:P1"/>
    <mergeCell ref="P3:P8"/>
    <mergeCell ref="L90:N90"/>
    <mergeCell ref="L91:N91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2023-07-03T16:24:30Z</dcterms:modified>
</cp:coreProperties>
</file>